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1" autoFilterDateGrouping="1"/>
  </bookViews>
  <sheets>
    <sheet name="About" sheetId="1" state="visible" r:id="rId1"/>
    <sheet name="Calibration Helper" sheetId="2" state="visible" r:id="rId2"/>
    <sheet name="Component Lifetimes" sheetId="3" state="visible" r:id="rId3"/>
    <sheet name="AEO T4" sheetId="4" state="visible" r:id="rId4"/>
    <sheet name="AEO T5" sheetId="5" state="visible" r:id="rId5"/>
    <sheet name="Calculations" sheetId="6" state="visible" r:id="rId6"/>
    <sheet name="Pre-Calibration Calculated Vals" sheetId="7" state="visible" r:id="rId7"/>
    <sheet name="SoCEUtiNTY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%"/>
    <numFmt numFmtId="166" formatCode="#,##0.0"/>
    <numFmt numFmtId="167" formatCode="0.00000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9"/>
    </font>
    <font>
      <name val="Calibri"/>
      <family val="2"/>
      <sz val="9"/>
    </font>
    <font>
      <name val="Calibri"/>
      <family val="2"/>
      <b val="1"/>
      <color indexed="8"/>
      <sz val="9"/>
    </font>
    <font>
      <name val="Arial"/>
      <family val="2"/>
      <sz val="8"/>
    </font>
    <font>
      <name val="Calibri"/>
      <family val="2"/>
      <b val="1"/>
      <color indexed="30"/>
      <sz val="12"/>
    </font>
    <font>
      <name val="Arial"/>
      <family val="2"/>
      <color indexed="8"/>
      <sz val="10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9">
    <xf numFmtId="0" fontId="2" fillId="0" borderId="0"/>
    <xf numFmtId="9" fontId="2" fillId="0" borderId="0"/>
    <xf numFmtId="0" fontId="3" fillId="0" borderId="0"/>
    <xf numFmtId="0" fontId="3" fillId="0" borderId="1" applyAlignment="1">
      <alignment wrapText="1"/>
    </xf>
    <xf numFmtId="0" fontId="5" fillId="0" borderId="2" applyAlignment="1">
      <alignment wrapText="1"/>
    </xf>
    <xf numFmtId="0" fontId="3" fillId="0" borderId="3" applyAlignment="1">
      <alignment wrapText="1"/>
    </xf>
    <xf numFmtId="0" fontId="5" fillId="0" borderId="4" applyAlignment="1">
      <alignment wrapText="1"/>
    </xf>
    <xf numFmtId="0" fontId="3" fillId="0" borderId="0"/>
    <xf numFmtId="0" fontId="7" fillId="0" borderId="0" applyAlignment="1">
      <alignment horizontal="left"/>
    </xf>
  </cellStyleXfs>
  <cellXfs count="4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1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3" fillId="0" borderId="0" pivotButton="0" quotePrefix="0" xfId="2"/>
    <xf numFmtId="0" fontId="4" fillId="0" borderId="0" pivotButton="0" quotePrefix="0" xfId="2"/>
    <xf numFmtId="165" fontId="5" fillId="0" borderId="2" applyAlignment="1" pivotButton="0" quotePrefix="0" xfId="4">
      <alignment horizontal="right" wrapText="1"/>
    </xf>
    <xf numFmtId="3" fontId="5" fillId="0" borderId="2" applyAlignment="1" pivotButton="0" quotePrefix="0" xfId="4">
      <alignment horizontal="right" wrapText="1"/>
    </xf>
    <xf numFmtId="0" fontId="5" fillId="0" borderId="2" applyAlignment="1" pivotButton="0" quotePrefix="0" xfId="4">
      <alignment wrapText="1"/>
    </xf>
    <xf numFmtId="0" fontId="6" fillId="0" borderId="0" pivotButton="0" quotePrefix="0" xfId="2"/>
    <xf numFmtId="165" fontId="0" fillId="0" borderId="3" applyAlignment="1" pivotButton="0" quotePrefix="0" xfId="5">
      <alignment horizontal="right" wrapText="1"/>
    </xf>
    <xf numFmtId="3" fontId="0" fillId="0" borderId="3" applyAlignment="1" pivotButton="0" quotePrefix="0" xfId="5">
      <alignment horizontal="right" wrapText="1"/>
    </xf>
    <xf numFmtId="0" fontId="0" fillId="0" borderId="3" applyAlignment="1" pivotButton="0" quotePrefix="0" xfId="5">
      <alignment wrapText="1"/>
    </xf>
    <xf numFmtId="4" fontId="5" fillId="0" borderId="2" applyAlignment="1" pivotButton="0" quotePrefix="0" xfId="4">
      <alignment horizontal="right" wrapText="1"/>
    </xf>
    <xf numFmtId="4" fontId="0" fillId="0" borderId="3" applyAlignment="1" pivotButton="0" quotePrefix="0" xfId="5">
      <alignment horizontal="right" wrapText="1"/>
    </xf>
    <xf numFmtId="166" fontId="0" fillId="0" borderId="3" applyAlignment="1" pivotButton="0" quotePrefix="0" xfId="5">
      <alignment horizontal="right" wrapText="1"/>
    </xf>
    <xf numFmtId="166" fontId="5" fillId="0" borderId="2" applyAlignment="1" pivotButton="0" quotePrefix="0" xfId="4">
      <alignment horizontal="right" wrapText="1"/>
    </xf>
    <xf numFmtId="0" fontId="5" fillId="0" borderId="4" applyAlignment="1" pivotButton="0" quotePrefix="0" xfId="6">
      <alignment wrapText="1"/>
    </xf>
    <xf numFmtId="0" fontId="3" fillId="0" borderId="0" applyAlignment="1" pivotButton="0" quotePrefix="0" xfId="2">
      <alignment horizontal="left"/>
    </xf>
    <xf numFmtId="0" fontId="3" fillId="0" borderId="0" pivotButton="0" quotePrefix="0" xfId="7"/>
    <xf numFmtId="0" fontId="7" fillId="0" borderId="0" applyAlignment="1" pivotButton="0" quotePrefix="0" xfId="8">
      <alignment horizontal="left"/>
    </xf>
    <xf numFmtId="0" fontId="8" fillId="0" borderId="0" pivotButton="0" quotePrefix="0" xfId="2"/>
    <xf numFmtId="165" fontId="0" fillId="0" borderId="0" pivotButton="0" quotePrefix="0" xfId="1"/>
    <xf numFmtId="10" fontId="0" fillId="0" borderId="0" pivotButton="0" quotePrefix="0" xfId="1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7" fontId="0" fillId="0" borderId="0" pivotButton="0" quotePrefix="0" xfId="0"/>
    <xf numFmtId="2" fontId="0" fillId="0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left"/>
    </xf>
    <xf numFmtId="0" fontId="9" fillId="0" borderId="0" pivotButton="0" quotePrefix="0" xfId="0"/>
    <xf numFmtId="0" fontId="1" fillId="0" borderId="0" applyAlignment="1" pivotButton="0" quotePrefix="0" xfId="0">
      <alignment wrapText="1"/>
    </xf>
    <xf numFmtId="0" fontId="10" fillId="0" borderId="0" pivotButton="0" quotePrefix="0" xfId="0"/>
    <xf numFmtId="0" fontId="1" fillId="2" borderId="0" pivotButton="0" quotePrefix="0" xfId="0"/>
    <xf numFmtId="0" fontId="0" fillId="4" borderId="0" pivotButton="0" quotePrefix="0" xfId="0"/>
    <xf numFmtId="14" fontId="0" fillId="0" borderId="0" pivotButton="0" quotePrefix="0" xfId="0"/>
    <xf numFmtId="0" fontId="3" fillId="0" borderId="1" applyAlignment="1" pivotButton="0" quotePrefix="0" xfId="3">
      <alignment wrapText="1"/>
    </xf>
    <xf numFmtId="0" fontId="0" fillId="0" borderId="1" pivotButton="0" quotePrefix="0" xfId="0"/>
  </cellXfs>
  <cellStyles count="9">
    <cellStyle name="Normal" xfId="0" builtinId="0"/>
    <cellStyle name="Percent" xfId="1" builtinId="5"/>
    <cellStyle name="Normal 2" xfId="2"/>
    <cellStyle name="Footnotes: top row" xfId="3"/>
    <cellStyle name="Parent row" xfId="4"/>
    <cellStyle name="Body: normal cell" xfId="5"/>
    <cellStyle name="Header: bottom row" xfId="6"/>
    <cellStyle name="Font: Calibri, 9pt regular" xfId="7"/>
    <cellStyle name="Table title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topLeftCell="A26" workbookViewId="0">
      <selection activeCell="B55" sqref="B55"/>
    </sheetView>
  </sheetViews>
  <sheetFormatPr baseColWidth="8" defaultColWidth="8.85546875" defaultRowHeight="15"/>
  <cols>
    <col width="52" customWidth="1" min="2" max="2"/>
  </cols>
  <sheetData>
    <row r="1">
      <c r="A1" s="1" t="inlineStr">
        <is>
          <t>SoCEUtiNTY Share of Components Energy Use that is New This Year</t>
        </is>
      </c>
      <c r="B1" t="inlineStr">
        <is>
          <t>California</t>
        </is>
      </c>
      <c r="C1" s="38" t="n">
        <v>46251</v>
      </c>
    </row>
    <row r="2"/>
    <row r="3">
      <c r="A3" s="1" t="inlineStr">
        <is>
          <t>Sources:</t>
        </is>
      </c>
      <c r="B3" s="30" t="inlineStr">
        <is>
          <t>Share of commercial floorspace that is new</t>
        </is>
      </c>
    </row>
    <row r="4">
      <c r="B4" t="inlineStr">
        <is>
          <t>EIA</t>
        </is>
      </c>
    </row>
    <row r="5">
      <c r="B5" s="32" t="n">
        <v>2017</v>
      </c>
    </row>
    <row r="6">
      <c r="B6" t="inlineStr">
        <is>
          <t>Annual Energy Outlook 2017</t>
        </is>
      </c>
    </row>
    <row r="7">
      <c r="B7" t="inlineStr">
        <is>
          <t>https://www.eia.gov/outlooks/aeo/excel/aeotab_5.xlsx</t>
        </is>
      </c>
    </row>
    <row r="8">
      <c r="B8" t="inlineStr">
        <is>
          <t>5. Commercial Sector Key Indicators and Consumption</t>
        </is>
      </c>
    </row>
    <row r="9"/>
    <row r="10">
      <c r="B10" s="30" t="inlineStr">
        <is>
          <t>Number of homes</t>
        </is>
      </c>
    </row>
    <row r="11">
      <c r="B11" t="inlineStr">
        <is>
          <t>EIA</t>
        </is>
      </c>
    </row>
    <row r="12">
      <c r="B12" s="32" t="n">
        <v>2017</v>
      </c>
    </row>
    <row r="13">
      <c r="B13" t="inlineStr">
        <is>
          <t>Annual Energy Outlook 2017</t>
        </is>
      </c>
    </row>
    <row r="14">
      <c r="B14" t="inlineStr">
        <is>
          <t>https://www.eia.gov/outlooks/aeo/excel/aeotab_4.xlsx</t>
        </is>
      </c>
    </row>
    <row r="15">
      <c r="B15" t="inlineStr">
        <is>
          <t>4. Residential Sector Key Indicators and Consumption</t>
        </is>
      </c>
    </row>
    <row r="16"/>
    <row r="17">
      <c r="B17" s="30" t="inlineStr">
        <is>
          <t>Share of homes that are new</t>
        </is>
      </c>
    </row>
    <row r="18">
      <c r="B18" t="inlineStr">
        <is>
          <t>EIA</t>
        </is>
      </c>
    </row>
    <row r="19">
      <c r="B19" s="32" t="n">
        <v>2017</v>
      </c>
    </row>
    <row r="20">
      <c r="B20" t="inlineStr">
        <is>
          <t>Residential Demand Module of the National Energy Modeling System: Model Documentation</t>
        </is>
      </c>
    </row>
    <row r="21">
      <c r="B21" t="inlineStr">
        <is>
          <t>https://www.eia.gov/outlooks/aeo/nems/documentation/residential/pdf/m067(2017).pdf</t>
        </is>
      </c>
    </row>
    <row r="22">
      <c r="B22" t="inlineStr">
        <is>
          <t>Page 56, Existing housing evolution rate</t>
        </is>
      </c>
    </row>
    <row r="23"/>
    <row r="24">
      <c r="B24" s="30" t="inlineStr">
        <is>
          <t>Replacement rate of components in surviving buildings</t>
        </is>
      </c>
    </row>
    <row r="25">
      <c r="B25" s="33" t="inlineStr">
        <is>
          <t>See bldgs/CL variable</t>
        </is>
      </c>
    </row>
    <row r="26"/>
    <row r="27">
      <c r="A27" s="1" t="inlineStr">
        <is>
          <t>About</t>
        </is>
      </c>
    </row>
    <row r="28">
      <c r="A28" t="inlineStr">
        <is>
          <t>This variable is used to estimate the share of BAU component energy use</t>
        </is>
      </c>
    </row>
    <row r="29">
      <c r="A29" t="inlineStr">
        <is>
          <t>that is new (i.e. from newly installed components) each year.  This includes</t>
        </is>
      </c>
    </row>
    <row r="30">
      <c r="A30" t="inlineStr">
        <is>
          <t>both components to serve new buildings (demand growth) and components</t>
        </is>
      </c>
    </row>
    <row r="31">
      <c r="A31" t="inlineStr">
        <is>
          <t>to replace retiring components.</t>
        </is>
      </c>
    </row>
    <row r="32"/>
    <row r="33">
      <c r="A33" t="inlineStr">
        <is>
          <t>The "envelope" value in this variable does not matter, because envelope</t>
        </is>
      </c>
    </row>
    <row r="34">
      <c r="A34" t="inlineStr">
        <is>
          <t>does not itself use energy.  To avoid confusion, envelope is assigned</t>
        </is>
      </c>
    </row>
    <row r="35">
      <c r="A35" t="inlineStr">
        <is>
          <t>a value of zero.</t>
        </is>
      </c>
    </row>
    <row r="36"/>
    <row r="37">
      <c r="A37" t="inlineStr">
        <is>
          <t>We separately estimate the share of buildings that are new (whose components</t>
        </is>
      </c>
    </row>
    <row r="38">
      <c r="A38" t="inlineStr">
        <is>
          <t>are all new) and the share of components in surviving buildings that are</t>
        </is>
      </c>
    </row>
    <row r="39">
      <c r="A39" t="inlineStr">
        <is>
          <t>replaced each year.  We consider the share of surviving buildings and</t>
        </is>
      </c>
    </row>
    <row r="40">
      <c r="A40" t="inlineStr">
        <is>
          <t>new buildings to properly calculate overall component replacement rates.</t>
        </is>
      </c>
    </row>
    <row r="41"/>
    <row r="42">
      <c r="A42" t="inlineStr">
        <is>
          <t>This variable may need to be recalibrated when adapting the model</t>
        </is>
      </c>
    </row>
    <row r="43">
      <c r="A43" t="inlineStr">
        <is>
          <t>to new regions.</t>
        </is>
      </c>
    </row>
    <row r="44"/>
    <row r="45">
      <c r="A45" s="1" t="inlineStr">
        <is>
          <t>For States</t>
        </is>
      </c>
    </row>
    <row r="46"/>
    <row r="47">
      <c r="A47" t="inlineStr">
        <is>
          <t>The default is 1/component lifetime.</t>
        </is>
      </c>
    </row>
    <row r="48"/>
    <row r="49">
      <c r="A49" t="inlineStr">
        <is>
          <t>To calibrate further, see the SoCEUtiNTY Helper Sheet</t>
        </is>
      </c>
    </row>
    <row r="50">
      <c r="A50" t="inlineStr">
        <is>
          <t>Run the model, paste the output from Retiring Components Potential Energy Use Summed Across Fuels in the proper box in Calibration Helper</t>
        </is>
      </c>
    </row>
    <row r="51">
      <c r="A51" t="inlineStr">
        <is>
          <t>Replace the csv exporter tab with the new calibrated outputs</t>
        </is>
      </c>
    </row>
    <row r="53">
      <c r="A53" t="inlineStr">
        <is>
          <t>2026-08-17: recalibrated on the 2026-08-03 BCEU vintage. SoCEUtiNTY[bt,bc] = SYCEU_sum / (CL x BCEU_sum(2025)), the value that removes the step in "Retiring Components Potential Energy Use Summed Across Fuels" at t* = 2025 + CL. Full precision (6 significant figures): rounding to 3 decimals would re-introduce a step of up to 0.93%. Jumps remaining in that variable after 2040 come from the BCEU trajectory itself, not from this coefficient. Derivation: state-data-forecast qc/soceutinty_smoothness_calibration.py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G141"/>
  <sheetViews>
    <sheetView tabSelected="1" workbookViewId="0">
      <selection activeCell="H12" sqref="H12"/>
    </sheetView>
  </sheetViews>
  <sheetFormatPr baseColWidth="8" defaultColWidth="11.42578125" defaultRowHeight="15"/>
  <cols>
    <col width="105.28515625" customWidth="1" min="1" max="1"/>
    <col width="16.42578125" customWidth="1" min="2" max="2"/>
    <col width="14.140625" customWidth="1" min="3" max="3"/>
    <col width="14.28515625" customWidth="1" min="4" max="4"/>
  </cols>
  <sheetData>
    <row r="2" ht="15.75" customHeight="1">
      <c r="A2" s="35" t="n"/>
    </row>
    <row r="3" ht="15.75" customHeight="1">
      <c r="A3" s="35" t="inlineStr">
        <is>
          <t>When Calibrating, place the current values here (default is 1/component lifetime)</t>
        </is>
      </c>
    </row>
    <row r="4">
      <c r="B4" s="2" t="inlineStr">
        <is>
          <t>Lifetime (yr)</t>
        </is>
      </c>
      <c r="C4" t="inlineStr">
        <is>
          <t>urban residential</t>
        </is>
      </c>
      <c r="D4" t="inlineStr">
        <is>
          <t>rural residential</t>
        </is>
      </c>
      <c r="E4" t="inlineStr">
        <is>
          <t>commercial</t>
        </is>
      </c>
    </row>
    <row r="5">
      <c r="A5" t="inlineStr">
        <is>
          <t>heating</t>
        </is>
      </c>
      <c r="B5" s="3" t="n">
        <v>19</v>
      </c>
      <c r="C5" s="5" t="n">
        <v>0.05263157894736842</v>
      </c>
      <c r="D5" s="5" t="n">
        <v>0.05263157894736842</v>
      </c>
      <c r="E5" s="5" t="n">
        <v>0.05263157894736842</v>
      </c>
    </row>
    <row r="6">
      <c r="A6" t="inlineStr">
        <is>
          <t>cooling and ventilation</t>
        </is>
      </c>
      <c r="B6" s="3" t="n">
        <v>15.83333333333333</v>
      </c>
      <c r="C6" s="5" t="n">
        <v>0.0625</v>
      </c>
      <c r="D6" s="5" t="n">
        <v>0.0625</v>
      </c>
      <c r="E6" s="5" t="n">
        <v>0.0625</v>
      </c>
    </row>
    <row r="7">
      <c r="A7" t="inlineStr">
        <is>
          <t>envelope</t>
        </is>
      </c>
      <c r="B7" s="3" t="n">
        <v>51.81818181818182</v>
      </c>
      <c r="C7" s="5" t="n">
        <v>0</v>
      </c>
      <c r="D7" s="5" t="n">
        <v>0</v>
      </c>
      <c r="E7" s="5" t="n">
        <v>0</v>
      </c>
    </row>
    <row r="8">
      <c r="A8" t="inlineStr">
        <is>
          <t>lighting</t>
        </is>
      </c>
      <c r="B8" s="3" t="n">
        <v>9.132420091324201</v>
      </c>
      <c r="C8" s="5" t="n">
        <v>0.1111111111111111</v>
      </c>
      <c r="D8" s="5" t="n">
        <v>0.1111111111111111</v>
      </c>
      <c r="E8" s="5" t="n">
        <v>0.1111111111111111</v>
      </c>
    </row>
    <row r="9">
      <c r="A9" t="inlineStr">
        <is>
          <t>appliances</t>
        </is>
      </c>
      <c r="B9" s="3" t="n">
        <v>13.53333333333333</v>
      </c>
      <c r="C9" s="5" t="n">
        <v>0.07142857142857142</v>
      </c>
      <c r="D9" s="5" t="n">
        <v>0.07142857142857142</v>
      </c>
      <c r="E9" s="5" t="n">
        <v>0.07142857142857142</v>
      </c>
    </row>
    <row r="10">
      <c r="A10" t="inlineStr">
        <is>
          <t>other component</t>
        </is>
      </c>
      <c r="B10" s="3" t="n">
        <v>15.4</v>
      </c>
      <c r="C10" s="5" t="n">
        <v>0.06666666666666667</v>
      </c>
      <c r="D10" s="5" t="n">
        <v>0.06666666666666667</v>
      </c>
      <c r="E10" s="5" t="n">
        <v>0.06666666666666667</v>
      </c>
    </row>
    <row r="14" ht="15.75" customHeight="1">
      <c r="A14" s="35" t="inlineStr">
        <is>
          <t>Paste from default run (Retiring Components Potential Energy Use Summed Across Fuels)</t>
        </is>
      </c>
    </row>
    <row r="15">
      <c r="A15" s="36" t="inlineStr">
        <is>
          <t>Time (Time)</t>
        </is>
      </c>
      <c r="B15" s="36" t="n">
        <v>2019</v>
      </c>
      <c r="C15" s="36" t="n">
        <v>2020</v>
      </c>
      <c r="D15" s="36" t="n">
        <v>2021</v>
      </c>
      <c r="E15" s="36" t="n">
        <v>2022</v>
      </c>
      <c r="F15" s="36" t="n">
        <v>2023</v>
      </c>
      <c r="G15" s="36" t="n">
        <v>2024</v>
      </c>
      <c r="H15" s="36" t="n">
        <v>2025</v>
      </c>
      <c r="I15" s="36" t="n">
        <v>2026</v>
      </c>
      <c r="J15" s="36" t="n">
        <v>2027</v>
      </c>
      <c r="K15" s="36" t="n">
        <v>2028</v>
      </c>
      <c r="L15" s="36" t="n">
        <v>2029</v>
      </c>
      <c r="M15" s="36" t="n">
        <v>2030</v>
      </c>
      <c r="N15" s="36" t="n">
        <v>2031</v>
      </c>
      <c r="O15" s="36" t="n">
        <v>2032</v>
      </c>
      <c r="P15" s="36" t="n">
        <v>2033</v>
      </c>
      <c r="Q15" s="36" t="n">
        <v>2034</v>
      </c>
      <c r="R15" s="36" t="n">
        <v>2035</v>
      </c>
      <c r="S15" s="36" t="n">
        <v>2036</v>
      </c>
      <c r="T15" s="36" t="n">
        <v>2037</v>
      </c>
      <c r="U15" s="36" t="n">
        <v>2038</v>
      </c>
      <c r="V15" s="36" t="n">
        <v>2039</v>
      </c>
      <c r="W15" s="36" t="n">
        <v>2040</v>
      </c>
      <c r="X15" s="36" t="n">
        <v>2041</v>
      </c>
      <c r="Y15" s="36" t="n">
        <v>2042</v>
      </c>
      <c r="Z15" s="36" t="n">
        <v>2043</v>
      </c>
      <c r="AA15" s="36" t="n">
        <v>2044</v>
      </c>
      <c r="AB15" s="36" t="n">
        <v>2045</v>
      </c>
      <c r="AC15" s="36" t="n">
        <v>2046</v>
      </c>
      <c r="AD15" s="36" t="n">
        <v>2047</v>
      </c>
      <c r="AE15" s="36" t="n">
        <v>2048</v>
      </c>
      <c r="AF15" s="36" t="n">
        <v>2049</v>
      </c>
      <c r="AG15" s="36" t="n">
        <v>2050</v>
      </c>
    </row>
    <row r="16">
      <c r="A16" s="5" t="inlineStr">
        <is>
          <t>Retiring Components Potential Energy Use Summed Across Fuels[urban residential,heating] : MostRecentRun</t>
        </is>
      </c>
      <c r="B16" s="5" t="n">
        <v>6.65222</v>
      </c>
      <c r="C16" s="5" t="n">
        <v>6.65222</v>
      </c>
      <c r="D16" s="5" t="n">
        <v>6.65222</v>
      </c>
      <c r="E16" s="5" t="n">
        <v>6.65222</v>
      </c>
      <c r="F16" s="5" t="n">
        <v>6.65222</v>
      </c>
      <c r="G16" s="5" t="n">
        <v>6.65222</v>
      </c>
      <c r="H16" s="5" t="n">
        <v>6.65222</v>
      </c>
      <c r="I16" s="5" t="n">
        <v>6.65222</v>
      </c>
      <c r="J16" s="5" t="n">
        <v>6.65222</v>
      </c>
      <c r="K16" s="5" t="n">
        <v>6.65222</v>
      </c>
      <c r="L16" s="5" t="n">
        <v>6.65222</v>
      </c>
      <c r="M16" s="5" t="n">
        <v>6.65222</v>
      </c>
      <c r="N16" s="5" t="n">
        <v>6.65222</v>
      </c>
      <c r="O16" s="5" t="n">
        <v>6.65222</v>
      </c>
      <c r="P16" s="5" t="n">
        <v>6.65222</v>
      </c>
      <c r="Q16" s="5" t="n">
        <v>6.65222</v>
      </c>
      <c r="R16" s="5" t="n">
        <v>6.65222</v>
      </c>
      <c r="S16" s="5" t="n">
        <v>6.65222</v>
      </c>
      <c r="T16" s="5" t="n">
        <v>6.65222</v>
      </c>
      <c r="U16" s="5" t="n">
        <v>6.49037</v>
      </c>
      <c r="V16" s="5" t="n">
        <v>6.54683</v>
      </c>
      <c r="W16" s="5" t="n">
        <v>6.59368</v>
      </c>
      <c r="X16" s="5" t="n">
        <v>6.6324</v>
      </c>
      <c r="Y16" s="5" t="n">
        <v>6.66331</v>
      </c>
      <c r="Z16" s="5" t="n">
        <v>6.68649</v>
      </c>
      <c r="AA16" s="5" t="n">
        <v>6.70387</v>
      </c>
      <c r="AB16" s="5" t="n">
        <v>6.71764</v>
      </c>
      <c r="AC16" s="5" t="n">
        <v>6.73185</v>
      </c>
      <c r="AD16" s="5" t="n">
        <v>6.74231</v>
      </c>
      <c r="AE16" s="5" t="n">
        <v>6.75137</v>
      </c>
      <c r="AF16" s="5" t="n">
        <v>6.75787</v>
      </c>
      <c r="AG16" s="5" t="n">
        <v>6.769</v>
      </c>
    </row>
    <row r="17">
      <c r="A17" s="5" t="inlineStr">
        <is>
          <t>Retiring Components Potential Energy Use Summed Across Fuels[urban residential,cooling and ventilation] : MostRecentRun</t>
        </is>
      </c>
      <c r="B17" s="5" t="n">
        <v>175.75</v>
      </c>
      <c r="C17" s="5" t="n">
        <v>175.75</v>
      </c>
      <c r="D17" s="5" t="n">
        <v>175.75</v>
      </c>
      <c r="E17" s="5" t="n">
        <v>175.75</v>
      </c>
      <c r="F17" s="5" t="n">
        <v>175.75</v>
      </c>
      <c r="G17" s="5" t="n">
        <v>175.75</v>
      </c>
      <c r="H17" s="5" t="n">
        <v>175.75</v>
      </c>
      <c r="I17" s="5" t="n">
        <v>175.75</v>
      </c>
      <c r="J17" s="5" t="n">
        <v>175.75</v>
      </c>
      <c r="K17" s="5" t="n">
        <v>175.75</v>
      </c>
      <c r="L17" s="5" t="n">
        <v>175.75</v>
      </c>
      <c r="M17" s="5" t="n">
        <v>175.75</v>
      </c>
      <c r="N17" s="5" t="n">
        <v>175.75</v>
      </c>
      <c r="O17" s="5" t="n">
        <v>175.75</v>
      </c>
      <c r="P17" s="5" t="n">
        <v>175.75</v>
      </c>
      <c r="Q17" s="5" t="n">
        <v>175.75</v>
      </c>
      <c r="R17" s="5" t="n">
        <v>165.776</v>
      </c>
      <c r="S17" s="5" t="n">
        <v>157.764</v>
      </c>
      <c r="T17" s="5" t="n">
        <v>150.428</v>
      </c>
      <c r="U17" s="5" t="n">
        <v>143.562</v>
      </c>
      <c r="V17" s="5" t="n">
        <v>137.379</v>
      </c>
      <c r="W17" s="5" t="n">
        <v>131.868</v>
      </c>
      <c r="X17" s="5" t="n">
        <v>126.739</v>
      </c>
      <c r="Y17" s="5" t="n">
        <v>122.735</v>
      </c>
      <c r="Z17" s="5" t="n">
        <v>119.382</v>
      </c>
      <c r="AA17" s="5" t="n">
        <v>116.664</v>
      </c>
      <c r="AB17" s="5" t="n">
        <v>114.559</v>
      </c>
      <c r="AC17" s="5" t="n">
        <v>112.959</v>
      </c>
      <c r="AD17" s="5" t="n">
        <v>111.419</v>
      </c>
      <c r="AE17" s="5" t="n">
        <v>110.409</v>
      </c>
      <c r="AF17" s="5" t="n">
        <v>109.538</v>
      </c>
      <c r="AG17" s="5" t="n">
        <v>108.747</v>
      </c>
    </row>
    <row r="18">
      <c r="A18" s="5" t="inlineStr">
        <is>
          <t>Retiring Components Potential Energy Use Summed Across Fuels[urban residential,envelope] : MostRecentRun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</row>
    <row r="19">
      <c r="A19" s="5" t="inlineStr">
        <is>
          <t>Retiring Components Potential Energy Use Summed Across Fuels[urban residential,lighting] : MostRecentRun</t>
        </is>
      </c>
      <c r="B19" s="5" t="n">
        <v>428.264</v>
      </c>
      <c r="C19" s="5" t="n">
        <v>428.264</v>
      </c>
      <c r="D19" s="5" t="n">
        <v>428.264</v>
      </c>
      <c r="E19" s="5" t="n">
        <v>428.264</v>
      </c>
      <c r="F19" s="5" t="n">
        <v>428.264</v>
      </c>
      <c r="G19" s="5" t="n">
        <v>428.264</v>
      </c>
      <c r="H19" s="5" t="n">
        <v>428.264</v>
      </c>
      <c r="I19" s="5" t="n">
        <v>428.264</v>
      </c>
      <c r="J19" s="5" t="n">
        <v>428.264</v>
      </c>
      <c r="K19" s="5" t="n">
        <v>428.264</v>
      </c>
      <c r="L19" s="5" t="n">
        <v>375.801</v>
      </c>
      <c r="M19" s="5" t="n">
        <v>365.754</v>
      </c>
      <c r="N19" s="5" t="n">
        <v>358.497</v>
      </c>
      <c r="O19" s="5" t="n">
        <v>351.45</v>
      </c>
      <c r="P19" s="5" t="n">
        <v>344.796</v>
      </c>
      <c r="Q19" s="5" t="n">
        <v>340.271</v>
      </c>
      <c r="R19" s="5" t="n">
        <v>337.818</v>
      </c>
      <c r="S19" s="5" t="n">
        <v>335.922</v>
      </c>
      <c r="T19" s="5" t="n">
        <v>333.712</v>
      </c>
      <c r="U19" s="5" t="n">
        <v>331.528</v>
      </c>
      <c r="V19" s="5" t="n">
        <v>329.592</v>
      </c>
      <c r="W19" s="5" t="n">
        <v>328.419</v>
      </c>
      <c r="X19" s="5" t="n">
        <v>327.969</v>
      </c>
      <c r="Y19" s="5" t="n">
        <v>327.748</v>
      </c>
      <c r="Z19" s="5" t="n">
        <v>327.258</v>
      </c>
      <c r="AA19" s="5" t="n">
        <v>326.517</v>
      </c>
      <c r="AB19" s="5" t="n">
        <v>324.586</v>
      </c>
      <c r="AC19" s="5" t="n">
        <v>322.297</v>
      </c>
      <c r="AD19" s="5" t="n">
        <v>319.749</v>
      </c>
      <c r="AE19" s="5" t="n">
        <v>317.116</v>
      </c>
      <c r="AF19" s="5" t="n">
        <v>314.516</v>
      </c>
      <c r="AG19" s="5" t="n">
        <v>308.491</v>
      </c>
    </row>
    <row r="20">
      <c r="A20" s="5" t="inlineStr">
        <is>
          <t>Retiring Components Potential Energy Use Summed Across Fuels[urban residential,appliances] : MostRecentRun</t>
        </is>
      </c>
      <c r="B20" s="5" t="n">
        <v>3.28439</v>
      </c>
      <c r="C20" s="5" t="n">
        <v>3.28439</v>
      </c>
      <c r="D20" s="5" t="n">
        <v>3.28439</v>
      </c>
      <c r="E20" s="5" t="n">
        <v>3.28439</v>
      </c>
      <c r="F20" s="5" t="n">
        <v>3.28439</v>
      </c>
      <c r="G20" s="5" t="n">
        <v>3.28439</v>
      </c>
      <c r="H20" s="5" t="n">
        <v>3.28439</v>
      </c>
      <c r="I20" s="5" t="n">
        <v>3.28439</v>
      </c>
      <c r="J20" s="5" t="n">
        <v>3.28439</v>
      </c>
      <c r="K20" s="5" t="n">
        <v>3.28439</v>
      </c>
      <c r="L20" s="5" t="n">
        <v>3.28439</v>
      </c>
      <c r="M20" s="5" t="n">
        <v>3.28439</v>
      </c>
      <c r="N20" s="5" t="n">
        <v>3.28439</v>
      </c>
      <c r="O20" s="5" t="n">
        <v>3.28439</v>
      </c>
      <c r="P20" s="5" t="n">
        <v>2.75582</v>
      </c>
      <c r="Q20" s="5" t="n">
        <v>2.73336</v>
      </c>
      <c r="R20" s="5" t="n">
        <v>2.71285</v>
      </c>
      <c r="S20" s="5" t="n">
        <v>2.69303</v>
      </c>
      <c r="T20" s="5" t="n">
        <v>2.6758</v>
      </c>
      <c r="U20" s="5" t="n">
        <v>2.6614</v>
      </c>
      <c r="V20" s="5" t="n">
        <v>2.65069</v>
      </c>
      <c r="W20" s="5" t="n">
        <v>2.64515</v>
      </c>
      <c r="X20" s="5" t="n">
        <v>2.64312</v>
      </c>
      <c r="Y20" s="5" t="n">
        <v>2.64469</v>
      </c>
      <c r="Z20" s="5" t="n">
        <v>2.649</v>
      </c>
      <c r="AA20" s="5" t="n">
        <v>2.6572</v>
      </c>
      <c r="AB20" s="5" t="n">
        <v>2.6675</v>
      </c>
      <c r="AC20" s="5" t="n">
        <v>2.68026</v>
      </c>
      <c r="AD20" s="5" t="n">
        <v>2.69279</v>
      </c>
      <c r="AE20" s="5" t="n">
        <v>2.70706</v>
      </c>
      <c r="AF20" s="5" t="n">
        <v>2.72154</v>
      </c>
      <c r="AG20" s="5" t="n">
        <v>2.73759</v>
      </c>
    </row>
    <row r="21">
      <c r="A21" s="5" t="inlineStr">
        <is>
          <t>Retiring Components Potential Energy Use Summed Across Fuels[urban residential,other component] : MostRecentRun</t>
        </is>
      </c>
      <c r="B21" s="5" t="n">
        <v>1.45727</v>
      </c>
      <c r="C21" s="5" t="n">
        <v>1.45727</v>
      </c>
      <c r="D21" s="5" t="n">
        <v>1.45727</v>
      </c>
      <c r="E21" s="5" t="n">
        <v>1.45727</v>
      </c>
      <c r="F21" s="5" t="n">
        <v>1.45727</v>
      </c>
      <c r="G21" s="5" t="n">
        <v>1.45727</v>
      </c>
      <c r="H21" s="5" t="n">
        <v>1.45727</v>
      </c>
      <c r="I21" s="5" t="n">
        <v>1.45727</v>
      </c>
      <c r="J21" s="5" t="n">
        <v>1.45727</v>
      </c>
      <c r="K21" s="5" t="n">
        <v>1.45727</v>
      </c>
      <c r="L21" s="5" t="n">
        <v>1.45727</v>
      </c>
      <c r="M21" s="5" t="n">
        <v>1.45727</v>
      </c>
      <c r="N21" s="5" t="n">
        <v>1.45727</v>
      </c>
      <c r="O21" s="5" t="n">
        <v>1.45727</v>
      </c>
      <c r="P21" s="5" t="n">
        <v>1.45727</v>
      </c>
      <c r="Q21" s="5" t="n">
        <v>1.45727</v>
      </c>
      <c r="R21" s="5" t="n">
        <v>1.47158</v>
      </c>
      <c r="S21" s="5" t="n">
        <v>1.48272</v>
      </c>
      <c r="T21" s="5" t="n">
        <v>1.499</v>
      </c>
      <c r="U21" s="5" t="n">
        <v>1.51635</v>
      </c>
      <c r="V21" s="5" t="n">
        <v>1.53606</v>
      </c>
      <c r="W21" s="5" t="n">
        <v>1.55686</v>
      </c>
      <c r="X21" s="5" t="n">
        <v>1.57416</v>
      </c>
      <c r="Y21" s="5" t="n">
        <v>1.5941</v>
      </c>
      <c r="Z21" s="5" t="n">
        <v>1.61603</v>
      </c>
      <c r="AA21" s="5" t="n">
        <v>1.63718</v>
      </c>
      <c r="AB21" s="5" t="n">
        <v>1.65693</v>
      </c>
      <c r="AC21" s="5" t="n">
        <v>1.67707</v>
      </c>
      <c r="AD21" s="5" t="n">
        <v>1.69809</v>
      </c>
      <c r="AE21" s="5" t="n">
        <v>1.72092</v>
      </c>
      <c r="AF21" s="5" t="n">
        <v>1.74595</v>
      </c>
      <c r="AG21" s="5" t="n">
        <v>1.77115</v>
      </c>
    </row>
    <row r="22">
      <c r="A22" s="5" t="inlineStr">
        <is>
          <t>Retiring Components Potential Energy Use Summed Across Fuels[rural residential,heating] : MostRecentRun</t>
        </is>
      </c>
      <c r="B22" s="5" t="n">
        <v>2.82388</v>
      </c>
      <c r="C22" s="5" t="n">
        <v>2.82388</v>
      </c>
      <c r="D22" s="5" t="n">
        <v>2.82388</v>
      </c>
      <c r="E22" s="5" t="n">
        <v>2.82388</v>
      </c>
      <c r="F22" s="5" t="n">
        <v>2.82388</v>
      </c>
      <c r="G22" s="5" t="n">
        <v>2.82388</v>
      </c>
      <c r="H22" s="5" t="n">
        <v>2.82388</v>
      </c>
      <c r="I22" s="5" t="n">
        <v>2.82388</v>
      </c>
      <c r="J22" s="5" t="n">
        <v>2.82388</v>
      </c>
      <c r="K22" s="5" t="n">
        <v>2.82388</v>
      </c>
      <c r="L22" s="5" t="n">
        <v>2.82388</v>
      </c>
      <c r="M22" s="5" t="n">
        <v>2.82388</v>
      </c>
      <c r="N22" s="5" t="n">
        <v>2.82388</v>
      </c>
      <c r="O22" s="5" t="n">
        <v>2.82388</v>
      </c>
      <c r="P22" s="5" t="n">
        <v>2.82388</v>
      </c>
      <c r="Q22" s="5" t="n">
        <v>2.82388</v>
      </c>
      <c r="R22" s="5" t="n">
        <v>2.82388</v>
      </c>
      <c r="S22" s="5" t="n">
        <v>2.82388</v>
      </c>
      <c r="T22" s="5" t="n">
        <v>2.82388</v>
      </c>
      <c r="U22" s="5" t="n">
        <v>2.75517</v>
      </c>
      <c r="V22" s="5" t="n">
        <v>2.77914</v>
      </c>
      <c r="W22" s="5" t="n">
        <v>2.79903</v>
      </c>
      <c r="X22" s="5" t="n">
        <v>2.81546</v>
      </c>
      <c r="Y22" s="5" t="n">
        <v>2.82858</v>
      </c>
      <c r="Z22" s="5" t="n">
        <v>2.83842</v>
      </c>
      <c r="AA22" s="5" t="n">
        <v>2.8458</v>
      </c>
      <c r="AB22" s="5" t="n">
        <v>2.85165</v>
      </c>
      <c r="AC22" s="5" t="n">
        <v>2.85768</v>
      </c>
      <c r="AD22" s="5" t="n">
        <v>2.86212</v>
      </c>
      <c r="AE22" s="5" t="n">
        <v>2.86597</v>
      </c>
      <c r="AF22" s="5" t="n">
        <v>2.86872</v>
      </c>
      <c r="AG22" s="5" t="n">
        <v>2.87345</v>
      </c>
    </row>
    <row r="23">
      <c r="A23" s="5" t="inlineStr">
        <is>
          <t>Retiring Components Potential Energy Use Summed Across Fuels[rural residential,cooling and ventilation] : MostRecentRun</t>
        </is>
      </c>
      <c r="B23" s="5" t="n">
        <v>74.6063</v>
      </c>
      <c r="C23" s="5" t="n">
        <v>74.6063</v>
      </c>
      <c r="D23" s="5" t="n">
        <v>74.6063</v>
      </c>
      <c r="E23" s="5" t="n">
        <v>74.6063</v>
      </c>
      <c r="F23" s="5" t="n">
        <v>74.6063</v>
      </c>
      <c r="G23" s="5" t="n">
        <v>74.6063</v>
      </c>
      <c r="H23" s="5" t="n">
        <v>74.6063</v>
      </c>
      <c r="I23" s="5" t="n">
        <v>74.6063</v>
      </c>
      <c r="J23" s="5" t="n">
        <v>74.6063</v>
      </c>
      <c r="K23" s="5" t="n">
        <v>74.6063</v>
      </c>
      <c r="L23" s="5" t="n">
        <v>74.6063</v>
      </c>
      <c r="M23" s="5" t="n">
        <v>74.6063</v>
      </c>
      <c r="N23" s="5" t="n">
        <v>74.6063</v>
      </c>
      <c r="O23" s="5" t="n">
        <v>74.6063</v>
      </c>
      <c r="P23" s="5" t="n">
        <v>74.6063</v>
      </c>
      <c r="Q23" s="5" t="n">
        <v>74.6063</v>
      </c>
      <c r="R23" s="5" t="n">
        <v>70.3724</v>
      </c>
      <c r="S23" s="5" t="n">
        <v>66.971</v>
      </c>
      <c r="T23" s="5" t="n">
        <v>63.8569</v>
      </c>
      <c r="U23" s="5" t="n">
        <v>60.9422</v>
      </c>
      <c r="V23" s="5" t="n">
        <v>58.3175</v>
      </c>
      <c r="W23" s="5" t="n">
        <v>55.9782</v>
      </c>
      <c r="X23" s="5" t="n">
        <v>53.8007</v>
      </c>
      <c r="Y23" s="5" t="n">
        <v>52.101</v>
      </c>
      <c r="Z23" s="5" t="n">
        <v>50.6779</v>
      </c>
      <c r="AA23" s="5" t="n">
        <v>49.524</v>
      </c>
      <c r="AB23" s="5" t="n">
        <v>48.6304</v>
      </c>
      <c r="AC23" s="5" t="n">
        <v>47.9514</v>
      </c>
      <c r="AD23" s="5" t="n">
        <v>47.2975</v>
      </c>
      <c r="AE23" s="5" t="n">
        <v>46.8686</v>
      </c>
      <c r="AF23" s="5" t="n">
        <v>46.4992</v>
      </c>
      <c r="AG23" s="5" t="n">
        <v>46.1634</v>
      </c>
    </row>
    <row r="24">
      <c r="A24" s="5" t="inlineStr">
        <is>
          <t>Retiring Components Potential Energy Use Summed Across Fuels[rural residential,envelope] : MostRecentRun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</row>
    <row r="25">
      <c r="A25" s="5" t="inlineStr">
        <is>
          <t>Retiring Components Potential Energy Use Summed Across Fuels[rural residential,lighting] : MostRecentRun</t>
        </is>
      </c>
      <c r="B25" s="5" t="n">
        <v>181.799</v>
      </c>
      <c r="C25" s="5" t="n">
        <v>181.799</v>
      </c>
      <c r="D25" s="5" t="n">
        <v>181.799</v>
      </c>
      <c r="E25" s="5" t="n">
        <v>181.799</v>
      </c>
      <c r="F25" s="5" t="n">
        <v>181.799</v>
      </c>
      <c r="G25" s="5" t="n">
        <v>181.799</v>
      </c>
      <c r="H25" s="5" t="n">
        <v>181.799</v>
      </c>
      <c r="I25" s="5" t="n">
        <v>181.799</v>
      </c>
      <c r="J25" s="5" t="n">
        <v>181.799</v>
      </c>
      <c r="K25" s="5" t="n">
        <v>181.799</v>
      </c>
      <c r="L25" s="5" t="n">
        <v>159.528</v>
      </c>
      <c r="M25" s="5" t="n">
        <v>155.263</v>
      </c>
      <c r="N25" s="5" t="n">
        <v>152.182</v>
      </c>
      <c r="O25" s="5" t="n">
        <v>149.191</v>
      </c>
      <c r="P25" s="5" t="n">
        <v>146.366</v>
      </c>
      <c r="Q25" s="5" t="n">
        <v>144.446</v>
      </c>
      <c r="R25" s="5" t="n">
        <v>143.404</v>
      </c>
      <c r="S25" s="5" t="n">
        <v>142.599</v>
      </c>
      <c r="T25" s="5" t="n">
        <v>141.661</v>
      </c>
      <c r="U25" s="5" t="n">
        <v>140.734</v>
      </c>
      <c r="V25" s="5" t="n">
        <v>139.912</v>
      </c>
      <c r="W25" s="5" t="n">
        <v>139.414</v>
      </c>
      <c r="X25" s="5" t="n">
        <v>139.223</v>
      </c>
      <c r="Y25" s="5" t="n">
        <v>139.129</v>
      </c>
      <c r="Z25" s="5" t="n">
        <v>138.922</v>
      </c>
      <c r="AA25" s="5" t="n">
        <v>138.607</v>
      </c>
      <c r="AB25" s="5" t="n">
        <v>137.787</v>
      </c>
      <c r="AC25" s="5" t="n">
        <v>136.816</v>
      </c>
      <c r="AD25" s="5" t="n">
        <v>135.734</v>
      </c>
      <c r="AE25" s="5" t="n">
        <v>134.616</v>
      </c>
      <c r="AF25" s="5" t="n">
        <v>133.512</v>
      </c>
      <c r="AG25" s="5" t="n">
        <v>130.955</v>
      </c>
    </row>
    <row r="26">
      <c r="A26" s="5" t="inlineStr">
        <is>
          <t>Retiring Components Potential Energy Use Summed Across Fuels[rural residential,appliances] : MostRecentRun</t>
        </is>
      </c>
      <c r="B26" s="5" t="n">
        <v>1.39423</v>
      </c>
      <c r="C26" s="5" t="n">
        <v>1.39423</v>
      </c>
      <c r="D26" s="5" t="n">
        <v>1.39423</v>
      </c>
      <c r="E26" s="5" t="n">
        <v>1.39423</v>
      </c>
      <c r="F26" s="5" t="n">
        <v>1.39423</v>
      </c>
      <c r="G26" s="5" t="n">
        <v>1.39423</v>
      </c>
      <c r="H26" s="5" t="n">
        <v>1.39423</v>
      </c>
      <c r="I26" s="5" t="n">
        <v>1.39423</v>
      </c>
      <c r="J26" s="5" t="n">
        <v>1.39423</v>
      </c>
      <c r="K26" s="5" t="n">
        <v>1.39423</v>
      </c>
      <c r="L26" s="5" t="n">
        <v>1.39423</v>
      </c>
      <c r="M26" s="5" t="n">
        <v>1.39423</v>
      </c>
      <c r="N26" s="5" t="n">
        <v>1.39423</v>
      </c>
      <c r="O26" s="5" t="n">
        <v>1.39423</v>
      </c>
      <c r="P26" s="5" t="n">
        <v>1.16985</v>
      </c>
      <c r="Q26" s="5" t="n">
        <v>1.16032</v>
      </c>
      <c r="R26" s="5" t="n">
        <v>1.15161</v>
      </c>
      <c r="S26" s="5" t="n">
        <v>1.14319</v>
      </c>
      <c r="T26" s="5" t="n">
        <v>1.13588</v>
      </c>
      <c r="U26" s="5" t="n">
        <v>1.12977</v>
      </c>
      <c r="V26" s="5" t="n">
        <v>1.12522</v>
      </c>
      <c r="W26" s="5" t="n">
        <v>1.12287</v>
      </c>
      <c r="X26" s="5" t="n">
        <v>1.12201</v>
      </c>
      <c r="Y26" s="5" t="n">
        <v>1.12267</v>
      </c>
      <c r="Z26" s="5" t="n">
        <v>1.12451</v>
      </c>
      <c r="AA26" s="5" t="n">
        <v>1.12798</v>
      </c>
      <c r="AB26" s="5" t="n">
        <v>1.13236</v>
      </c>
      <c r="AC26" s="5" t="n">
        <v>1.13777</v>
      </c>
      <c r="AD26" s="5" t="n">
        <v>1.14309</v>
      </c>
      <c r="AE26" s="5" t="n">
        <v>1.14915</v>
      </c>
      <c r="AF26" s="5" t="n">
        <v>1.1553</v>
      </c>
      <c r="AG26" s="5" t="n">
        <v>1.16211</v>
      </c>
    </row>
    <row r="27">
      <c r="A27" s="5" t="inlineStr">
        <is>
          <t>Retiring Components Potential Energy Use Summed Across Fuels[rural residential,other component] : MostRecentRun</t>
        </is>
      </c>
      <c r="B27" s="5" t="n">
        <v>618.615</v>
      </c>
      <c r="C27" s="5" t="n">
        <v>618.615</v>
      </c>
      <c r="D27" s="5" t="n">
        <v>618.615</v>
      </c>
      <c r="E27" s="5" t="n">
        <v>618.615</v>
      </c>
      <c r="F27" s="5" t="n">
        <v>618.615</v>
      </c>
      <c r="G27" s="5" t="n">
        <v>618.615</v>
      </c>
      <c r="H27" s="5" t="n">
        <v>618.615</v>
      </c>
      <c r="I27" s="5" t="n">
        <v>618.615</v>
      </c>
      <c r="J27" s="5" t="n">
        <v>618.615</v>
      </c>
      <c r="K27" s="5" t="n">
        <v>618.615</v>
      </c>
      <c r="L27" s="5" t="n">
        <v>618.615</v>
      </c>
      <c r="M27" s="5" t="n">
        <v>618.615</v>
      </c>
      <c r="N27" s="5" t="n">
        <v>618.615</v>
      </c>
      <c r="O27" s="5" t="n">
        <v>618.615</v>
      </c>
      <c r="P27" s="5" t="n">
        <v>618.615</v>
      </c>
      <c r="Q27" s="5" t="n">
        <v>618.615</v>
      </c>
      <c r="R27" s="5" t="n">
        <v>624.688</v>
      </c>
      <c r="S27" s="5" t="n">
        <v>629.4160000000001</v>
      </c>
      <c r="T27" s="5" t="n">
        <v>636.326</v>
      </c>
      <c r="U27" s="5" t="n">
        <v>643.693</v>
      </c>
      <c r="V27" s="5" t="n">
        <v>652.061</v>
      </c>
      <c r="W27" s="5" t="n">
        <v>660.889</v>
      </c>
      <c r="X27" s="5" t="n">
        <v>668.231</v>
      </c>
      <c r="Y27" s="5" t="n">
        <v>676.696</v>
      </c>
      <c r="Z27" s="5" t="n">
        <v>686.006</v>
      </c>
      <c r="AA27" s="5" t="n">
        <v>694.9829999999999</v>
      </c>
      <c r="AB27" s="5" t="n">
        <v>703.369</v>
      </c>
      <c r="AC27" s="5" t="n">
        <v>711.918</v>
      </c>
      <c r="AD27" s="5" t="n">
        <v>720.842</v>
      </c>
      <c r="AE27" s="5" t="n">
        <v>730.5309999999999</v>
      </c>
      <c r="AF27" s="5" t="n">
        <v>741.159</v>
      </c>
      <c r="AG27" s="5" t="n">
        <v>751.857</v>
      </c>
    </row>
    <row r="28">
      <c r="A28" s="5" t="inlineStr">
        <is>
          <t>Retiring Components Potential Energy Use Summed Across Fuels[commercial,heating] : MostRecentRun</t>
        </is>
      </c>
      <c r="B28" s="5" t="n">
        <v>3.32758</v>
      </c>
      <c r="C28" s="5" t="n">
        <v>3.32758</v>
      </c>
      <c r="D28" s="5" t="n">
        <v>3.32758</v>
      </c>
      <c r="E28" s="5" t="n">
        <v>3.32758</v>
      </c>
      <c r="F28" s="5" t="n">
        <v>3.32758</v>
      </c>
      <c r="G28" s="5" t="n">
        <v>3.32758</v>
      </c>
      <c r="H28" s="5" t="n">
        <v>3.32758</v>
      </c>
      <c r="I28" s="5" t="n">
        <v>3.32758</v>
      </c>
      <c r="J28" s="5" t="n">
        <v>3.32758</v>
      </c>
      <c r="K28" s="5" t="n">
        <v>3.32758</v>
      </c>
      <c r="L28" s="5" t="n">
        <v>3.32758</v>
      </c>
      <c r="M28" s="5" t="n">
        <v>3.32758</v>
      </c>
      <c r="N28" s="5" t="n">
        <v>3.32758</v>
      </c>
      <c r="O28" s="5" t="n">
        <v>3.32758</v>
      </c>
      <c r="P28" s="5" t="n">
        <v>3.32758</v>
      </c>
      <c r="Q28" s="5" t="n">
        <v>3.32758</v>
      </c>
      <c r="R28" s="5" t="n">
        <v>3.32758</v>
      </c>
      <c r="S28" s="5" t="n">
        <v>3.32758</v>
      </c>
      <c r="T28" s="5" t="n">
        <v>3.32758</v>
      </c>
      <c r="U28" s="5" t="n">
        <v>3.71897</v>
      </c>
      <c r="V28" s="5" t="n">
        <v>3.72385</v>
      </c>
      <c r="W28" s="5" t="n">
        <v>3.72283</v>
      </c>
      <c r="X28" s="5" t="n">
        <v>3.71342</v>
      </c>
      <c r="Y28" s="5" t="n">
        <v>3.70149</v>
      </c>
      <c r="Z28" s="5" t="n">
        <v>3.68828</v>
      </c>
      <c r="AA28" s="5" t="n">
        <v>3.67426</v>
      </c>
      <c r="AB28" s="5" t="n">
        <v>3.65942</v>
      </c>
      <c r="AC28" s="5" t="n">
        <v>3.64538</v>
      </c>
      <c r="AD28" s="5" t="n">
        <v>3.63102</v>
      </c>
      <c r="AE28" s="5" t="n">
        <v>3.61564</v>
      </c>
      <c r="AF28" s="5" t="n">
        <v>3.5998</v>
      </c>
      <c r="AG28" s="5" t="n">
        <v>3.58407</v>
      </c>
    </row>
    <row r="29">
      <c r="A29" s="5" t="inlineStr">
        <is>
          <t>Retiring Components Potential Energy Use Summed Across Fuels[commercial,cooling and ventilation] : MostRecentRun</t>
        </is>
      </c>
      <c r="B29" s="5" t="n">
        <v>888.588</v>
      </c>
      <c r="C29" s="5" t="n">
        <v>888.588</v>
      </c>
      <c r="D29" s="5" t="n">
        <v>888.588</v>
      </c>
      <c r="E29" s="5" t="n">
        <v>888.588</v>
      </c>
      <c r="F29" s="5" t="n">
        <v>888.588</v>
      </c>
      <c r="G29" s="5" t="n">
        <v>888.588</v>
      </c>
      <c r="H29" s="5" t="n">
        <v>888.588</v>
      </c>
      <c r="I29" s="5" t="n">
        <v>888.588</v>
      </c>
      <c r="J29" s="5" t="n">
        <v>888.588</v>
      </c>
      <c r="K29" s="5" t="n">
        <v>888.588</v>
      </c>
      <c r="L29" s="5" t="n">
        <v>888.588</v>
      </c>
      <c r="M29" s="5" t="n">
        <v>888.588</v>
      </c>
      <c r="N29" s="5" t="n">
        <v>888.588</v>
      </c>
      <c r="O29" s="5" t="n">
        <v>888.588</v>
      </c>
      <c r="P29" s="5" t="n">
        <v>888.588</v>
      </c>
      <c r="Q29" s="5" t="n">
        <v>888.588</v>
      </c>
      <c r="R29" s="5" t="n">
        <v>855.955</v>
      </c>
      <c r="S29" s="5" t="n">
        <v>857.6180000000001</v>
      </c>
      <c r="T29" s="5" t="n">
        <v>858.046</v>
      </c>
      <c r="U29" s="5" t="n">
        <v>857.648</v>
      </c>
      <c r="V29" s="5" t="n">
        <v>856.473</v>
      </c>
      <c r="W29" s="5" t="n">
        <v>853.0119999999999</v>
      </c>
      <c r="X29" s="5" t="n">
        <v>847.977</v>
      </c>
      <c r="Y29" s="5" t="n">
        <v>842.028</v>
      </c>
      <c r="Z29" s="5" t="n">
        <v>834.4400000000001</v>
      </c>
      <c r="AA29" s="5" t="n">
        <v>826.099</v>
      </c>
      <c r="AB29" s="5" t="n">
        <v>816.183</v>
      </c>
      <c r="AC29" s="5" t="n">
        <v>805.063</v>
      </c>
      <c r="AD29" s="5" t="n">
        <v>793.798</v>
      </c>
      <c r="AE29" s="5" t="n">
        <v>782.673</v>
      </c>
      <c r="AF29" s="5" t="n">
        <v>771.588</v>
      </c>
      <c r="AG29" s="5" t="n">
        <v>760.934</v>
      </c>
    </row>
    <row r="30">
      <c r="A30" s="5" t="inlineStr">
        <is>
          <t>Retiring Components Potential Energy Use Summed Across Fuels[commercial,envelope] : MostRecentRun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</row>
    <row r="31">
      <c r="A31" s="5" t="inlineStr">
        <is>
          <t>Retiring Components Potential Energy Use Summed Across Fuels[commercial,lighting] : MostRecentRun</t>
        </is>
      </c>
      <c r="B31" s="5" t="n">
        <v>1.04592</v>
      </c>
      <c r="C31" s="5" t="n">
        <v>1.04592</v>
      </c>
      <c r="D31" s="5" t="n">
        <v>1.04592</v>
      </c>
      <c r="E31" s="5" t="n">
        <v>1.04592</v>
      </c>
      <c r="F31" s="5" t="n">
        <v>1.04592</v>
      </c>
      <c r="G31" s="5" t="n">
        <v>1.04592</v>
      </c>
      <c r="H31" s="5" t="n">
        <v>1.04592</v>
      </c>
      <c r="I31" s="5" t="n">
        <v>1.04592</v>
      </c>
      <c r="J31" s="5" t="n">
        <v>1.04592</v>
      </c>
      <c r="K31" s="5" t="n">
        <v>1.04592</v>
      </c>
      <c r="L31" s="5" t="n">
        <v>1.02562</v>
      </c>
      <c r="M31" s="5" t="n">
        <v>1.00794</v>
      </c>
      <c r="N31" s="5" t="n">
        <v>966.66</v>
      </c>
      <c r="O31" s="5" t="n">
        <v>909.443</v>
      </c>
      <c r="P31" s="5" t="n">
        <v>850.842</v>
      </c>
      <c r="Q31" s="5" t="n">
        <v>796.732</v>
      </c>
      <c r="R31" s="5" t="n">
        <v>745.7569999999999</v>
      </c>
      <c r="S31" s="5" t="n">
        <v>698.513</v>
      </c>
      <c r="T31" s="5" t="n">
        <v>655.654</v>
      </c>
      <c r="U31" s="5" t="n">
        <v>617.239</v>
      </c>
      <c r="V31" s="5" t="n">
        <v>583.592</v>
      </c>
      <c r="W31" s="5" t="n">
        <v>554.8630000000001</v>
      </c>
      <c r="X31" s="5" t="n">
        <v>530.4400000000001</v>
      </c>
      <c r="Y31" s="5" t="n">
        <v>509.15</v>
      </c>
      <c r="Z31" s="5" t="n">
        <v>490.143</v>
      </c>
      <c r="AA31" s="5" t="n">
        <v>472.64</v>
      </c>
      <c r="AB31" s="5" t="n">
        <v>456.174</v>
      </c>
      <c r="AC31" s="5" t="n">
        <v>440.977</v>
      </c>
      <c r="AD31" s="5" t="n">
        <v>427.356</v>
      </c>
      <c r="AE31" s="5" t="n">
        <v>414.816</v>
      </c>
      <c r="AF31" s="5" t="n">
        <v>402.911</v>
      </c>
      <c r="AG31" s="5" t="n">
        <v>392.106</v>
      </c>
    </row>
    <row r="32">
      <c r="A32" s="5" t="inlineStr">
        <is>
          <t>Retiring Components Potential Energy Use Summed Across Fuels[commercial,appliances] : MostRecentRun</t>
        </is>
      </c>
      <c r="B32" s="5" t="n">
        <v>2.05896</v>
      </c>
      <c r="C32" s="5" t="n">
        <v>2.05896</v>
      </c>
      <c r="D32" s="5" t="n">
        <v>2.05896</v>
      </c>
      <c r="E32" s="5" t="n">
        <v>2.05896</v>
      </c>
      <c r="F32" s="5" t="n">
        <v>2.05896</v>
      </c>
      <c r="G32" s="5" t="n">
        <v>2.05896</v>
      </c>
      <c r="H32" s="5" t="n">
        <v>2.05896</v>
      </c>
      <c r="I32" s="5" t="n">
        <v>2.05896</v>
      </c>
      <c r="J32" s="5" t="n">
        <v>2.05896</v>
      </c>
      <c r="K32" s="5" t="n">
        <v>2.05896</v>
      </c>
      <c r="L32" s="5" t="n">
        <v>2.05896</v>
      </c>
      <c r="M32" s="5" t="n">
        <v>2.05896</v>
      </c>
      <c r="N32" s="5" t="n">
        <v>2.05896</v>
      </c>
      <c r="O32" s="5" t="n">
        <v>2.05896</v>
      </c>
      <c r="P32" s="5" t="n">
        <v>2.13378</v>
      </c>
      <c r="Q32" s="5" t="n">
        <v>2.166</v>
      </c>
      <c r="R32" s="5" t="n">
        <v>2.19689</v>
      </c>
      <c r="S32" s="5" t="n">
        <v>2.22432</v>
      </c>
      <c r="T32" s="5" t="n">
        <v>2.24924</v>
      </c>
      <c r="U32" s="5" t="n">
        <v>2.27008</v>
      </c>
      <c r="V32" s="5" t="n">
        <v>2.2871</v>
      </c>
      <c r="W32" s="5" t="n">
        <v>2.30023</v>
      </c>
      <c r="X32" s="5" t="n">
        <v>2.31221</v>
      </c>
      <c r="Y32" s="5" t="n">
        <v>2.32349</v>
      </c>
      <c r="Z32" s="5" t="n">
        <v>2.33577</v>
      </c>
      <c r="AA32" s="5" t="n">
        <v>2.34807</v>
      </c>
      <c r="AB32" s="5" t="n">
        <v>2.36204</v>
      </c>
      <c r="AC32" s="5" t="n">
        <v>2.37648</v>
      </c>
      <c r="AD32" s="5" t="n">
        <v>2.39251</v>
      </c>
      <c r="AE32" s="5" t="n">
        <v>2.40998</v>
      </c>
      <c r="AF32" s="5" t="n">
        <v>2.4287</v>
      </c>
      <c r="AG32" s="5" t="n">
        <v>2.44764</v>
      </c>
    </row>
    <row r="33">
      <c r="A33" s="5" t="inlineStr">
        <is>
          <t>Retiring Components Potential Energy Use Summed Across Fuels[commercial,other component] : MostRecentRun</t>
        </is>
      </c>
      <c r="B33" s="5" t="n">
        <v>4.07131</v>
      </c>
      <c r="C33" s="5" t="n">
        <v>4.07131</v>
      </c>
      <c r="D33" s="5" t="n">
        <v>4.07131</v>
      </c>
      <c r="E33" s="5" t="n">
        <v>4.07131</v>
      </c>
      <c r="F33" s="5" t="n">
        <v>4.07131</v>
      </c>
      <c r="G33" s="5" t="n">
        <v>4.07131</v>
      </c>
      <c r="H33" s="5" t="n">
        <v>4.07131</v>
      </c>
      <c r="I33" s="5" t="n">
        <v>4.07131</v>
      </c>
      <c r="J33" s="5" t="n">
        <v>4.07131</v>
      </c>
      <c r="K33" s="5" t="n">
        <v>4.07131</v>
      </c>
      <c r="L33" s="5" t="n">
        <v>4.07131</v>
      </c>
      <c r="M33" s="5" t="n">
        <v>4.07131</v>
      </c>
      <c r="N33" s="5" t="n">
        <v>4.07131</v>
      </c>
      <c r="O33" s="5" t="n">
        <v>4.07131</v>
      </c>
      <c r="P33" s="5" t="n">
        <v>4.07131</v>
      </c>
      <c r="Q33" s="5" t="n">
        <v>4.07131</v>
      </c>
      <c r="R33" s="5" t="n">
        <v>4.36156</v>
      </c>
      <c r="S33" s="5" t="n">
        <v>4.36179</v>
      </c>
      <c r="T33" s="5" t="n">
        <v>4.40102</v>
      </c>
      <c r="U33" s="5" t="n">
        <v>4.45525</v>
      </c>
      <c r="V33" s="5" t="n">
        <v>4.51922</v>
      </c>
      <c r="W33" s="5" t="n">
        <v>4.58474</v>
      </c>
      <c r="X33" s="5" t="n">
        <v>4.65651</v>
      </c>
      <c r="Y33" s="5" t="n">
        <v>4.72896</v>
      </c>
      <c r="Z33" s="5" t="n">
        <v>4.80672</v>
      </c>
      <c r="AA33" s="5" t="n">
        <v>4.89033</v>
      </c>
      <c r="AB33" s="5" t="n">
        <v>4.97855</v>
      </c>
      <c r="AC33" s="5" t="n">
        <v>5.0685</v>
      </c>
      <c r="AD33" s="5" t="n">
        <v>5.16242</v>
      </c>
      <c r="AE33" s="5" t="n">
        <v>5.26021</v>
      </c>
      <c r="AF33" s="5" t="n">
        <v>5.3597</v>
      </c>
      <c r="AG33" s="5" t="n">
        <v>5.45881</v>
      </c>
    </row>
    <row r="34">
      <c r="A34" s="1" t="inlineStr">
        <is>
          <t>Calculated yearly change percentage</t>
        </is>
      </c>
    </row>
    <row r="35">
      <c r="A35" t="inlineStr">
        <is>
          <t>Retiring Components Potential Energy Use Summed Across Fuels[urban residential,heating] : MostRecentRun</t>
        </is>
      </c>
      <c r="C35">
        <f>(C16-B16)/C16</f>
        <v/>
      </c>
      <c r="D35">
        <f>(D16-C16)/D16</f>
        <v/>
      </c>
      <c r="E35">
        <f>(E16-D16)/E16</f>
        <v/>
      </c>
      <c r="F35">
        <f>(F16-E16)/F16</f>
        <v/>
      </c>
      <c r="G35">
        <f>(G16-F16)/G16</f>
        <v/>
      </c>
      <c r="H35">
        <f>(H16-G16)/H16</f>
        <v/>
      </c>
      <c r="I35">
        <f>(I16-H16)/I16</f>
        <v/>
      </c>
      <c r="J35">
        <f>(J16-I16)/J16</f>
        <v/>
      </c>
      <c r="K35">
        <f>(K16-J16)/K16</f>
        <v/>
      </c>
      <c r="L35">
        <f>(L16-K16)/L16</f>
        <v/>
      </c>
      <c r="M35">
        <f>(M16-L16)/M16</f>
        <v/>
      </c>
      <c r="N35">
        <f>(N16-M16)/N16</f>
        <v/>
      </c>
      <c r="O35">
        <f>(O16-N16)/O16</f>
        <v/>
      </c>
      <c r="P35">
        <f>(P16-O16)/P16</f>
        <v/>
      </c>
      <c r="Q35">
        <f>(Q16-P16)/Q16</f>
        <v/>
      </c>
      <c r="R35">
        <f>(R16-Q16)/R16</f>
        <v/>
      </c>
      <c r="S35">
        <f>(S16-R16)/S16</f>
        <v/>
      </c>
      <c r="T35">
        <f>(T16-S16)/T16</f>
        <v/>
      </c>
      <c r="U35" s="37">
        <f>(U16-T16)/U16</f>
        <v/>
      </c>
      <c r="V35">
        <f>(V16-U16)/V16</f>
        <v/>
      </c>
      <c r="W35">
        <f>(W16-V16)/W16</f>
        <v/>
      </c>
      <c r="X35">
        <f>(X16-W16)/X16</f>
        <v/>
      </c>
      <c r="Y35">
        <f>(Y16-X16)/Y16</f>
        <v/>
      </c>
      <c r="Z35">
        <f>(Z16-Y16)/Z16</f>
        <v/>
      </c>
      <c r="AA35">
        <f>(AA16-Z16)/AA16</f>
        <v/>
      </c>
      <c r="AB35">
        <f>(AB16-AA16)/AB16</f>
        <v/>
      </c>
      <c r="AC35">
        <f>(AC16-AB16)/AC16</f>
        <v/>
      </c>
      <c r="AD35">
        <f>(AD16-AC16)/AD16</f>
        <v/>
      </c>
      <c r="AE35">
        <f>(AE16-AD16)/AE16</f>
        <v/>
      </c>
      <c r="AF35">
        <f>(AF16-AE16)/AF16</f>
        <v/>
      </c>
      <c r="AG35">
        <f>(AG16-AF16)/AG16</f>
        <v/>
      </c>
    </row>
    <row r="36">
      <c r="A36" t="inlineStr">
        <is>
          <t>Retiring Components Potential Energy Use Summed Across Fuels[urban residential,cooling and ventilation] : MostRecentRun</t>
        </is>
      </c>
      <c r="C36">
        <f>(C17-B17)/C17</f>
        <v/>
      </c>
      <c r="D36">
        <f>(D17-C17)/D17</f>
        <v/>
      </c>
      <c r="E36">
        <f>(E17-D17)/E17</f>
        <v/>
      </c>
      <c r="F36">
        <f>(F17-E17)/F17</f>
        <v/>
      </c>
      <c r="G36">
        <f>(G17-F17)/G17</f>
        <v/>
      </c>
      <c r="H36">
        <f>(H17-G17)/H17</f>
        <v/>
      </c>
      <c r="I36">
        <f>(I17-H17)/I17</f>
        <v/>
      </c>
      <c r="J36">
        <f>(J17-I17)/J17</f>
        <v/>
      </c>
      <c r="K36">
        <f>(K17-J17)/K17</f>
        <v/>
      </c>
      <c r="L36">
        <f>(L17-K17)/L17</f>
        <v/>
      </c>
      <c r="M36">
        <f>(M17-L17)/M17</f>
        <v/>
      </c>
      <c r="N36">
        <f>(N17-M17)/N17</f>
        <v/>
      </c>
      <c r="O36">
        <f>(O17-N17)/O17</f>
        <v/>
      </c>
      <c r="P36">
        <f>(P17-O17)/P17</f>
        <v/>
      </c>
      <c r="Q36">
        <f>(Q17-P17)/Q17</f>
        <v/>
      </c>
      <c r="R36" s="37">
        <f>(R17-Q17)/R17</f>
        <v/>
      </c>
      <c r="S36">
        <f>(S17-R17)/S17</f>
        <v/>
      </c>
      <c r="T36">
        <f>(T17-S17)/T17</f>
        <v/>
      </c>
      <c r="U36">
        <f>(U17-T17)/U17</f>
        <v/>
      </c>
      <c r="V36">
        <f>(V17-U17)/V17</f>
        <v/>
      </c>
      <c r="W36">
        <f>(W17-V17)/W17</f>
        <v/>
      </c>
      <c r="X36">
        <f>(X17-W17)/X17</f>
        <v/>
      </c>
      <c r="Y36">
        <f>(Y17-X17)/Y17</f>
        <v/>
      </c>
      <c r="Z36">
        <f>(Z17-Y17)/Z17</f>
        <v/>
      </c>
      <c r="AA36">
        <f>(AA17-Z17)/AA17</f>
        <v/>
      </c>
      <c r="AB36">
        <f>(AB17-AA17)/AB17</f>
        <v/>
      </c>
      <c r="AC36">
        <f>(AC17-AB17)/AC17</f>
        <v/>
      </c>
      <c r="AD36">
        <f>(AD17-AC17)/AD17</f>
        <v/>
      </c>
      <c r="AE36">
        <f>(AE17-AD17)/AE17</f>
        <v/>
      </c>
      <c r="AF36">
        <f>(AF17-AE17)/AF17</f>
        <v/>
      </c>
      <c r="AG36">
        <f>(AG17-AF17)/AG17</f>
        <v/>
      </c>
    </row>
    <row r="37">
      <c r="A37" t="inlineStr">
        <is>
          <t>Retiring Components Potential Energy Use Summed Across Fuels[urban residential,envelope] : MostRecentRun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Retiring Components Potential Energy Use Summed Across Fuels[urban residential,lighting] : MostRecentRun</t>
        </is>
      </c>
      <c r="C38">
        <f>(C19-B19)/C19</f>
        <v/>
      </c>
      <c r="D38">
        <f>(D19-C19)/D19</f>
        <v/>
      </c>
      <c r="E38">
        <f>(E19-D19)/E19</f>
        <v/>
      </c>
      <c r="F38">
        <f>(F19-E19)/F19</f>
        <v/>
      </c>
      <c r="G38">
        <f>(G19-F19)/G19</f>
        <v/>
      </c>
      <c r="H38">
        <f>(H19-G19)/H19</f>
        <v/>
      </c>
      <c r="I38">
        <f>(I19-H19)/I19</f>
        <v/>
      </c>
      <c r="J38">
        <f>(J19-I19)/J19</f>
        <v/>
      </c>
      <c r="K38">
        <f>(K19-J19)/K19</f>
        <v/>
      </c>
      <c r="L38" s="37">
        <f>(L19-K19)/L19</f>
        <v/>
      </c>
      <c r="M38">
        <f>(M19-L19)/M19</f>
        <v/>
      </c>
      <c r="N38">
        <f>(N19-M19)/N19</f>
        <v/>
      </c>
      <c r="O38">
        <f>(O19-N19)/O19</f>
        <v/>
      </c>
      <c r="P38">
        <f>(P19-O19)/P19</f>
        <v/>
      </c>
      <c r="Q38">
        <f>(Q19-P19)/Q19</f>
        <v/>
      </c>
      <c r="R38">
        <f>(R19-Q19)/R19</f>
        <v/>
      </c>
      <c r="S38">
        <f>(S19-R19)/S19</f>
        <v/>
      </c>
      <c r="T38">
        <f>(T19-S19)/T19</f>
        <v/>
      </c>
      <c r="U38">
        <f>(U19-T19)/U19</f>
        <v/>
      </c>
      <c r="V38">
        <f>(V19-U19)/V19</f>
        <v/>
      </c>
      <c r="W38">
        <f>(W19-V19)/W19</f>
        <v/>
      </c>
      <c r="X38">
        <f>(X19-W19)/X19</f>
        <v/>
      </c>
      <c r="Y38">
        <f>(Y19-X19)/Y19</f>
        <v/>
      </c>
      <c r="Z38">
        <f>(Z19-Y19)/Z19</f>
        <v/>
      </c>
      <c r="AA38">
        <f>(AA19-Z19)/AA19</f>
        <v/>
      </c>
      <c r="AB38">
        <f>(AB19-AA19)/AB19</f>
        <v/>
      </c>
      <c r="AC38">
        <f>(AC19-AB19)/AC19</f>
        <v/>
      </c>
      <c r="AD38">
        <f>(AD19-AC19)/AD19</f>
        <v/>
      </c>
      <c r="AE38">
        <f>(AE19-AD19)/AE19</f>
        <v/>
      </c>
      <c r="AF38">
        <f>(AF19-AE19)/AF19</f>
        <v/>
      </c>
      <c r="AG38">
        <f>(AG19-AF19)/AG19</f>
        <v/>
      </c>
    </row>
    <row r="39">
      <c r="A39" t="inlineStr">
        <is>
          <t>Retiring Components Potential Energy Use Summed Across Fuels[urban residential,appliances] : MostRecentRun</t>
        </is>
      </c>
      <c r="C39">
        <f>(C20-B20)/C20</f>
        <v/>
      </c>
      <c r="D39">
        <f>(D20-C20)/D20</f>
        <v/>
      </c>
      <c r="E39">
        <f>(E20-D20)/E20</f>
        <v/>
      </c>
      <c r="F39">
        <f>(F20-E20)/F20</f>
        <v/>
      </c>
      <c r="G39">
        <f>(G20-F20)/G20</f>
        <v/>
      </c>
      <c r="H39">
        <f>(H20-G20)/H20</f>
        <v/>
      </c>
      <c r="I39">
        <f>(I20-H20)/I20</f>
        <v/>
      </c>
      <c r="J39">
        <f>(J20-I20)/J20</f>
        <v/>
      </c>
      <c r="K39">
        <f>(K20-J20)/K20</f>
        <v/>
      </c>
      <c r="L39">
        <f>(L20-K20)/L20</f>
        <v/>
      </c>
      <c r="M39">
        <f>(M20-L20)/M20</f>
        <v/>
      </c>
      <c r="N39">
        <f>(N20-M20)/N20</f>
        <v/>
      </c>
      <c r="O39">
        <f>(O20-N20)/O20</f>
        <v/>
      </c>
      <c r="P39" s="37">
        <f>(P20-O20)/P20</f>
        <v/>
      </c>
      <c r="Q39">
        <f>(Q20-P20)/Q20</f>
        <v/>
      </c>
      <c r="R39">
        <f>(R20-Q20)/R20</f>
        <v/>
      </c>
      <c r="S39">
        <f>(S20-R20)/S20</f>
        <v/>
      </c>
      <c r="T39">
        <f>(T20-S20)/T20</f>
        <v/>
      </c>
      <c r="U39">
        <f>(U20-T20)/U20</f>
        <v/>
      </c>
      <c r="V39">
        <f>(V20-U20)/V20</f>
        <v/>
      </c>
      <c r="W39">
        <f>(W20-V20)/W20</f>
        <v/>
      </c>
      <c r="X39">
        <f>(X20-W20)/X20</f>
        <v/>
      </c>
      <c r="Y39">
        <f>(Y20-X20)/Y20</f>
        <v/>
      </c>
      <c r="Z39">
        <f>(Z20-Y20)/Z20</f>
        <v/>
      </c>
      <c r="AA39">
        <f>(AA20-Z20)/AA20</f>
        <v/>
      </c>
      <c r="AB39">
        <f>(AB20-AA20)/AB20</f>
        <v/>
      </c>
      <c r="AC39">
        <f>(AC20-AB20)/AC20</f>
        <v/>
      </c>
      <c r="AD39">
        <f>(AD20-AC20)/AD20</f>
        <v/>
      </c>
      <c r="AE39">
        <f>(AE20-AD20)/AE20</f>
        <v/>
      </c>
      <c r="AF39">
        <f>(AF20-AE20)/AF20</f>
        <v/>
      </c>
      <c r="AG39">
        <f>(AG20-AF20)/AG20</f>
        <v/>
      </c>
    </row>
    <row r="40">
      <c r="A40" t="inlineStr">
        <is>
          <t>Retiring Components Potential Energy Use Summed Across Fuels[urban residential,other component] : MostRecentRun</t>
        </is>
      </c>
      <c r="C40">
        <f>(C21-B21)/C21</f>
        <v/>
      </c>
      <c r="D40">
        <f>(D21-C21)/D21</f>
        <v/>
      </c>
      <c r="E40">
        <f>(E21-D21)/E21</f>
        <v/>
      </c>
      <c r="F40">
        <f>(F21-E21)/F21</f>
        <v/>
      </c>
      <c r="G40">
        <f>(G21-F21)/G21</f>
        <v/>
      </c>
      <c r="H40">
        <f>(H21-G21)/H21</f>
        <v/>
      </c>
      <c r="I40">
        <f>(I21-H21)/I21</f>
        <v/>
      </c>
      <c r="J40">
        <f>(J21-I21)/J21</f>
        <v/>
      </c>
      <c r="K40">
        <f>(K21-J21)/K21</f>
        <v/>
      </c>
      <c r="L40">
        <f>(L21-K21)/L21</f>
        <v/>
      </c>
      <c r="M40">
        <f>(M21-L21)/M21</f>
        <v/>
      </c>
      <c r="N40">
        <f>(N21-M21)/N21</f>
        <v/>
      </c>
      <c r="O40">
        <f>(O21-N21)/O21</f>
        <v/>
      </c>
      <c r="P40">
        <f>(P21-O21)/P21</f>
        <v/>
      </c>
      <c r="Q40">
        <f>(Q21-P21)/Q21</f>
        <v/>
      </c>
      <c r="R40" s="37">
        <f>(R21-Q21)/R21</f>
        <v/>
      </c>
      <c r="S40">
        <f>(S21-R21)/S21</f>
        <v/>
      </c>
      <c r="T40">
        <f>(T21-S21)/T21</f>
        <v/>
      </c>
      <c r="U40">
        <f>(U21-T21)/U21</f>
        <v/>
      </c>
      <c r="V40">
        <f>(V21-U21)/V21</f>
        <v/>
      </c>
      <c r="W40">
        <f>(W21-V21)/W21</f>
        <v/>
      </c>
      <c r="X40">
        <f>(X21-W21)/X21</f>
        <v/>
      </c>
      <c r="Y40">
        <f>(Y21-X21)/Y21</f>
        <v/>
      </c>
      <c r="Z40">
        <f>(Z21-Y21)/Z21</f>
        <v/>
      </c>
      <c r="AA40">
        <f>(AA21-Z21)/AA21</f>
        <v/>
      </c>
      <c r="AB40">
        <f>(AB21-AA21)/AB21</f>
        <v/>
      </c>
      <c r="AC40">
        <f>(AC21-AB21)/AC21</f>
        <v/>
      </c>
      <c r="AD40">
        <f>(AD21-AC21)/AD21</f>
        <v/>
      </c>
      <c r="AE40">
        <f>(AE21-AD21)/AE21</f>
        <v/>
      </c>
      <c r="AF40">
        <f>(AF21-AE21)/AF21</f>
        <v/>
      </c>
      <c r="AG40">
        <f>(AG21-AF21)/AG21</f>
        <v/>
      </c>
    </row>
    <row r="41">
      <c r="A41" t="inlineStr">
        <is>
          <t>Retiring Components Potential Energy Use Summed Across Fuels[rural residential,heating] : MostRecentRun</t>
        </is>
      </c>
      <c r="C41">
        <f>(C22-B22)/C22</f>
        <v/>
      </c>
      <c r="D41">
        <f>(D22-C22)/D22</f>
        <v/>
      </c>
      <c r="E41">
        <f>(E22-D22)/E22</f>
        <v/>
      </c>
      <c r="F41">
        <f>(F22-E22)/F22</f>
        <v/>
      </c>
      <c r="G41">
        <f>(G22-F22)/G22</f>
        <v/>
      </c>
      <c r="H41">
        <f>(H22-G22)/H22</f>
        <v/>
      </c>
      <c r="I41">
        <f>(I22-H22)/I22</f>
        <v/>
      </c>
      <c r="J41">
        <f>(J22-I22)/J22</f>
        <v/>
      </c>
      <c r="K41">
        <f>(K22-J22)/K22</f>
        <v/>
      </c>
      <c r="L41">
        <f>(L22-K22)/L22</f>
        <v/>
      </c>
      <c r="M41">
        <f>(M22-L22)/M22</f>
        <v/>
      </c>
      <c r="N41">
        <f>(N22-M22)/N22</f>
        <v/>
      </c>
      <c r="O41">
        <f>(O22-N22)/O22</f>
        <v/>
      </c>
      <c r="P41">
        <f>(P22-O22)/P22</f>
        <v/>
      </c>
      <c r="Q41">
        <f>(Q22-P22)/Q22</f>
        <v/>
      </c>
      <c r="R41">
        <f>(R22-Q22)/R22</f>
        <v/>
      </c>
      <c r="S41">
        <f>(S22-R22)/S22</f>
        <v/>
      </c>
      <c r="T41">
        <f>(T22-S22)/T22</f>
        <v/>
      </c>
      <c r="U41" s="37">
        <f>(U22-T22)/U22</f>
        <v/>
      </c>
      <c r="V41">
        <f>(V22-U22)/V22</f>
        <v/>
      </c>
      <c r="W41">
        <f>(W22-V22)/W22</f>
        <v/>
      </c>
      <c r="X41">
        <f>(X22-W22)/X22</f>
        <v/>
      </c>
      <c r="Y41">
        <f>(Y22-X22)/Y22</f>
        <v/>
      </c>
      <c r="Z41">
        <f>(Z22-Y22)/Z22</f>
        <v/>
      </c>
      <c r="AA41">
        <f>(AA22-Z22)/AA22</f>
        <v/>
      </c>
      <c r="AB41">
        <f>(AB22-AA22)/AB22</f>
        <v/>
      </c>
      <c r="AC41">
        <f>(AC22-AB22)/AC22</f>
        <v/>
      </c>
      <c r="AD41">
        <f>(AD22-AC22)/AD22</f>
        <v/>
      </c>
      <c r="AE41">
        <f>(AE22-AD22)/AE22</f>
        <v/>
      </c>
      <c r="AF41">
        <f>(AF22-AE22)/AF22</f>
        <v/>
      </c>
      <c r="AG41">
        <f>(AG22-AF22)/AG22</f>
        <v/>
      </c>
    </row>
    <row r="42">
      <c r="A42" t="inlineStr">
        <is>
          <t>Retiring Components Potential Energy Use Summed Across Fuels[rural residential,cooling and ventilation] : MostRecentRun</t>
        </is>
      </c>
      <c r="C42">
        <f>(C23-B23)/C23</f>
        <v/>
      </c>
      <c r="D42">
        <f>(D23-C23)/D23</f>
        <v/>
      </c>
      <c r="E42">
        <f>(E23-D23)/E23</f>
        <v/>
      </c>
      <c r="F42">
        <f>(F23-E23)/F23</f>
        <v/>
      </c>
      <c r="G42">
        <f>(G23-F23)/G23</f>
        <v/>
      </c>
      <c r="H42">
        <f>(H23-G23)/H23</f>
        <v/>
      </c>
      <c r="I42">
        <f>(I23-H23)/I23</f>
        <v/>
      </c>
      <c r="J42">
        <f>(J23-I23)/J23</f>
        <v/>
      </c>
      <c r="K42">
        <f>(K23-J23)/K23</f>
        <v/>
      </c>
      <c r="L42">
        <f>(L23-K23)/L23</f>
        <v/>
      </c>
      <c r="M42">
        <f>(M23-L23)/M23</f>
        <v/>
      </c>
      <c r="N42">
        <f>(N23-M23)/N23</f>
        <v/>
      </c>
      <c r="O42">
        <f>(O23-N23)/O23</f>
        <v/>
      </c>
      <c r="P42">
        <f>(P23-O23)/P23</f>
        <v/>
      </c>
      <c r="Q42">
        <f>(Q23-P23)/Q23</f>
        <v/>
      </c>
      <c r="R42" s="37">
        <f>(R23-Q23)/R23</f>
        <v/>
      </c>
      <c r="S42">
        <f>(S23-R23)/S23</f>
        <v/>
      </c>
      <c r="T42">
        <f>(T23-S23)/T23</f>
        <v/>
      </c>
      <c r="U42">
        <f>(U23-T23)/U23</f>
        <v/>
      </c>
      <c r="V42">
        <f>(V23-U23)/V23</f>
        <v/>
      </c>
      <c r="W42">
        <f>(W23-V23)/W23</f>
        <v/>
      </c>
      <c r="X42">
        <f>(X23-W23)/X23</f>
        <v/>
      </c>
      <c r="Y42">
        <f>(Y23-X23)/Y23</f>
        <v/>
      </c>
      <c r="Z42">
        <f>(Z23-Y23)/Z23</f>
        <v/>
      </c>
      <c r="AA42">
        <f>(AA23-Z23)/AA23</f>
        <v/>
      </c>
      <c r="AB42">
        <f>(AB23-AA23)/AB23</f>
        <v/>
      </c>
      <c r="AC42">
        <f>(AC23-AB23)/AC23</f>
        <v/>
      </c>
      <c r="AD42">
        <f>(AD23-AC23)/AD23</f>
        <v/>
      </c>
      <c r="AE42">
        <f>(AE23-AD23)/AE23</f>
        <v/>
      </c>
      <c r="AF42">
        <f>(AF23-AE23)/AF23</f>
        <v/>
      </c>
      <c r="AG42">
        <f>(AG23-AF23)/AG23</f>
        <v/>
      </c>
    </row>
    <row r="43">
      <c r="A43" t="inlineStr">
        <is>
          <t>Retiring Components Potential Energy Use Summed Across Fuels[rural residential,envelope] : MostRecentRun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Retiring Components Potential Energy Use Summed Across Fuels[rural residential,lighting] : MostRecentRun</t>
        </is>
      </c>
      <c r="C44">
        <f>(C25-B25)/C25</f>
        <v/>
      </c>
      <c r="D44">
        <f>(D25-C25)/D25</f>
        <v/>
      </c>
      <c r="E44">
        <f>(E25-D25)/E25</f>
        <v/>
      </c>
      <c r="F44">
        <f>(F25-E25)/F25</f>
        <v/>
      </c>
      <c r="G44">
        <f>(G25-F25)/G25</f>
        <v/>
      </c>
      <c r="H44">
        <f>(H25-G25)/H25</f>
        <v/>
      </c>
      <c r="I44">
        <f>(I25-H25)/I25</f>
        <v/>
      </c>
      <c r="J44">
        <f>(J25-I25)/J25</f>
        <v/>
      </c>
      <c r="K44">
        <f>(K25-J25)/K25</f>
        <v/>
      </c>
      <c r="L44" s="37">
        <f>(L25-K25)/L25</f>
        <v/>
      </c>
      <c r="M44">
        <f>(M25-L25)/M25</f>
        <v/>
      </c>
      <c r="N44">
        <f>(N25-M25)/N25</f>
        <v/>
      </c>
      <c r="O44">
        <f>(O25-N25)/O25</f>
        <v/>
      </c>
      <c r="P44">
        <f>(P25-O25)/P25</f>
        <v/>
      </c>
      <c r="Q44">
        <f>(Q25-P25)/Q25</f>
        <v/>
      </c>
      <c r="R44">
        <f>(R25-Q25)/R25</f>
        <v/>
      </c>
      <c r="S44">
        <f>(S25-R25)/S25</f>
        <v/>
      </c>
      <c r="T44">
        <f>(T25-S25)/T25</f>
        <v/>
      </c>
      <c r="U44">
        <f>(U25-T25)/U25</f>
        <v/>
      </c>
      <c r="V44">
        <f>(V25-U25)/V25</f>
        <v/>
      </c>
      <c r="W44">
        <f>(W25-V25)/W25</f>
        <v/>
      </c>
      <c r="X44">
        <f>(X25-W25)/X25</f>
        <v/>
      </c>
      <c r="Y44">
        <f>(Y25-X25)/Y25</f>
        <v/>
      </c>
      <c r="Z44">
        <f>(Z25-Y25)/Z25</f>
        <v/>
      </c>
      <c r="AA44">
        <f>(AA25-Z25)/AA25</f>
        <v/>
      </c>
      <c r="AB44">
        <f>(AB25-AA25)/AB25</f>
        <v/>
      </c>
      <c r="AC44">
        <f>(AC25-AB25)/AC25</f>
        <v/>
      </c>
      <c r="AD44">
        <f>(AD25-AC25)/AD25</f>
        <v/>
      </c>
      <c r="AE44">
        <f>(AE25-AD25)/AE25</f>
        <v/>
      </c>
      <c r="AF44">
        <f>(AF25-AE25)/AF25</f>
        <v/>
      </c>
      <c r="AG44">
        <f>(AG25-AF25)/AG25</f>
        <v/>
      </c>
    </row>
    <row r="45">
      <c r="A45" t="inlineStr">
        <is>
          <t>Retiring Components Potential Energy Use Summed Across Fuels[rural residential,appliances] : MostRecentRun</t>
        </is>
      </c>
      <c r="C45">
        <f>(C26-B26)/C26</f>
        <v/>
      </c>
      <c r="D45">
        <f>(D26-C26)/D26</f>
        <v/>
      </c>
      <c r="E45">
        <f>(E26-D26)/E26</f>
        <v/>
      </c>
      <c r="F45">
        <f>(F26-E26)/F26</f>
        <v/>
      </c>
      <c r="G45">
        <f>(G26-F26)/G26</f>
        <v/>
      </c>
      <c r="H45">
        <f>(H26-G26)/H26</f>
        <v/>
      </c>
      <c r="I45">
        <f>(I26-H26)/I26</f>
        <v/>
      </c>
      <c r="J45">
        <f>(J26-I26)/J26</f>
        <v/>
      </c>
      <c r="K45">
        <f>(K26-J26)/K26</f>
        <v/>
      </c>
      <c r="L45">
        <f>(L26-K26)/L26</f>
        <v/>
      </c>
      <c r="M45">
        <f>(M26-L26)/M26</f>
        <v/>
      </c>
      <c r="N45">
        <f>(N26-M26)/N26</f>
        <v/>
      </c>
      <c r="O45">
        <f>(O26-N26)/O26</f>
        <v/>
      </c>
      <c r="P45" s="37">
        <f>(P26-O26)/P26</f>
        <v/>
      </c>
      <c r="Q45">
        <f>(Q26-P26)/Q26</f>
        <v/>
      </c>
      <c r="R45">
        <f>(R26-Q26)/R26</f>
        <v/>
      </c>
      <c r="S45">
        <f>(S26-R26)/S26</f>
        <v/>
      </c>
      <c r="T45">
        <f>(T26-S26)/T26</f>
        <v/>
      </c>
      <c r="U45">
        <f>(U26-T26)/U26</f>
        <v/>
      </c>
      <c r="V45">
        <f>(V26-U26)/V26</f>
        <v/>
      </c>
      <c r="W45">
        <f>(W26-V26)/W26</f>
        <v/>
      </c>
      <c r="X45">
        <f>(X26-W26)/X26</f>
        <v/>
      </c>
      <c r="Y45">
        <f>(Y26-X26)/Y26</f>
        <v/>
      </c>
      <c r="Z45">
        <f>(Z26-Y26)/Z26</f>
        <v/>
      </c>
      <c r="AA45">
        <f>(AA26-Z26)/AA26</f>
        <v/>
      </c>
      <c r="AB45">
        <f>(AB26-AA26)/AB26</f>
        <v/>
      </c>
      <c r="AC45">
        <f>(AC26-AB26)/AC26</f>
        <v/>
      </c>
      <c r="AD45">
        <f>(AD26-AC26)/AD26</f>
        <v/>
      </c>
      <c r="AE45">
        <f>(AE26-AD26)/AE26</f>
        <v/>
      </c>
      <c r="AF45">
        <f>(AF26-AE26)/AF26</f>
        <v/>
      </c>
      <c r="AG45">
        <f>(AG26-AF26)/AG26</f>
        <v/>
      </c>
    </row>
    <row r="46">
      <c r="A46" t="inlineStr">
        <is>
          <t>Retiring Components Potential Energy Use Summed Across Fuels[rural residential,other component] : MostRecentRun</t>
        </is>
      </c>
      <c r="C46">
        <f>(C27-B27)/C27</f>
        <v/>
      </c>
      <c r="D46">
        <f>(D27-C27)/D27</f>
        <v/>
      </c>
      <c r="E46">
        <f>(E27-D27)/E27</f>
        <v/>
      </c>
      <c r="F46">
        <f>(F27-E27)/F27</f>
        <v/>
      </c>
      <c r="G46">
        <f>(G27-F27)/G27</f>
        <v/>
      </c>
      <c r="H46">
        <f>(H27-G27)/H27</f>
        <v/>
      </c>
      <c r="I46">
        <f>(I27-H27)/I27</f>
        <v/>
      </c>
      <c r="J46">
        <f>(J27-I27)/J27</f>
        <v/>
      </c>
      <c r="K46">
        <f>(K27-J27)/K27</f>
        <v/>
      </c>
      <c r="L46">
        <f>(L27-K27)/L27</f>
        <v/>
      </c>
      <c r="M46">
        <f>(M27-L27)/M27</f>
        <v/>
      </c>
      <c r="N46">
        <f>(N27-M27)/N27</f>
        <v/>
      </c>
      <c r="O46">
        <f>(O27-N27)/O27</f>
        <v/>
      </c>
      <c r="P46">
        <f>(P27-O27)/P27</f>
        <v/>
      </c>
      <c r="Q46">
        <f>(Q27-P27)/Q27</f>
        <v/>
      </c>
      <c r="R46" s="37">
        <f>(R27-Q27)/R27</f>
        <v/>
      </c>
      <c r="S46">
        <f>(S27-R27)/S27</f>
        <v/>
      </c>
      <c r="T46">
        <f>(T27-S27)/T27</f>
        <v/>
      </c>
      <c r="U46">
        <f>(U27-T27)/U27</f>
        <v/>
      </c>
      <c r="V46">
        <f>(V27-U27)/V27</f>
        <v/>
      </c>
      <c r="W46">
        <f>(W27-V27)/W27</f>
        <v/>
      </c>
      <c r="X46">
        <f>(X27-W27)/X27</f>
        <v/>
      </c>
      <c r="Y46">
        <f>(Y27-X27)/Y27</f>
        <v/>
      </c>
      <c r="Z46">
        <f>(Z27-Y27)/Z27</f>
        <v/>
      </c>
      <c r="AA46">
        <f>(AA27-Z27)/AA27</f>
        <v/>
      </c>
      <c r="AB46">
        <f>(AB27-AA27)/AB27</f>
        <v/>
      </c>
      <c r="AC46">
        <f>(AC27-AB27)/AC27</f>
        <v/>
      </c>
      <c r="AD46">
        <f>(AD27-AC27)/AD27</f>
        <v/>
      </c>
      <c r="AE46">
        <f>(AE27-AD27)/AE27</f>
        <v/>
      </c>
      <c r="AF46">
        <f>(AF27-AE27)/AF27</f>
        <v/>
      </c>
      <c r="AG46">
        <f>(AG27-AF27)/AG27</f>
        <v/>
      </c>
    </row>
    <row r="47">
      <c r="A47" t="inlineStr">
        <is>
          <t>Retiring Components Potential Energy Use Summed Across Fuels[commercial,heating] : MostRecentRun</t>
        </is>
      </c>
      <c r="C47">
        <f>(C28-B28)/C28</f>
        <v/>
      </c>
      <c r="D47">
        <f>(D28-C28)/D28</f>
        <v/>
      </c>
      <c r="E47">
        <f>(E28-D28)/E28</f>
        <v/>
      </c>
      <c r="F47">
        <f>(F28-E28)/F28</f>
        <v/>
      </c>
      <c r="G47">
        <f>(G28-F28)/G28</f>
        <v/>
      </c>
      <c r="H47">
        <f>(H28-G28)/H28</f>
        <v/>
      </c>
      <c r="I47">
        <f>(I28-H28)/I28</f>
        <v/>
      </c>
      <c r="J47">
        <f>(J28-I28)/J28</f>
        <v/>
      </c>
      <c r="K47">
        <f>(K28-J28)/K28</f>
        <v/>
      </c>
      <c r="L47">
        <f>(L28-K28)/L28</f>
        <v/>
      </c>
      <c r="M47">
        <f>(M28-L28)/M28</f>
        <v/>
      </c>
      <c r="N47">
        <f>(N28-M28)/N28</f>
        <v/>
      </c>
      <c r="O47">
        <f>(O28-N28)/O28</f>
        <v/>
      </c>
      <c r="P47">
        <f>(P28-O28)/P28</f>
        <v/>
      </c>
      <c r="Q47">
        <f>(Q28-P28)/Q28</f>
        <v/>
      </c>
      <c r="R47">
        <f>(R28-Q28)/R28</f>
        <v/>
      </c>
      <c r="S47">
        <f>(S28-R28)/S28</f>
        <v/>
      </c>
      <c r="T47">
        <f>(T28-S28)/T28</f>
        <v/>
      </c>
      <c r="U47" s="37">
        <f>(U28-T28)/U28</f>
        <v/>
      </c>
      <c r="V47">
        <f>(V28-U28)/V28</f>
        <v/>
      </c>
      <c r="W47">
        <f>(W28-V28)/W28</f>
        <v/>
      </c>
      <c r="X47">
        <f>(X28-W28)/X28</f>
        <v/>
      </c>
      <c r="Y47">
        <f>(Y28-X28)/Y28</f>
        <v/>
      </c>
      <c r="Z47">
        <f>(Z28-Y28)/Z28</f>
        <v/>
      </c>
      <c r="AA47">
        <f>(AA28-Z28)/AA28</f>
        <v/>
      </c>
      <c r="AB47">
        <f>(AB28-AA28)/AB28</f>
        <v/>
      </c>
      <c r="AC47">
        <f>(AC28-AB28)/AC28</f>
        <v/>
      </c>
      <c r="AD47">
        <f>(AD28-AC28)/AD28</f>
        <v/>
      </c>
      <c r="AE47">
        <f>(AE28-AD28)/AE28</f>
        <v/>
      </c>
      <c r="AF47">
        <f>(AF28-AE28)/AF28</f>
        <v/>
      </c>
      <c r="AG47">
        <f>(AG28-AF28)/AG28</f>
        <v/>
      </c>
    </row>
    <row r="48">
      <c r="A48" t="inlineStr">
        <is>
          <t>Retiring Components Potential Energy Use Summed Across Fuels[commercial,cooling and ventilation] : MostRecentRun</t>
        </is>
      </c>
      <c r="C48">
        <f>(C29-B29)/C29</f>
        <v/>
      </c>
      <c r="D48">
        <f>(D29-C29)/D29</f>
        <v/>
      </c>
      <c r="E48">
        <f>(E29-D29)/E29</f>
        <v/>
      </c>
      <c r="F48">
        <f>(F29-E29)/F29</f>
        <v/>
      </c>
      <c r="G48">
        <f>(G29-F29)/G29</f>
        <v/>
      </c>
      <c r="H48">
        <f>(H29-G29)/H29</f>
        <v/>
      </c>
      <c r="I48">
        <f>(I29-H29)/I29</f>
        <v/>
      </c>
      <c r="J48">
        <f>(J29-I29)/J29</f>
        <v/>
      </c>
      <c r="K48">
        <f>(K29-J29)/K29</f>
        <v/>
      </c>
      <c r="L48">
        <f>(L29-K29)/L29</f>
        <v/>
      </c>
      <c r="M48">
        <f>(M29-L29)/M29</f>
        <v/>
      </c>
      <c r="N48">
        <f>(N29-M29)/N29</f>
        <v/>
      </c>
      <c r="O48">
        <f>(O29-N29)/O29</f>
        <v/>
      </c>
      <c r="P48">
        <f>(P29-O29)/P29</f>
        <v/>
      </c>
      <c r="Q48">
        <f>(Q29-P29)/Q29</f>
        <v/>
      </c>
      <c r="R48" s="37">
        <f>(R29-Q29)/R29</f>
        <v/>
      </c>
      <c r="S48">
        <f>(S29-R29)/S29</f>
        <v/>
      </c>
      <c r="T48">
        <f>(T29-S29)/T29</f>
        <v/>
      </c>
      <c r="U48">
        <f>(U29-T29)/U29</f>
        <v/>
      </c>
      <c r="V48">
        <f>(V29-U29)/V29</f>
        <v/>
      </c>
      <c r="W48">
        <f>(W29-V29)/W29</f>
        <v/>
      </c>
      <c r="X48">
        <f>(X29-W29)/X29</f>
        <v/>
      </c>
      <c r="Y48">
        <f>(Y29-X29)/Y29</f>
        <v/>
      </c>
      <c r="Z48">
        <f>(Z29-Y29)/Z29</f>
        <v/>
      </c>
      <c r="AA48">
        <f>(AA29-Z29)/AA29</f>
        <v/>
      </c>
      <c r="AB48">
        <f>(AB29-AA29)/AB29</f>
        <v/>
      </c>
      <c r="AC48">
        <f>(AC29-AB29)/AC29</f>
        <v/>
      </c>
      <c r="AD48">
        <f>(AD29-AC29)/AD29</f>
        <v/>
      </c>
      <c r="AE48">
        <f>(AE29-AD29)/AE29</f>
        <v/>
      </c>
      <c r="AF48">
        <f>(AF29-AE29)/AF29</f>
        <v/>
      </c>
      <c r="AG48">
        <f>(AG29-AF29)/AG29</f>
        <v/>
      </c>
    </row>
    <row r="49">
      <c r="A49" t="inlineStr">
        <is>
          <t>Retiring Components Potential Energy Use Summed Across Fuels[commercial,envelope] : MostRecentRun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Retiring Components Potential Energy Use Summed Across Fuels[commercial,lighting] : MostRecentRun</t>
        </is>
      </c>
      <c r="C50">
        <f>(C31-B31)/C31</f>
        <v/>
      </c>
      <c r="D50">
        <f>(D31-C31)/D31</f>
        <v/>
      </c>
      <c r="E50">
        <f>(E31-D31)/E31</f>
        <v/>
      </c>
      <c r="F50">
        <f>(F31-E31)/F31</f>
        <v/>
      </c>
      <c r="G50">
        <f>(G31-F31)/G31</f>
        <v/>
      </c>
      <c r="H50">
        <f>(H31-G31)/H31</f>
        <v/>
      </c>
      <c r="I50">
        <f>(I31-H31)/I31</f>
        <v/>
      </c>
      <c r="J50">
        <f>(J31-I31)/J31</f>
        <v/>
      </c>
      <c r="K50">
        <f>(K31-J31)/K31</f>
        <v/>
      </c>
      <c r="L50" s="37">
        <f>(L31-K31)/L31</f>
        <v/>
      </c>
      <c r="M50">
        <f>(M31-L31)/M31</f>
        <v/>
      </c>
      <c r="N50">
        <f>(N31-M31)/N31</f>
        <v/>
      </c>
      <c r="O50">
        <f>(O31-N31)/O31</f>
        <v/>
      </c>
      <c r="P50">
        <f>(P31-O31)/P31</f>
        <v/>
      </c>
      <c r="Q50">
        <f>(Q31-P31)/Q31</f>
        <v/>
      </c>
      <c r="R50">
        <f>(R31-Q31)/R31</f>
        <v/>
      </c>
      <c r="S50">
        <f>(S31-R31)/S31</f>
        <v/>
      </c>
      <c r="T50">
        <f>(T31-S31)/T31</f>
        <v/>
      </c>
      <c r="U50">
        <f>(U31-T31)/U31</f>
        <v/>
      </c>
      <c r="V50">
        <f>(V31-U31)/V31</f>
        <v/>
      </c>
      <c r="W50">
        <f>(W31-V31)/W31</f>
        <v/>
      </c>
      <c r="X50">
        <f>(X31-W31)/X31</f>
        <v/>
      </c>
      <c r="Y50">
        <f>(Y31-X31)/Y31</f>
        <v/>
      </c>
      <c r="Z50">
        <f>(Z31-Y31)/Z31</f>
        <v/>
      </c>
      <c r="AA50">
        <f>(AA31-Z31)/AA31</f>
        <v/>
      </c>
      <c r="AB50">
        <f>(AB31-AA31)/AB31</f>
        <v/>
      </c>
      <c r="AC50">
        <f>(AC31-AB31)/AC31</f>
        <v/>
      </c>
      <c r="AD50">
        <f>(AD31-AC31)/AD31</f>
        <v/>
      </c>
      <c r="AE50">
        <f>(AE31-AD31)/AE31</f>
        <v/>
      </c>
      <c r="AF50">
        <f>(AF31-AE31)/AF31</f>
        <v/>
      </c>
      <c r="AG50">
        <f>(AG31-AF31)/AG31</f>
        <v/>
      </c>
    </row>
    <row r="51">
      <c r="A51" t="inlineStr">
        <is>
          <t>Retiring Components Potential Energy Use Summed Across Fuels[commercial,appliances] : MostRecentRun</t>
        </is>
      </c>
      <c r="C51">
        <f>(C32-B32)/C32</f>
        <v/>
      </c>
      <c r="D51">
        <f>(D32-C32)/D32</f>
        <v/>
      </c>
      <c r="E51">
        <f>(E32-D32)/E32</f>
        <v/>
      </c>
      <c r="F51">
        <f>(F32-E32)/F32</f>
        <v/>
      </c>
      <c r="G51">
        <f>(G32-F32)/G32</f>
        <v/>
      </c>
      <c r="H51">
        <f>(H32-G32)/H32</f>
        <v/>
      </c>
      <c r="I51">
        <f>(I32-H32)/I32</f>
        <v/>
      </c>
      <c r="J51">
        <f>(J32-I32)/J32</f>
        <v/>
      </c>
      <c r="K51">
        <f>(K32-J32)/K32</f>
        <v/>
      </c>
      <c r="L51">
        <f>(L32-K32)/L32</f>
        <v/>
      </c>
      <c r="M51">
        <f>(M32-L32)/M32</f>
        <v/>
      </c>
      <c r="N51">
        <f>(N32-M32)/N32</f>
        <v/>
      </c>
      <c r="O51">
        <f>(O32-N32)/O32</f>
        <v/>
      </c>
      <c r="P51" s="37">
        <f>(P32-O32)/P32</f>
        <v/>
      </c>
      <c r="Q51">
        <f>(Q32-P32)/Q32</f>
        <v/>
      </c>
      <c r="R51">
        <f>(R32-Q32)/R32</f>
        <v/>
      </c>
      <c r="S51">
        <f>(S32-R32)/S32</f>
        <v/>
      </c>
      <c r="T51">
        <f>(T32-S32)/T32</f>
        <v/>
      </c>
      <c r="U51">
        <f>(U32-T32)/U32</f>
        <v/>
      </c>
      <c r="V51">
        <f>(V32-U32)/V32</f>
        <v/>
      </c>
      <c r="W51">
        <f>(W32-V32)/W32</f>
        <v/>
      </c>
      <c r="X51">
        <f>(X32-W32)/X32</f>
        <v/>
      </c>
      <c r="Y51">
        <f>(Y32-X32)/Y32</f>
        <v/>
      </c>
      <c r="Z51">
        <f>(Z32-Y32)/Z32</f>
        <v/>
      </c>
      <c r="AA51">
        <f>(AA32-Z32)/AA32</f>
        <v/>
      </c>
      <c r="AB51">
        <f>(AB32-AA32)/AB32</f>
        <v/>
      </c>
      <c r="AC51">
        <f>(AC32-AB32)/AC32</f>
        <v/>
      </c>
      <c r="AD51">
        <f>(AD32-AC32)/AD32</f>
        <v/>
      </c>
      <c r="AE51">
        <f>(AE32-AD32)/AE32</f>
        <v/>
      </c>
      <c r="AF51">
        <f>(AF32-AE32)/AF32</f>
        <v/>
      </c>
      <c r="AG51">
        <f>(AG32-AF32)/AG32</f>
        <v/>
      </c>
    </row>
    <row r="52">
      <c r="A52" t="inlineStr">
        <is>
          <t>Retiring Components Potential Energy Use Summed Across Fuels[commercial,other component] : MostRecentRun</t>
        </is>
      </c>
      <c r="C52">
        <f>(C33-B33)/C33</f>
        <v/>
      </c>
      <c r="D52">
        <f>(D33-C33)/D33</f>
        <v/>
      </c>
      <c r="E52">
        <f>(E33-D33)/E33</f>
        <v/>
      </c>
      <c r="F52">
        <f>(F33-E33)/F33</f>
        <v/>
      </c>
      <c r="G52">
        <f>(G33-F33)/G33</f>
        <v/>
      </c>
      <c r="H52">
        <f>(H33-G33)/H33</f>
        <v/>
      </c>
      <c r="I52">
        <f>(I33-H33)/I33</f>
        <v/>
      </c>
      <c r="J52">
        <f>(J33-I33)/J33</f>
        <v/>
      </c>
      <c r="K52">
        <f>(K33-J33)/K33</f>
        <v/>
      </c>
      <c r="L52">
        <f>(L33-K33)/L33</f>
        <v/>
      </c>
      <c r="M52">
        <f>(M33-L33)/M33</f>
        <v/>
      </c>
      <c r="N52">
        <f>(N33-M33)/N33</f>
        <v/>
      </c>
      <c r="O52">
        <f>(O33-N33)/O33</f>
        <v/>
      </c>
      <c r="P52">
        <f>(P33-O33)/P33</f>
        <v/>
      </c>
      <c r="Q52">
        <f>(Q33-P33)/Q33</f>
        <v/>
      </c>
      <c r="R52" s="37">
        <f>(R33-Q33)/R33</f>
        <v/>
      </c>
      <c r="S52">
        <f>(S33-R33)/S33</f>
        <v/>
      </c>
      <c r="T52">
        <f>(T33-S33)/T33</f>
        <v/>
      </c>
      <c r="U52">
        <f>(U33-T33)/U33</f>
        <v/>
      </c>
      <c r="V52">
        <f>(V33-U33)/V33</f>
        <v/>
      </c>
      <c r="W52">
        <f>(W33-V33)/W33</f>
        <v/>
      </c>
      <c r="X52">
        <f>(X33-W33)/X33</f>
        <v/>
      </c>
      <c r="Y52">
        <f>(Y33-X33)/Y33</f>
        <v/>
      </c>
      <c r="Z52">
        <f>(Z33-Y33)/Z33</f>
        <v/>
      </c>
      <c r="AA52">
        <f>(AA33-Z33)/AA33</f>
        <v/>
      </c>
      <c r="AB52">
        <f>(AB33-AA33)/AB33</f>
        <v/>
      </c>
      <c r="AC52">
        <f>(AC33-AB33)/AC33</f>
        <v/>
      </c>
      <c r="AD52">
        <f>(AD33-AC33)/AD33</f>
        <v/>
      </c>
      <c r="AE52">
        <f>(AE33-AD33)/AE33</f>
        <v/>
      </c>
      <c r="AF52">
        <f>(AF33-AE33)/AF33</f>
        <v/>
      </c>
      <c r="AG52">
        <f>(AG33-AF33)/AG33</f>
        <v/>
      </c>
    </row>
    <row r="55" ht="15.75" customHeight="1">
      <c r="A55" s="35" t="inlineStr">
        <is>
          <t xml:space="preserve">Ratio Change </t>
        </is>
      </c>
      <c r="B55" s="35" t="inlineStr">
        <is>
          <t>urban residential</t>
        </is>
      </c>
      <c r="C55" s="35" t="inlineStr">
        <is>
          <t>rural residential</t>
        </is>
      </c>
      <c r="D55" s="35" t="inlineStr">
        <is>
          <t>commercial</t>
        </is>
      </c>
    </row>
    <row r="56">
      <c r="A56" t="inlineStr">
        <is>
          <t>heating</t>
        </is>
      </c>
      <c r="B56">
        <f>U35</f>
        <v/>
      </c>
      <c r="C56">
        <f>U41</f>
        <v/>
      </c>
      <c r="D56">
        <f>U47</f>
        <v/>
      </c>
    </row>
    <row r="57">
      <c r="A57" t="inlineStr">
        <is>
          <t>cooling and ventilation</t>
        </is>
      </c>
      <c r="B57">
        <f>R36</f>
        <v/>
      </c>
      <c r="C57">
        <f>R42</f>
        <v/>
      </c>
      <c r="D57">
        <f>R48</f>
        <v/>
      </c>
    </row>
    <row r="58">
      <c r="A58" t="inlineStr">
        <is>
          <t>envelope</t>
        </is>
      </c>
      <c r="B58" t="n">
        <v>0</v>
      </c>
      <c r="C58" t="n">
        <v>0</v>
      </c>
      <c r="D58" t="n">
        <v>0</v>
      </c>
    </row>
    <row r="59">
      <c r="A59" t="inlineStr">
        <is>
          <t>lighting</t>
        </is>
      </c>
      <c r="B59">
        <f>L38</f>
        <v/>
      </c>
      <c r="C59">
        <f>L44</f>
        <v/>
      </c>
      <c r="D59">
        <f>L50</f>
        <v/>
      </c>
    </row>
    <row r="60">
      <c r="A60" t="inlineStr">
        <is>
          <t>appliances</t>
        </is>
      </c>
      <c r="B60">
        <f>P39</f>
        <v/>
      </c>
      <c r="C60">
        <f>P45</f>
        <v/>
      </c>
      <c r="D60">
        <f>P51</f>
        <v/>
      </c>
    </row>
    <row r="61">
      <c r="A61" t="inlineStr">
        <is>
          <t>other component</t>
        </is>
      </c>
      <c r="B61">
        <f>R40</f>
        <v/>
      </c>
      <c r="C61">
        <f>R46</f>
        <v/>
      </c>
      <c r="D61">
        <f>R52</f>
        <v/>
      </c>
    </row>
    <row r="63" ht="15.75" customHeight="1">
      <c r="A63" s="35" t="inlineStr">
        <is>
          <t>Calibrated outputs</t>
        </is>
      </c>
    </row>
    <row r="64" ht="15.75" customHeight="1">
      <c r="B64" s="35" t="inlineStr">
        <is>
          <t>urban residential</t>
        </is>
      </c>
      <c r="C64" s="35" t="inlineStr">
        <is>
          <t>rural residential</t>
        </is>
      </c>
      <c r="D64" s="35" t="inlineStr">
        <is>
          <t>commercial</t>
        </is>
      </c>
    </row>
    <row r="65">
      <c r="A65" t="inlineStr">
        <is>
          <t>heating</t>
        </is>
      </c>
      <c r="B65">
        <f>C5*(1-B56)</f>
        <v/>
      </c>
      <c r="C65">
        <f>D5*(1-C56)</f>
        <v/>
      </c>
      <c r="D65">
        <f>E5*(1-D56)</f>
        <v/>
      </c>
    </row>
    <row r="66">
      <c r="A66" t="inlineStr">
        <is>
          <t>cooling and ventilation</t>
        </is>
      </c>
      <c r="B66">
        <f>C6*(1-B57)</f>
        <v/>
      </c>
      <c r="C66">
        <f>D6*(1-C57)</f>
        <v/>
      </c>
      <c r="D66">
        <f>E6*(1-D57)</f>
        <v/>
      </c>
    </row>
    <row r="67">
      <c r="A67" t="inlineStr">
        <is>
          <t>envelope</t>
        </is>
      </c>
      <c r="B67">
        <f>C7*(1-B58)</f>
        <v/>
      </c>
      <c r="C67">
        <f>D7*(1-C58)</f>
        <v/>
      </c>
      <c r="D67">
        <f>E7*(1-D58)</f>
        <v/>
      </c>
    </row>
    <row r="68">
      <c r="A68" t="inlineStr">
        <is>
          <t>lighting</t>
        </is>
      </c>
      <c r="B68">
        <f>C8*(1-B59)</f>
        <v/>
      </c>
      <c r="C68">
        <f>D8*(1-C59)</f>
        <v/>
      </c>
      <c r="D68">
        <f>E8*(1-D59)</f>
        <v/>
      </c>
    </row>
    <row r="69">
      <c r="A69" t="inlineStr">
        <is>
          <t>appliances</t>
        </is>
      </c>
      <c r="B69">
        <f>C9*(1-B60)</f>
        <v/>
      </c>
      <c r="C69">
        <f>D9*(1-C60)</f>
        <v/>
      </c>
      <c r="D69">
        <f>E9*(1-D60)</f>
        <v/>
      </c>
    </row>
    <row r="70">
      <c r="A70" t="inlineStr">
        <is>
          <t>other component</t>
        </is>
      </c>
      <c r="B70">
        <f>C10*(1-B61)</f>
        <v/>
      </c>
      <c r="C70">
        <f>D10*(1-C61)</f>
        <v/>
      </c>
      <c r="D70">
        <f>E10*(1-D61)</f>
        <v/>
      </c>
    </row>
    <row r="124">
      <c r="A124" t="inlineStr">
        <is>
          <t>Retiring Components Potential Energy Use Summed Across Fuels[urban residential,heating] : MostRecentRun</t>
        </is>
      </c>
      <c r="B124">
        <f>B16/B81</f>
        <v/>
      </c>
      <c r="C124">
        <f>C16/C81</f>
        <v/>
      </c>
      <c r="D124">
        <f>D16/D81</f>
        <v/>
      </c>
      <c r="E124">
        <f>E16/E81</f>
        <v/>
      </c>
      <c r="F124">
        <f>F16/F81</f>
        <v/>
      </c>
      <c r="G124">
        <f>G16/G81</f>
        <v/>
      </c>
      <c r="H124">
        <f>H16/H81</f>
        <v/>
      </c>
      <c r="I124">
        <f>I16/I81</f>
        <v/>
      </c>
      <c r="J124">
        <f>J16/J81</f>
        <v/>
      </c>
      <c r="K124">
        <f>K16/K81</f>
        <v/>
      </c>
      <c r="L124">
        <f>L16/L81</f>
        <v/>
      </c>
      <c r="M124">
        <f>M16/M81</f>
        <v/>
      </c>
      <c r="N124">
        <f>N16/N81</f>
        <v/>
      </c>
      <c r="O124">
        <f>O16/O81</f>
        <v/>
      </c>
      <c r="P124">
        <f>P16/P81</f>
        <v/>
      </c>
      <c r="Q124">
        <f>Q16/Q81</f>
        <v/>
      </c>
      <c r="R124">
        <f>R16/R81</f>
        <v/>
      </c>
      <c r="S124">
        <f>S16/S81</f>
        <v/>
      </c>
      <c r="T124">
        <f>T16/T81</f>
        <v/>
      </c>
      <c r="U124">
        <f>U16/U81</f>
        <v/>
      </c>
      <c r="V124">
        <f>V16/V81</f>
        <v/>
      </c>
      <c r="W124">
        <f>W16/W81</f>
        <v/>
      </c>
      <c r="X124">
        <f>X16/X81</f>
        <v/>
      </c>
      <c r="Y124">
        <f>Y16/Y81</f>
        <v/>
      </c>
      <c r="Z124">
        <f>Z16/Z81</f>
        <v/>
      </c>
      <c r="AA124">
        <f>AA16/AA81</f>
        <v/>
      </c>
      <c r="AB124">
        <f>AB16/AB81</f>
        <v/>
      </c>
      <c r="AC124">
        <f>AC16/AC81</f>
        <v/>
      </c>
      <c r="AD124">
        <f>AD16/AD81</f>
        <v/>
      </c>
      <c r="AE124">
        <f>AE16/AE81</f>
        <v/>
      </c>
      <c r="AF124">
        <f>AF16/AF81</f>
        <v/>
      </c>
      <c r="AG124">
        <f>AG16/AG81</f>
        <v/>
      </c>
    </row>
    <row r="125">
      <c r="A125" t="inlineStr">
        <is>
          <t>Retiring Components Potential Energy Use Summed Across Fuels[urban residential,cooling and ventilation] : MostRecentRun</t>
        </is>
      </c>
      <c r="B125">
        <f>B17/B82</f>
        <v/>
      </c>
      <c r="C125">
        <f>C17/C82</f>
        <v/>
      </c>
      <c r="D125">
        <f>D17/D82</f>
        <v/>
      </c>
      <c r="E125">
        <f>E17/E82</f>
        <v/>
      </c>
      <c r="F125">
        <f>F17/F82</f>
        <v/>
      </c>
      <c r="G125">
        <f>G17/G82</f>
        <v/>
      </c>
      <c r="H125">
        <f>H17/H82</f>
        <v/>
      </c>
      <c r="I125">
        <f>I17/I82</f>
        <v/>
      </c>
      <c r="J125">
        <f>J17/J82</f>
        <v/>
      </c>
      <c r="K125">
        <f>K17/K82</f>
        <v/>
      </c>
      <c r="L125">
        <f>L17/L82</f>
        <v/>
      </c>
      <c r="M125">
        <f>M17/M82</f>
        <v/>
      </c>
      <c r="N125">
        <f>N17/N82</f>
        <v/>
      </c>
      <c r="O125">
        <f>O17/O82</f>
        <v/>
      </c>
      <c r="P125">
        <f>P17/P82</f>
        <v/>
      </c>
      <c r="Q125">
        <f>Q17/Q82</f>
        <v/>
      </c>
      <c r="R125">
        <f>R17/R82</f>
        <v/>
      </c>
      <c r="S125">
        <f>S17/S82</f>
        <v/>
      </c>
      <c r="T125">
        <f>T17/T82</f>
        <v/>
      </c>
      <c r="U125">
        <f>U17/U82</f>
        <v/>
      </c>
      <c r="V125">
        <f>V17/V82</f>
        <v/>
      </c>
      <c r="W125">
        <f>W17/W82</f>
        <v/>
      </c>
      <c r="X125">
        <f>X17/X82</f>
        <v/>
      </c>
      <c r="Y125">
        <f>Y17/Y82</f>
        <v/>
      </c>
      <c r="Z125">
        <f>Z17/Z82</f>
        <v/>
      </c>
      <c r="AA125">
        <f>AA17/AA82</f>
        <v/>
      </c>
      <c r="AB125">
        <f>AB17/AB82</f>
        <v/>
      </c>
      <c r="AC125">
        <f>AC17/AC82</f>
        <v/>
      </c>
      <c r="AD125">
        <f>AD17/AD82</f>
        <v/>
      </c>
      <c r="AE125">
        <f>AE17/AE82</f>
        <v/>
      </c>
      <c r="AF125">
        <f>AF17/AF82</f>
        <v/>
      </c>
      <c r="AG125">
        <f>AG17/AG82</f>
        <v/>
      </c>
    </row>
    <row r="126">
      <c r="A126" t="inlineStr">
        <is>
          <t>Retiring Components Potential Energy Use Summed Across Fuels[urban residential,envelope] : MostRecentRun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>
        <f>AG18/AG83</f>
        <v/>
      </c>
    </row>
    <row r="127">
      <c r="A127" t="inlineStr">
        <is>
          <t>Retiring Components Potential Energy Use Summed Across Fuels[urban residential,lighting] : MostRecentRun</t>
        </is>
      </c>
      <c r="B127">
        <f>B19/B84</f>
        <v/>
      </c>
      <c r="C127">
        <f>C19/C84</f>
        <v/>
      </c>
      <c r="D127">
        <f>D19/D84</f>
        <v/>
      </c>
      <c r="E127">
        <f>E19/E84</f>
        <v/>
      </c>
      <c r="F127">
        <f>F19/F84</f>
        <v/>
      </c>
      <c r="G127">
        <f>G19/G84</f>
        <v/>
      </c>
      <c r="H127">
        <f>H19/H84</f>
        <v/>
      </c>
      <c r="I127">
        <f>I19/I84</f>
        <v/>
      </c>
      <c r="J127">
        <f>J19/J84</f>
        <v/>
      </c>
      <c r="K127">
        <f>K19/K84</f>
        <v/>
      </c>
      <c r="L127">
        <f>L19/L84</f>
        <v/>
      </c>
      <c r="M127">
        <f>M19/M84</f>
        <v/>
      </c>
      <c r="N127">
        <f>N19/N84</f>
        <v/>
      </c>
      <c r="O127">
        <f>O19/O84</f>
        <v/>
      </c>
      <c r="P127">
        <f>P19/P84</f>
        <v/>
      </c>
      <c r="Q127">
        <f>Q19/Q84</f>
        <v/>
      </c>
      <c r="R127">
        <f>R19/R84</f>
        <v/>
      </c>
      <c r="S127">
        <f>S19/S84</f>
        <v/>
      </c>
      <c r="T127">
        <f>T19/T84</f>
        <v/>
      </c>
      <c r="U127">
        <f>U19/U84</f>
        <v/>
      </c>
      <c r="V127">
        <f>V19/V84</f>
        <v/>
      </c>
      <c r="W127">
        <f>W19/W84</f>
        <v/>
      </c>
      <c r="X127">
        <f>X19/X84</f>
        <v/>
      </c>
      <c r="Y127">
        <f>Y19/Y84</f>
        <v/>
      </c>
      <c r="Z127">
        <f>Z19/Z84</f>
        <v/>
      </c>
      <c r="AA127">
        <f>AA19/AA84</f>
        <v/>
      </c>
      <c r="AB127">
        <f>AB19/AB84</f>
        <v/>
      </c>
      <c r="AC127">
        <f>AC19/AC84</f>
        <v/>
      </c>
      <c r="AD127">
        <f>AD19/AD84</f>
        <v/>
      </c>
      <c r="AE127">
        <f>AE19/AE84</f>
        <v/>
      </c>
      <c r="AF127">
        <f>AF19/AF84</f>
        <v/>
      </c>
      <c r="AG127">
        <f>AG19/AG84</f>
        <v/>
      </c>
    </row>
    <row r="128">
      <c r="A128" t="inlineStr">
        <is>
          <t>Retiring Components Potential Energy Use Summed Across Fuels[urban residential,appliances] : MostRecentRun</t>
        </is>
      </c>
      <c r="B128">
        <f>B20/B85</f>
        <v/>
      </c>
      <c r="C128">
        <f>C20/C85</f>
        <v/>
      </c>
      <c r="D128">
        <f>D20/D85</f>
        <v/>
      </c>
      <c r="E128">
        <f>E20/E85</f>
        <v/>
      </c>
      <c r="F128">
        <f>F20/F85</f>
        <v/>
      </c>
      <c r="G128">
        <f>G20/G85</f>
        <v/>
      </c>
      <c r="H128">
        <f>H20/H85</f>
        <v/>
      </c>
      <c r="I128">
        <f>I20/I85</f>
        <v/>
      </c>
      <c r="J128">
        <f>J20/J85</f>
        <v/>
      </c>
      <c r="K128">
        <f>K20/K85</f>
        <v/>
      </c>
      <c r="L128">
        <f>L20/L85</f>
        <v/>
      </c>
      <c r="M128">
        <f>M20/M85</f>
        <v/>
      </c>
      <c r="N128">
        <f>N20/N85</f>
        <v/>
      </c>
      <c r="O128">
        <f>O20/O85</f>
        <v/>
      </c>
      <c r="P128">
        <f>P20/P85</f>
        <v/>
      </c>
      <c r="Q128">
        <f>Q20/Q85</f>
        <v/>
      </c>
      <c r="R128">
        <f>R20/R85</f>
        <v/>
      </c>
      <c r="S128">
        <f>S20/S85</f>
        <v/>
      </c>
      <c r="T128">
        <f>T20/T85</f>
        <v/>
      </c>
      <c r="U128">
        <f>U20/U85</f>
        <v/>
      </c>
      <c r="V128">
        <f>V20/V85</f>
        <v/>
      </c>
      <c r="W128">
        <f>W20/W85</f>
        <v/>
      </c>
      <c r="X128">
        <f>X20/X85</f>
        <v/>
      </c>
      <c r="Y128">
        <f>Y20/Y85</f>
        <v/>
      </c>
      <c r="Z128">
        <f>Z20/Z85</f>
        <v/>
      </c>
      <c r="AA128">
        <f>AA20/AA85</f>
        <v/>
      </c>
      <c r="AB128">
        <f>AB20/AB85</f>
        <v/>
      </c>
      <c r="AC128">
        <f>AC20/AC85</f>
        <v/>
      </c>
      <c r="AD128">
        <f>AD20/AD85</f>
        <v/>
      </c>
      <c r="AE128">
        <f>AE20/AE85</f>
        <v/>
      </c>
      <c r="AF128">
        <f>AF20/AF85</f>
        <v/>
      </c>
      <c r="AG128">
        <f>AG20/AG85</f>
        <v/>
      </c>
    </row>
    <row r="129">
      <c r="A129" t="inlineStr">
        <is>
          <t>Retiring Components Potential Energy Use Summed Across Fuels[urban residential,other component] : MostRecentRun</t>
        </is>
      </c>
      <c r="B129">
        <f>B21/B86</f>
        <v/>
      </c>
      <c r="C129">
        <f>C21/C86</f>
        <v/>
      </c>
      <c r="D129">
        <f>D21/D86</f>
        <v/>
      </c>
      <c r="E129">
        <f>E21/E86</f>
        <v/>
      </c>
      <c r="F129">
        <f>F21/F86</f>
        <v/>
      </c>
      <c r="G129">
        <f>G21/G86</f>
        <v/>
      </c>
      <c r="H129">
        <f>H21/H86</f>
        <v/>
      </c>
      <c r="I129">
        <f>I21/I86</f>
        <v/>
      </c>
      <c r="J129">
        <f>J21/J86</f>
        <v/>
      </c>
      <c r="K129">
        <f>K21/K86</f>
        <v/>
      </c>
      <c r="L129">
        <f>L21/L86</f>
        <v/>
      </c>
      <c r="M129">
        <f>M21/M86</f>
        <v/>
      </c>
      <c r="N129">
        <f>N21/N86</f>
        <v/>
      </c>
      <c r="O129">
        <f>O21/O86</f>
        <v/>
      </c>
      <c r="P129">
        <f>P21/P86</f>
        <v/>
      </c>
      <c r="Q129">
        <f>Q21/Q86</f>
        <v/>
      </c>
      <c r="R129">
        <f>R21/R86</f>
        <v/>
      </c>
      <c r="S129">
        <f>S21/S86</f>
        <v/>
      </c>
      <c r="T129">
        <f>T21/T86</f>
        <v/>
      </c>
      <c r="U129">
        <f>U21/U86</f>
        <v/>
      </c>
      <c r="V129">
        <f>V21/V86</f>
        <v/>
      </c>
      <c r="W129">
        <f>W21/W86</f>
        <v/>
      </c>
      <c r="X129">
        <f>X21/X86</f>
        <v/>
      </c>
      <c r="Y129">
        <f>Y21/Y86</f>
        <v/>
      </c>
      <c r="Z129">
        <f>Z21/Z86</f>
        <v/>
      </c>
      <c r="AA129">
        <f>AA21/AA86</f>
        <v/>
      </c>
      <c r="AB129">
        <f>AB21/AB86</f>
        <v/>
      </c>
      <c r="AC129">
        <f>AC21/AC86</f>
        <v/>
      </c>
      <c r="AD129">
        <f>AD21/AD86</f>
        <v/>
      </c>
      <c r="AE129">
        <f>AE21/AE86</f>
        <v/>
      </c>
      <c r="AF129">
        <f>AF21/AF86</f>
        <v/>
      </c>
      <c r="AG129">
        <f>AG21/AG86</f>
        <v/>
      </c>
    </row>
    <row r="130">
      <c r="A130" t="inlineStr">
        <is>
          <t>Retiring Components Potential Energy Use Summed Across Fuels[rural residential,heating] : MostRecentRun</t>
        </is>
      </c>
      <c r="B130">
        <f>B22/B87</f>
        <v/>
      </c>
      <c r="C130">
        <f>C22/C87</f>
        <v/>
      </c>
      <c r="D130">
        <f>D22/D87</f>
        <v/>
      </c>
      <c r="E130">
        <f>E22/E87</f>
        <v/>
      </c>
      <c r="F130">
        <f>F22/F87</f>
        <v/>
      </c>
      <c r="G130">
        <f>G22/G87</f>
        <v/>
      </c>
      <c r="H130">
        <f>H22/H87</f>
        <v/>
      </c>
      <c r="I130">
        <f>I22/I87</f>
        <v/>
      </c>
      <c r="J130">
        <f>J22/J87</f>
        <v/>
      </c>
      <c r="K130">
        <f>K22/K87</f>
        <v/>
      </c>
      <c r="L130">
        <f>L22/L87</f>
        <v/>
      </c>
      <c r="M130">
        <f>M22/M87</f>
        <v/>
      </c>
      <c r="N130">
        <f>N22/N87</f>
        <v/>
      </c>
      <c r="O130">
        <f>O22/O87</f>
        <v/>
      </c>
      <c r="P130">
        <f>P22/P87</f>
        <v/>
      </c>
      <c r="Q130">
        <f>Q22/Q87</f>
        <v/>
      </c>
      <c r="R130">
        <f>R22/R87</f>
        <v/>
      </c>
      <c r="S130">
        <f>S22/S87</f>
        <v/>
      </c>
      <c r="T130">
        <f>T22/T87</f>
        <v/>
      </c>
      <c r="U130">
        <f>U22/U87</f>
        <v/>
      </c>
      <c r="V130">
        <f>V22/V87</f>
        <v/>
      </c>
      <c r="W130">
        <f>W22/W87</f>
        <v/>
      </c>
      <c r="X130">
        <f>X22/X87</f>
        <v/>
      </c>
      <c r="Y130">
        <f>Y22/Y87</f>
        <v/>
      </c>
      <c r="Z130">
        <f>Z22/Z87</f>
        <v/>
      </c>
      <c r="AA130">
        <f>AA22/AA87</f>
        <v/>
      </c>
      <c r="AB130">
        <f>AB22/AB87</f>
        <v/>
      </c>
      <c r="AC130">
        <f>AC22/AC87</f>
        <v/>
      </c>
      <c r="AD130">
        <f>AD22/AD87</f>
        <v/>
      </c>
      <c r="AE130">
        <f>AE22/AE87</f>
        <v/>
      </c>
      <c r="AF130">
        <f>AF22/AF87</f>
        <v/>
      </c>
      <c r="AG130">
        <f>AG22/AG87</f>
        <v/>
      </c>
    </row>
    <row r="131">
      <c r="A131" t="inlineStr">
        <is>
          <t>Retiring Components Potential Energy Use Summed Across Fuels[rural residential,cooling and ventilation] : MostRecentRun</t>
        </is>
      </c>
      <c r="B131">
        <f>B23/B88</f>
        <v/>
      </c>
      <c r="C131">
        <f>C23/C88</f>
        <v/>
      </c>
      <c r="D131">
        <f>D23/D88</f>
        <v/>
      </c>
      <c r="E131">
        <f>E23/E88</f>
        <v/>
      </c>
      <c r="F131">
        <f>F23/F88</f>
        <v/>
      </c>
      <c r="G131">
        <f>G23/G88</f>
        <v/>
      </c>
      <c r="H131">
        <f>H23/H88</f>
        <v/>
      </c>
      <c r="I131">
        <f>I23/I88</f>
        <v/>
      </c>
      <c r="J131">
        <f>J23/J88</f>
        <v/>
      </c>
      <c r="K131">
        <f>K23/K88</f>
        <v/>
      </c>
      <c r="L131">
        <f>L23/L88</f>
        <v/>
      </c>
      <c r="M131">
        <f>M23/M88</f>
        <v/>
      </c>
      <c r="N131">
        <f>N23/N88</f>
        <v/>
      </c>
      <c r="O131">
        <f>O23/O88</f>
        <v/>
      </c>
      <c r="P131">
        <f>P23/P88</f>
        <v/>
      </c>
      <c r="Q131">
        <f>Q23/Q88</f>
        <v/>
      </c>
      <c r="R131">
        <f>R23/R88</f>
        <v/>
      </c>
      <c r="S131">
        <f>S23/S88</f>
        <v/>
      </c>
      <c r="T131">
        <f>T23/T88</f>
        <v/>
      </c>
      <c r="U131">
        <f>U23/U88</f>
        <v/>
      </c>
      <c r="V131">
        <f>V23/V88</f>
        <v/>
      </c>
      <c r="W131">
        <f>W23/W88</f>
        <v/>
      </c>
      <c r="X131">
        <f>X23/X88</f>
        <v/>
      </c>
      <c r="Y131">
        <f>Y23/Y88</f>
        <v/>
      </c>
      <c r="Z131">
        <f>Z23/Z88</f>
        <v/>
      </c>
      <c r="AA131">
        <f>AA23/AA88</f>
        <v/>
      </c>
      <c r="AB131">
        <f>AB23/AB88</f>
        <v/>
      </c>
      <c r="AC131">
        <f>AC23/AC88</f>
        <v/>
      </c>
      <c r="AD131">
        <f>AD23/AD88</f>
        <v/>
      </c>
      <c r="AE131">
        <f>AE23/AE88</f>
        <v/>
      </c>
      <c r="AF131">
        <f>AF23/AF88</f>
        <v/>
      </c>
      <c r="AG131">
        <f>AG23/AG88</f>
        <v/>
      </c>
    </row>
    <row r="132">
      <c r="A132" t="inlineStr">
        <is>
          <t>Retiring Components Potential Energy Use Summed Across Fuels[rural residential,envelope] : MostRecentRun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>
        <f>AG24/AG89</f>
        <v/>
      </c>
    </row>
    <row r="133">
      <c r="A133" t="inlineStr">
        <is>
          <t>Retiring Components Potential Energy Use Summed Across Fuels[rural residential,lighting] : MostRecentRun</t>
        </is>
      </c>
      <c r="B133">
        <f>B25/B90</f>
        <v/>
      </c>
      <c r="C133">
        <f>C25/C90</f>
        <v/>
      </c>
      <c r="D133">
        <f>D25/D90</f>
        <v/>
      </c>
      <c r="E133">
        <f>E25/E90</f>
        <v/>
      </c>
      <c r="F133">
        <f>F25/F90</f>
        <v/>
      </c>
      <c r="G133">
        <f>G25/G90</f>
        <v/>
      </c>
      <c r="H133">
        <f>H25/H90</f>
        <v/>
      </c>
      <c r="I133">
        <f>I25/I90</f>
        <v/>
      </c>
      <c r="J133">
        <f>J25/J90</f>
        <v/>
      </c>
      <c r="K133">
        <f>K25/K90</f>
        <v/>
      </c>
      <c r="L133">
        <f>L25/L90</f>
        <v/>
      </c>
      <c r="M133">
        <f>M25/M90</f>
        <v/>
      </c>
      <c r="N133">
        <f>N25/N90</f>
        <v/>
      </c>
      <c r="O133">
        <f>O25/O90</f>
        <v/>
      </c>
      <c r="P133">
        <f>P25/P90</f>
        <v/>
      </c>
      <c r="Q133">
        <f>Q25/Q90</f>
        <v/>
      </c>
      <c r="R133">
        <f>R25/R90</f>
        <v/>
      </c>
      <c r="S133">
        <f>S25/S90</f>
        <v/>
      </c>
      <c r="T133">
        <f>T25/T90</f>
        <v/>
      </c>
      <c r="U133">
        <f>U25/U90</f>
        <v/>
      </c>
      <c r="V133">
        <f>V25/V90</f>
        <v/>
      </c>
      <c r="W133">
        <f>W25/W90</f>
        <v/>
      </c>
      <c r="X133">
        <f>X25/X90</f>
        <v/>
      </c>
      <c r="Y133">
        <f>Y25/Y90</f>
        <v/>
      </c>
      <c r="Z133">
        <f>Z25/Z90</f>
        <v/>
      </c>
      <c r="AA133">
        <f>AA25/AA90</f>
        <v/>
      </c>
      <c r="AB133">
        <f>AB25/AB90</f>
        <v/>
      </c>
      <c r="AC133">
        <f>AC25/AC90</f>
        <v/>
      </c>
      <c r="AD133">
        <f>AD25/AD90</f>
        <v/>
      </c>
      <c r="AE133">
        <f>AE25/AE90</f>
        <v/>
      </c>
      <c r="AF133">
        <f>AF25/AF90</f>
        <v/>
      </c>
      <c r="AG133">
        <f>AG25/AG90</f>
        <v/>
      </c>
    </row>
    <row r="134">
      <c r="A134" t="inlineStr">
        <is>
          <t>Retiring Components Potential Energy Use Summed Across Fuels[rural residential,appliances] : MostRecentRun</t>
        </is>
      </c>
      <c r="B134">
        <f>B26/B91</f>
        <v/>
      </c>
      <c r="C134">
        <f>C26/C91</f>
        <v/>
      </c>
      <c r="D134">
        <f>D26/D91</f>
        <v/>
      </c>
      <c r="E134">
        <f>E26/E91</f>
        <v/>
      </c>
      <c r="F134">
        <f>F26/F91</f>
        <v/>
      </c>
      <c r="G134">
        <f>G26/G91</f>
        <v/>
      </c>
      <c r="H134">
        <f>H26/H91</f>
        <v/>
      </c>
      <c r="I134">
        <f>I26/I91</f>
        <v/>
      </c>
      <c r="J134">
        <f>J26/J91</f>
        <v/>
      </c>
      <c r="K134">
        <f>K26/K91</f>
        <v/>
      </c>
      <c r="L134">
        <f>L26/L91</f>
        <v/>
      </c>
      <c r="M134">
        <f>M26/M91</f>
        <v/>
      </c>
      <c r="N134">
        <f>N26/N91</f>
        <v/>
      </c>
      <c r="O134">
        <f>O26/O91</f>
        <v/>
      </c>
      <c r="P134">
        <f>P26/P91</f>
        <v/>
      </c>
      <c r="Q134">
        <f>Q26/Q91</f>
        <v/>
      </c>
      <c r="R134">
        <f>R26/R91</f>
        <v/>
      </c>
      <c r="S134">
        <f>S26/S91</f>
        <v/>
      </c>
      <c r="T134">
        <f>T26/T91</f>
        <v/>
      </c>
      <c r="U134">
        <f>U26/U91</f>
        <v/>
      </c>
      <c r="V134">
        <f>V26/V91</f>
        <v/>
      </c>
      <c r="W134">
        <f>W26/W91</f>
        <v/>
      </c>
      <c r="X134">
        <f>X26/X91</f>
        <v/>
      </c>
      <c r="Y134">
        <f>Y26/Y91</f>
        <v/>
      </c>
      <c r="Z134">
        <f>Z26/Z91</f>
        <v/>
      </c>
      <c r="AA134">
        <f>AA26/AA91</f>
        <v/>
      </c>
      <c r="AB134">
        <f>AB26/AB91</f>
        <v/>
      </c>
      <c r="AC134">
        <f>AC26/AC91</f>
        <v/>
      </c>
      <c r="AD134">
        <f>AD26/AD91</f>
        <v/>
      </c>
      <c r="AE134">
        <f>AE26/AE91</f>
        <v/>
      </c>
      <c r="AF134">
        <f>AF26/AF91</f>
        <v/>
      </c>
      <c r="AG134">
        <f>AG26/AG91</f>
        <v/>
      </c>
    </row>
    <row r="135">
      <c r="A135" t="inlineStr">
        <is>
          <t>Retiring Components Potential Energy Use Summed Across Fuels[rural residential,other component] : MostRecentRun</t>
        </is>
      </c>
      <c r="B135">
        <f>B27/B92</f>
        <v/>
      </c>
      <c r="C135">
        <f>C27/C92</f>
        <v/>
      </c>
      <c r="D135">
        <f>D27/D92</f>
        <v/>
      </c>
      <c r="E135">
        <f>E27/E92</f>
        <v/>
      </c>
      <c r="F135">
        <f>F27/F92</f>
        <v/>
      </c>
      <c r="G135">
        <f>G27/G92</f>
        <v/>
      </c>
      <c r="H135">
        <f>H27/H92</f>
        <v/>
      </c>
      <c r="I135">
        <f>I27/I92</f>
        <v/>
      </c>
      <c r="J135">
        <f>J27/J92</f>
        <v/>
      </c>
      <c r="K135">
        <f>K27/K92</f>
        <v/>
      </c>
      <c r="L135">
        <f>L27/L92</f>
        <v/>
      </c>
      <c r="M135">
        <f>M27/M92</f>
        <v/>
      </c>
      <c r="N135">
        <f>N27/N92</f>
        <v/>
      </c>
      <c r="O135">
        <f>O27/O92</f>
        <v/>
      </c>
      <c r="P135">
        <f>P27/P92</f>
        <v/>
      </c>
      <c r="Q135">
        <f>Q27/Q92</f>
        <v/>
      </c>
      <c r="R135">
        <f>R27/R92</f>
        <v/>
      </c>
      <c r="S135">
        <f>S27/S92</f>
        <v/>
      </c>
      <c r="T135">
        <f>T27/T92</f>
        <v/>
      </c>
      <c r="U135">
        <f>U27/U92</f>
        <v/>
      </c>
      <c r="V135">
        <f>V27/V92</f>
        <v/>
      </c>
      <c r="W135">
        <f>W27/W92</f>
        <v/>
      </c>
      <c r="X135">
        <f>X27/X92</f>
        <v/>
      </c>
      <c r="Y135">
        <f>Y27/Y92</f>
        <v/>
      </c>
      <c r="Z135">
        <f>Z27/Z92</f>
        <v/>
      </c>
      <c r="AA135">
        <f>AA27/AA92</f>
        <v/>
      </c>
      <c r="AB135">
        <f>AB27/AB92</f>
        <v/>
      </c>
      <c r="AC135">
        <f>AC27/AC92</f>
        <v/>
      </c>
      <c r="AD135">
        <f>AD27/AD92</f>
        <v/>
      </c>
      <c r="AE135">
        <f>AE27/AE92</f>
        <v/>
      </c>
      <c r="AF135">
        <f>AF27/AF92</f>
        <v/>
      </c>
      <c r="AG135">
        <f>AG27/AG92</f>
        <v/>
      </c>
    </row>
    <row r="136">
      <c r="A136" t="inlineStr">
        <is>
          <t>Retiring Components Potential Energy Use Summed Across Fuels[commercial,heating] : MostRecentRun</t>
        </is>
      </c>
      <c r="B136">
        <f>B28/B93</f>
        <v/>
      </c>
      <c r="C136">
        <f>C28/C93</f>
        <v/>
      </c>
      <c r="D136">
        <f>D28/D93</f>
        <v/>
      </c>
      <c r="E136">
        <f>E28/E93</f>
        <v/>
      </c>
      <c r="F136">
        <f>F28/F93</f>
        <v/>
      </c>
      <c r="G136">
        <f>G28/G93</f>
        <v/>
      </c>
      <c r="H136">
        <f>H28/H93</f>
        <v/>
      </c>
      <c r="I136">
        <f>I28/I93</f>
        <v/>
      </c>
      <c r="J136">
        <f>J28/J93</f>
        <v/>
      </c>
      <c r="K136">
        <f>K28/K93</f>
        <v/>
      </c>
      <c r="L136">
        <f>L28/L93</f>
        <v/>
      </c>
      <c r="M136">
        <f>M28/M93</f>
        <v/>
      </c>
      <c r="N136">
        <f>N28/N93</f>
        <v/>
      </c>
      <c r="O136">
        <f>O28/O93</f>
        <v/>
      </c>
      <c r="P136">
        <f>P28/P93</f>
        <v/>
      </c>
      <c r="Q136">
        <f>Q28/Q93</f>
        <v/>
      </c>
      <c r="R136">
        <f>R28/R93</f>
        <v/>
      </c>
      <c r="S136">
        <f>S28/S93</f>
        <v/>
      </c>
      <c r="T136">
        <f>T28/T93</f>
        <v/>
      </c>
      <c r="U136">
        <f>U28/U93</f>
        <v/>
      </c>
      <c r="V136">
        <f>V28/V93</f>
        <v/>
      </c>
      <c r="W136">
        <f>W28/W93</f>
        <v/>
      </c>
      <c r="X136">
        <f>X28/X93</f>
        <v/>
      </c>
      <c r="Y136">
        <f>Y28/Y93</f>
        <v/>
      </c>
      <c r="Z136">
        <f>Z28/Z93</f>
        <v/>
      </c>
      <c r="AA136">
        <f>AA28/AA93</f>
        <v/>
      </c>
      <c r="AB136">
        <f>AB28/AB93</f>
        <v/>
      </c>
      <c r="AC136">
        <f>AC28/AC93</f>
        <v/>
      </c>
      <c r="AD136">
        <f>AD28/AD93</f>
        <v/>
      </c>
      <c r="AE136">
        <f>AE28/AE93</f>
        <v/>
      </c>
      <c r="AF136">
        <f>AF28/AF93</f>
        <v/>
      </c>
      <c r="AG136">
        <f>AG28/AG93</f>
        <v/>
      </c>
    </row>
    <row r="137">
      <c r="A137" t="inlineStr">
        <is>
          <t>Retiring Components Potential Energy Use Summed Across Fuels[commercial,cooling and ventilation] : MostRecentRun</t>
        </is>
      </c>
      <c r="B137">
        <f>B29/B94</f>
        <v/>
      </c>
      <c r="C137">
        <f>C29/C94</f>
        <v/>
      </c>
      <c r="D137">
        <f>D29/D94</f>
        <v/>
      </c>
      <c r="E137">
        <f>E29/E94</f>
        <v/>
      </c>
      <c r="F137">
        <f>F29/F94</f>
        <v/>
      </c>
      <c r="G137">
        <f>G29/G94</f>
        <v/>
      </c>
      <c r="H137">
        <f>H29/H94</f>
        <v/>
      </c>
      <c r="I137">
        <f>I29/I94</f>
        <v/>
      </c>
      <c r="J137">
        <f>J29/J94</f>
        <v/>
      </c>
      <c r="K137">
        <f>K29/K94</f>
        <v/>
      </c>
      <c r="L137">
        <f>L29/L94</f>
        <v/>
      </c>
      <c r="M137">
        <f>M29/M94</f>
        <v/>
      </c>
      <c r="N137">
        <f>N29/N94</f>
        <v/>
      </c>
      <c r="O137">
        <f>O29/O94</f>
        <v/>
      </c>
      <c r="P137">
        <f>P29/P94</f>
        <v/>
      </c>
      <c r="Q137">
        <f>Q29/Q94</f>
        <v/>
      </c>
      <c r="R137">
        <f>R29/R94</f>
        <v/>
      </c>
      <c r="S137">
        <f>S29/S94</f>
        <v/>
      </c>
      <c r="T137">
        <f>T29/T94</f>
        <v/>
      </c>
      <c r="U137">
        <f>U29/U94</f>
        <v/>
      </c>
      <c r="V137">
        <f>V29/V94</f>
        <v/>
      </c>
      <c r="W137">
        <f>W29/W94</f>
        <v/>
      </c>
      <c r="X137">
        <f>X29/X94</f>
        <v/>
      </c>
      <c r="Y137">
        <f>Y29/Y94</f>
        <v/>
      </c>
      <c r="Z137">
        <f>Z29/Z94</f>
        <v/>
      </c>
      <c r="AA137">
        <f>AA29/AA94</f>
        <v/>
      </c>
      <c r="AB137">
        <f>AB29/AB94</f>
        <v/>
      </c>
      <c r="AC137">
        <f>AC29/AC94</f>
        <v/>
      </c>
      <c r="AD137">
        <f>AD29/AD94</f>
        <v/>
      </c>
      <c r="AE137">
        <f>AE29/AE94</f>
        <v/>
      </c>
      <c r="AF137">
        <f>AF29/AF94</f>
        <v/>
      </c>
      <c r="AG137">
        <f>AG29/AG94</f>
        <v/>
      </c>
    </row>
    <row r="138">
      <c r="A138" t="inlineStr">
        <is>
          <t>Retiring Components Potential Energy Use Summed Across Fuels[commercial,envelope] : MostRecentRun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>
        <f>AG30/AG95</f>
        <v/>
      </c>
    </row>
    <row r="139">
      <c r="A139" t="inlineStr">
        <is>
          <t>Retiring Components Potential Energy Use Summed Across Fuels[commercial,lighting] : MostRecentRun</t>
        </is>
      </c>
      <c r="B139">
        <f>B31/B96</f>
        <v/>
      </c>
      <c r="C139">
        <f>C31/C96</f>
        <v/>
      </c>
      <c r="D139">
        <f>D31/D96</f>
        <v/>
      </c>
      <c r="E139">
        <f>E31/E96</f>
        <v/>
      </c>
      <c r="F139">
        <f>F31/F96</f>
        <v/>
      </c>
      <c r="G139">
        <f>G31/G96</f>
        <v/>
      </c>
      <c r="H139">
        <f>H31/H96</f>
        <v/>
      </c>
      <c r="I139">
        <f>I31/I96</f>
        <v/>
      </c>
      <c r="J139">
        <f>J31/J96</f>
        <v/>
      </c>
      <c r="K139">
        <f>K31/K96</f>
        <v/>
      </c>
      <c r="L139">
        <f>L31/L96</f>
        <v/>
      </c>
      <c r="M139">
        <f>M31/M96</f>
        <v/>
      </c>
      <c r="N139">
        <f>N31/N96</f>
        <v/>
      </c>
      <c r="O139">
        <f>O31/O96</f>
        <v/>
      </c>
      <c r="P139">
        <f>P31/P96</f>
        <v/>
      </c>
      <c r="Q139">
        <f>Q31/Q96</f>
        <v/>
      </c>
      <c r="R139">
        <f>R31/R96</f>
        <v/>
      </c>
      <c r="S139">
        <f>S31/S96</f>
        <v/>
      </c>
      <c r="T139">
        <f>T31/T96</f>
        <v/>
      </c>
      <c r="U139">
        <f>U31/U96</f>
        <v/>
      </c>
      <c r="V139">
        <f>V31/V96</f>
        <v/>
      </c>
      <c r="W139">
        <f>W31/W96</f>
        <v/>
      </c>
      <c r="X139">
        <f>X31/X96</f>
        <v/>
      </c>
      <c r="Y139">
        <f>Y31/Y96</f>
        <v/>
      </c>
      <c r="Z139">
        <f>Z31/Z96</f>
        <v/>
      </c>
      <c r="AA139">
        <f>AA31/AA96</f>
        <v/>
      </c>
      <c r="AB139">
        <f>AB31/AB96</f>
        <v/>
      </c>
      <c r="AC139">
        <f>AC31/AC96</f>
        <v/>
      </c>
      <c r="AD139">
        <f>AD31/AD96</f>
        <v/>
      </c>
      <c r="AE139">
        <f>AE31/AE96</f>
        <v/>
      </c>
      <c r="AF139">
        <f>AF31/AF96</f>
        <v/>
      </c>
      <c r="AG139">
        <f>AG31/AG96</f>
        <v/>
      </c>
    </row>
    <row r="140">
      <c r="A140" t="inlineStr">
        <is>
          <t>Retiring Components Potential Energy Use Summed Across Fuels[commercial,appliances] : MostRecentRun</t>
        </is>
      </c>
      <c r="B140">
        <f>B32/B97</f>
        <v/>
      </c>
      <c r="C140">
        <f>C32/C97</f>
        <v/>
      </c>
      <c r="D140">
        <f>D32/D97</f>
        <v/>
      </c>
      <c r="E140">
        <f>E32/E97</f>
        <v/>
      </c>
      <c r="F140">
        <f>F32/F97</f>
        <v/>
      </c>
      <c r="G140">
        <f>G32/G97</f>
        <v/>
      </c>
      <c r="H140">
        <f>H32/H97</f>
        <v/>
      </c>
      <c r="I140">
        <f>I32/I97</f>
        <v/>
      </c>
      <c r="J140">
        <f>J32/J97</f>
        <v/>
      </c>
      <c r="K140">
        <f>K32/K97</f>
        <v/>
      </c>
      <c r="L140">
        <f>L32/L97</f>
        <v/>
      </c>
      <c r="M140">
        <f>M32/M97</f>
        <v/>
      </c>
      <c r="N140">
        <f>N32/N97</f>
        <v/>
      </c>
      <c r="O140">
        <f>O32/O97</f>
        <v/>
      </c>
      <c r="P140">
        <f>P32/P97</f>
        <v/>
      </c>
      <c r="Q140">
        <f>Q32/Q97</f>
        <v/>
      </c>
      <c r="R140">
        <f>R32/R97</f>
        <v/>
      </c>
      <c r="S140">
        <f>S32/S97</f>
        <v/>
      </c>
      <c r="T140">
        <f>T32/T97</f>
        <v/>
      </c>
      <c r="U140">
        <f>U32/U97</f>
        <v/>
      </c>
      <c r="V140">
        <f>V32/V97</f>
        <v/>
      </c>
      <c r="W140">
        <f>W32/W97</f>
        <v/>
      </c>
      <c r="X140">
        <f>X32/X97</f>
        <v/>
      </c>
      <c r="Y140">
        <f>Y32/Y97</f>
        <v/>
      </c>
      <c r="Z140">
        <f>Z32/Z97</f>
        <v/>
      </c>
      <c r="AA140">
        <f>AA32/AA97</f>
        <v/>
      </c>
      <c r="AB140">
        <f>AB32/AB97</f>
        <v/>
      </c>
      <c r="AC140">
        <f>AC32/AC97</f>
        <v/>
      </c>
      <c r="AD140">
        <f>AD32/AD97</f>
        <v/>
      </c>
      <c r="AE140">
        <f>AE32/AE97</f>
        <v/>
      </c>
      <c r="AF140">
        <f>AF32/AF97</f>
        <v/>
      </c>
      <c r="AG140">
        <f>AG32/AG97</f>
        <v/>
      </c>
    </row>
    <row r="141">
      <c r="A141" t="inlineStr">
        <is>
          <t>Retiring Components Potential Energy Use Summed Across Fuels[commercial,other component] : MostRecentRun</t>
        </is>
      </c>
      <c r="B141">
        <f>B33/B98</f>
        <v/>
      </c>
      <c r="C141">
        <f>C33/C98</f>
        <v/>
      </c>
      <c r="D141">
        <f>D33/D98</f>
        <v/>
      </c>
      <c r="E141">
        <f>E33/E98</f>
        <v/>
      </c>
      <c r="F141">
        <f>F33/F98</f>
        <v/>
      </c>
      <c r="G141">
        <f>G33/G98</f>
        <v/>
      </c>
      <c r="H141">
        <f>H33/H98</f>
        <v/>
      </c>
      <c r="I141">
        <f>I33/I98</f>
        <v/>
      </c>
      <c r="J141">
        <f>J33/J98</f>
        <v/>
      </c>
      <c r="K141">
        <f>K33/K98</f>
        <v/>
      </c>
      <c r="L141">
        <f>L33/L98</f>
        <v/>
      </c>
      <c r="M141">
        <f>M33/M98</f>
        <v/>
      </c>
      <c r="N141">
        <f>N33/N98</f>
        <v/>
      </c>
      <c r="O141">
        <f>O33/O98</f>
        <v/>
      </c>
      <c r="P141">
        <f>P33/P98</f>
        <v/>
      </c>
      <c r="Q141">
        <f>Q33/Q98</f>
        <v/>
      </c>
      <c r="R141">
        <f>R33/R98</f>
        <v/>
      </c>
      <c r="S141">
        <f>S33/S98</f>
        <v/>
      </c>
      <c r="T141">
        <f>T33/T98</f>
        <v/>
      </c>
      <c r="U141">
        <f>U33/U98</f>
        <v/>
      </c>
      <c r="V141">
        <f>V33/V98</f>
        <v/>
      </c>
      <c r="W141">
        <f>W33/W98</f>
        <v/>
      </c>
      <c r="X141">
        <f>X33/X98</f>
        <v/>
      </c>
      <c r="Y141">
        <f>Y33/Y98</f>
        <v/>
      </c>
      <c r="Z141">
        <f>Z33/Z98</f>
        <v/>
      </c>
      <c r="AA141">
        <f>AA33/AA98</f>
        <v/>
      </c>
      <c r="AB141">
        <f>AB33/AB98</f>
        <v/>
      </c>
      <c r="AC141">
        <f>AC33/AC98</f>
        <v/>
      </c>
      <c r="AD141">
        <f>AD33/AD98</f>
        <v/>
      </c>
      <c r="AE141">
        <f>AE33/AE98</f>
        <v/>
      </c>
      <c r="AF141">
        <f>AF33/AF98</f>
        <v/>
      </c>
      <c r="AG141">
        <f>AG33/AG98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46" sqref="F46"/>
    </sheetView>
  </sheetViews>
  <sheetFormatPr baseColWidth="8" defaultColWidth="8.85546875" defaultRowHeight="15"/>
  <cols>
    <col width="25.28515625" customWidth="1" min="1" max="1"/>
    <col width="14.28515625" customWidth="1" min="2" max="2"/>
  </cols>
  <sheetData>
    <row r="1">
      <c r="A1" s="1" t="inlineStr">
        <is>
          <t>Building Component</t>
        </is>
      </c>
      <c r="B1" s="2" t="inlineStr">
        <is>
          <t>Lifetime (yr)</t>
        </is>
      </c>
    </row>
    <row r="2">
      <c r="A2" t="inlineStr">
        <is>
          <t>heating</t>
        </is>
      </c>
      <c r="B2" s="3" t="n">
        <v>19</v>
      </c>
    </row>
    <row r="3">
      <c r="A3" t="inlineStr">
        <is>
          <t>cooling and ventilation</t>
        </is>
      </c>
      <c r="B3" s="3" t="n">
        <v>15.83333333333333</v>
      </c>
    </row>
    <row r="4">
      <c r="A4" t="inlineStr">
        <is>
          <t>envelope</t>
        </is>
      </c>
      <c r="B4" s="3" t="n">
        <v>51.81818181818182</v>
      </c>
    </row>
    <row r="5">
      <c r="A5" t="inlineStr">
        <is>
          <t>lighting</t>
        </is>
      </c>
      <c r="B5" s="3" t="n">
        <v>9.132420091324201</v>
      </c>
    </row>
    <row r="6">
      <c r="A6" t="inlineStr">
        <is>
          <t>appliances</t>
        </is>
      </c>
      <c r="B6" s="3" t="n">
        <v>13.53333333333333</v>
      </c>
    </row>
    <row r="7">
      <c r="A7" t="inlineStr">
        <is>
          <t>other component</t>
        </is>
      </c>
      <c r="B7" s="3" t="n">
        <v>15.4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RKI000</t>
        </is>
      </c>
      <c r="B10" s="22" t="inlineStr">
        <is>
          <t>4. Residential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6" ht="15" customHeight="1">
      <c r="B16" s="10" t="inlineStr">
        <is>
          <t xml:space="preserve"> Households (millions)</t>
        </is>
      </c>
    </row>
    <row r="17" ht="15" customHeight="1">
      <c r="A17" s="11" t="inlineStr">
        <is>
          <t>RKI000:ba_Single-Family</t>
        </is>
      </c>
      <c r="B17" s="14" t="inlineStr">
        <is>
          <t xml:space="preserve">   Single-Family</t>
        </is>
      </c>
      <c r="C17" s="16" t="n">
        <v>80.54888200000001</v>
      </c>
      <c r="D17" s="16" t="n">
        <v>81.10302</v>
      </c>
      <c r="E17" s="16" t="n">
        <v>81.82338</v>
      </c>
      <c r="F17" s="16" t="n">
        <v>82.64527099999999</v>
      </c>
      <c r="G17" s="16" t="n">
        <v>83.465591</v>
      </c>
      <c r="H17" s="16" t="n">
        <v>84.30165100000001</v>
      </c>
      <c r="I17" s="16" t="n">
        <v>85.147186</v>
      </c>
      <c r="J17" s="16" t="n">
        <v>86.01313</v>
      </c>
      <c r="K17" s="16" t="n">
        <v>86.889809</v>
      </c>
      <c r="L17" s="16" t="n">
        <v>87.77227000000001</v>
      </c>
      <c r="M17" s="16" t="n">
        <v>88.648026</v>
      </c>
      <c r="N17" s="16" t="n">
        <v>89.503479</v>
      </c>
      <c r="O17" s="16" t="n">
        <v>90.324585</v>
      </c>
      <c r="P17" s="16" t="n">
        <v>91.09973100000001</v>
      </c>
      <c r="Q17" s="16" t="n">
        <v>91.856583</v>
      </c>
      <c r="R17" s="16" t="n">
        <v>92.61998699999999</v>
      </c>
      <c r="S17" s="16" t="n">
        <v>93.361687</v>
      </c>
      <c r="T17" s="16" t="n">
        <v>94.051025</v>
      </c>
      <c r="U17" s="16" t="n">
        <v>94.733063</v>
      </c>
      <c r="V17" s="16" t="n">
        <v>95.449333</v>
      </c>
      <c r="W17" s="16" t="n">
        <v>96.199455</v>
      </c>
      <c r="X17" s="16" t="n">
        <v>96.957245</v>
      </c>
      <c r="Y17" s="16" t="n">
        <v>97.71373699999999</v>
      </c>
      <c r="Z17" s="16" t="n">
        <v>98.475151</v>
      </c>
      <c r="AA17" s="16" t="n">
        <v>99.23101</v>
      </c>
      <c r="AB17" s="16" t="n">
        <v>99.989937</v>
      </c>
      <c r="AC17" s="16" t="n">
        <v>100.750465</v>
      </c>
      <c r="AD17" s="16" t="n">
        <v>101.503082</v>
      </c>
      <c r="AE17" s="16" t="n">
        <v>102.26664</v>
      </c>
      <c r="AF17" s="16" t="n">
        <v>103.053497</v>
      </c>
      <c r="AG17" s="16" t="n">
        <v>103.863365</v>
      </c>
      <c r="AH17" s="16" t="n">
        <v>104.687248</v>
      </c>
      <c r="AI17" s="16" t="n">
        <v>105.512909</v>
      </c>
      <c r="AJ17" s="16" t="n">
        <v>106.325394</v>
      </c>
      <c r="AK17" s="16" t="n">
        <v>107.128273</v>
      </c>
      <c r="AL17" s="16" t="n">
        <v>107.928482</v>
      </c>
      <c r="AM17" s="12" t="n">
        <v>0.00844</v>
      </c>
    </row>
    <row r="18" ht="15" customHeight="1">
      <c r="A18" s="11" t="inlineStr">
        <is>
          <t>RKI000:ba_Multifamily</t>
        </is>
      </c>
      <c r="B18" s="14" t="inlineStr">
        <is>
          <t xml:space="preserve">   Multifamily</t>
        </is>
      </c>
      <c r="C18" s="16" t="n">
        <v>28.870884</v>
      </c>
      <c r="D18" s="16" t="n">
        <v>29.110094</v>
      </c>
      <c r="E18" s="16" t="n">
        <v>29.380239</v>
      </c>
      <c r="F18" s="16" t="n">
        <v>29.680817</v>
      </c>
      <c r="G18" s="16" t="n">
        <v>30.01416</v>
      </c>
      <c r="H18" s="16" t="n">
        <v>30.373581</v>
      </c>
      <c r="I18" s="16" t="n">
        <v>30.756231</v>
      </c>
      <c r="J18" s="16" t="n">
        <v>31.153685</v>
      </c>
      <c r="K18" s="16" t="n">
        <v>31.553375</v>
      </c>
      <c r="L18" s="16" t="n">
        <v>31.957239</v>
      </c>
      <c r="M18" s="16" t="n">
        <v>32.351425</v>
      </c>
      <c r="N18" s="16" t="n">
        <v>32.732346</v>
      </c>
      <c r="O18" s="16" t="n">
        <v>33.110371</v>
      </c>
      <c r="P18" s="16" t="n">
        <v>33.49255</v>
      </c>
      <c r="Q18" s="16" t="n">
        <v>33.875225</v>
      </c>
      <c r="R18" s="16" t="n">
        <v>34.257374</v>
      </c>
      <c r="S18" s="16" t="n">
        <v>34.636684</v>
      </c>
      <c r="T18" s="16" t="n">
        <v>35.013767</v>
      </c>
      <c r="U18" s="16" t="n">
        <v>35.396408</v>
      </c>
      <c r="V18" s="16" t="n">
        <v>35.785557</v>
      </c>
      <c r="W18" s="16" t="n">
        <v>36.181156</v>
      </c>
      <c r="X18" s="16" t="n">
        <v>36.573303</v>
      </c>
      <c r="Y18" s="16" t="n">
        <v>36.961632</v>
      </c>
      <c r="Z18" s="16" t="n">
        <v>37.346928</v>
      </c>
      <c r="AA18" s="16" t="n">
        <v>37.722347</v>
      </c>
      <c r="AB18" s="16" t="n">
        <v>38.090382</v>
      </c>
      <c r="AC18" s="16" t="n">
        <v>38.449062</v>
      </c>
      <c r="AD18" s="16" t="n">
        <v>38.806965</v>
      </c>
      <c r="AE18" s="16" t="n">
        <v>39.162479</v>
      </c>
      <c r="AF18" s="16" t="n">
        <v>39.514824</v>
      </c>
      <c r="AG18" s="16" t="n">
        <v>39.860397</v>
      </c>
      <c r="AH18" s="16" t="n">
        <v>40.201298</v>
      </c>
      <c r="AI18" s="16" t="n">
        <v>40.538223</v>
      </c>
      <c r="AJ18" s="16" t="n">
        <v>40.868778</v>
      </c>
      <c r="AK18" s="16" t="n">
        <v>41.197083</v>
      </c>
      <c r="AL18" s="16" t="n">
        <v>41.520844</v>
      </c>
      <c r="AM18" s="12" t="n">
        <v>0.010499</v>
      </c>
    </row>
    <row r="19" ht="15" customHeight="1">
      <c r="A19" s="11" t="inlineStr">
        <is>
          <t>RKI000:ba_MobileHomes</t>
        </is>
      </c>
      <c r="B19" s="14" t="inlineStr">
        <is>
          <t xml:space="preserve">   Mobile Homes</t>
        </is>
      </c>
      <c r="C19" s="16" t="n">
        <v>5.965145</v>
      </c>
      <c r="D19" s="16" t="n">
        <v>5.842867</v>
      </c>
      <c r="E19" s="16" t="n">
        <v>5.742257</v>
      </c>
      <c r="F19" s="16" t="n">
        <v>5.664587</v>
      </c>
      <c r="G19" s="16" t="n">
        <v>5.591901</v>
      </c>
      <c r="H19" s="16" t="n">
        <v>5.524901</v>
      </c>
      <c r="I19" s="16" t="n">
        <v>5.472419</v>
      </c>
      <c r="J19" s="16" t="n">
        <v>5.436611</v>
      </c>
      <c r="K19" s="16" t="n">
        <v>5.408078</v>
      </c>
      <c r="L19" s="16" t="n">
        <v>5.385289</v>
      </c>
      <c r="M19" s="16" t="n">
        <v>5.3637</v>
      </c>
      <c r="N19" s="16" t="n">
        <v>5.333962</v>
      </c>
      <c r="O19" s="16" t="n">
        <v>5.294229</v>
      </c>
      <c r="P19" s="16" t="n">
        <v>5.248191</v>
      </c>
      <c r="Q19" s="16" t="n">
        <v>5.200993</v>
      </c>
      <c r="R19" s="16" t="n">
        <v>5.152752</v>
      </c>
      <c r="S19" s="16" t="n">
        <v>5.102839</v>
      </c>
      <c r="T19" s="16" t="n">
        <v>5.051295</v>
      </c>
      <c r="U19" s="16" t="n">
        <v>5.002883</v>
      </c>
      <c r="V19" s="16" t="n">
        <v>4.961352</v>
      </c>
      <c r="W19" s="16" t="n">
        <v>4.926433</v>
      </c>
      <c r="X19" s="16" t="n">
        <v>4.895687</v>
      </c>
      <c r="Y19" s="16" t="n">
        <v>4.867416</v>
      </c>
      <c r="Z19" s="16" t="n">
        <v>4.845345</v>
      </c>
      <c r="AA19" s="16" t="n">
        <v>4.827591</v>
      </c>
      <c r="AB19" s="16" t="n">
        <v>4.811014</v>
      </c>
      <c r="AC19" s="16" t="n">
        <v>4.794406</v>
      </c>
      <c r="AD19" s="16" t="n">
        <v>4.778117</v>
      </c>
      <c r="AE19" s="16" t="n">
        <v>4.760415</v>
      </c>
      <c r="AF19" s="16" t="n">
        <v>4.740447</v>
      </c>
      <c r="AG19" s="16" t="n">
        <v>4.715725</v>
      </c>
      <c r="AH19" s="16" t="n">
        <v>4.68894</v>
      </c>
      <c r="AI19" s="16" t="n">
        <v>4.660537</v>
      </c>
      <c r="AJ19" s="16" t="n">
        <v>4.629189</v>
      </c>
      <c r="AK19" s="16" t="n">
        <v>4.597032</v>
      </c>
      <c r="AL19" s="16" t="n">
        <v>4.56343</v>
      </c>
      <c r="AM19" s="12" t="n">
        <v>-0.007243</v>
      </c>
    </row>
    <row r="20" ht="15" customHeight="1">
      <c r="A20" s="11" t="inlineStr">
        <is>
          <t>RKI000:ba_Total</t>
        </is>
      </c>
      <c r="B20" s="10" t="inlineStr">
        <is>
          <t xml:space="preserve">     Total</t>
        </is>
      </c>
      <c r="C20" s="15" t="n">
        <v>115.384918</v>
      </c>
      <c r="D20" s="15" t="n">
        <v>116.055977</v>
      </c>
      <c r="E20" s="15" t="n">
        <v>116.945877</v>
      </c>
      <c r="F20" s="15" t="n">
        <v>117.990677</v>
      </c>
      <c r="G20" s="15" t="n">
        <v>119.071655</v>
      </c>
      <c r="H20" s="15" t="n">
        <v>120.200134</v>
      </c>
      <c r="I20" s="15" t="n">
        <v>121.375839</v>
      </c>
      <c r="J20" s="15" t="n">
        <v>122.603424</v>
      </c>
      <c r="K20" s="15" t="n">
        <v>123.851265</v>
      </c>
      <c r="L20" s="15" t="n">
        <v>125.114799</v>
      </c>
      <c r="M20" s="15" t="n">
        <v>126.363152</v>
      </c>
      <c r="N20" s="15" t="n">
        <v>127.569786</v>
      </c>
      <c r="O20" s="15" t="n">
        <v>128.729187</v>
      </c>
      <c r="P20" s="15" t="n">
        <v>129.840469</v>
      </c>
      <c r="Q20" s="15" t="n">
        <v>130.9328</v>
      </c>
      <c r="R20" s="15" t="n">
        <v>132.030121</v>
      </c>
      <c r="S20" s="15" t="n">
        <v>133.101212</v>
      </c>
      <c r="T20" s="15" t="n">
        <v>134.116089</v>
      </c>
      <c r="U20" s="15" t="n">
        <v>135.132355</v>
      </c>
      <c r="V20" s="15" t="n">
        <v>136.196243</v>
      </c>
      <c r="W20" s="15" t="n">
        <v>137.307053</v>
      </c>
      <c r="X20" s="15" t="n">
        <v>138.426239</v>
      </c>
      <c r="Y20" s="15" t="n">
        <v>139.542786</v>
      </c>
      <c r="Z20" s="15" t="n">
        <v>140.667435</v>
      </c>
      <c r="AA20" s="15" t="n">
        <v>141.780945</v>
      </c>
      <c r="AB20" s="15" t="n">
        <v>142.891342</v>
      </c>
      <c r="AC20" s="15" t="n">
        <v>143.993927</v>
      </c>
      <c r="AD20" s="15" t="n">
        <v>145.088165</v>
      </c>
      <c r="AE20" s="15" t="n">
        <v>146.189545</v>
      </c>
      <c r="AF20" s="15" t="n">
        <v>147.308777</v>
      </c>
      <c r="AG20" s="15" t="n">
        <v>148.439484</v>
      </c>
      <c r="AH20" s="15" t="n">
        <v>149.577484</v>
      </c>
      <c r="AI20" s="15" t="n">
        <v>150.71167</v>
      </c>
      <c r="AJ20" s="15" t="n">
        <v>151.823364</v>
      </c>
      <c r="AK20" s="15" t="n">
        <v>152.922379</v>
      </c>
      <c r="AL20" s="15" t="n">
        <v>154.012756</v>
      </c>
      <c r="AM20" s="8" t="n">
        <v>0.008357</v>
      </c>
    </row>
    <row r="22" ht="15" customHeight="1">
      <c r="A22" s="11" t="inlineStr">
        <is>
          <t>RKI000:ca_AverageHouseS</t>
        </is>
      </c>
      <c r="B22" s="10" t="inlineStr">
        <is>
          <t xml:space="preserve"> Average House Square Footage</t>
        </is>
      </c>
      <c r="C22" s="9" t="n">
        <v>1695.087769</v>
      </c>
      <c r="D22" s="9" t="n">
        <v>1703.265137</v>
      </c>
      <c r="E22" s="9" t="n">
        <v>1711.678345</v>
      </c>
      <c r="F22" s="9" t="n">
        <v>1720.062622</v>
      </c>
      <c r="G22" s="9" t="n">
        <v>1728.098999</v>
      </c>
      <c r="H22" s="9" t="n">
        <v>1735.894287</v>
      </c>
      <c r="I22" s="9" t="n">
        <v>1743.393188</v>
      </c>
      <c r="J22" s="9" t="n">
        <v>1750.689453</v>
      </c>
      <c r="K22" s="9" t="n">
        <v>1757.908447</v>
      </c>
      <c r="L22" s="9" t="n">
        <v>1765.019531</v>
      </c>
      <c r="M22" s="9" t="n">
        <v>1772.110718</v>
      </c>
      <c r="N22" s="9" t="n">
        <v>1779.206665</v>
      </c>
      <c r="O22" s="9" t="n">
        <v>1786.19165</v>
      </c>
      <c r="P22" s="9" t="n">
        <v>1792.941895</v>
      </c>
      <c r="Q22" s="9" t="n">
        <v>1799.573608</v>
      </c>
      <c r="R22" s="9" t="n">
        <v>1806.201172</v>
      </c>
      <c r="S22" s="9" t="n">
        <v>1812.731689</v>
      </c>
      <c r="T22" s="9" t="n">
        <v>1819.026245</v>
      </c>
      <c r="U22" s="9" t="n">
        <v>1825.198975</v>
      </c>
      <c r="V22" s="9" t="n">
        <v>1831.396606</v>
      </c>
      <c r="W22" s="9" t="n">
        <v>1837.625977</v>
      </c>
      <c r="X22" s="9" t="n">
        <v>1843.859253</v>
      </c>
      <c r="Y22" s="9" t="n">
        <v>1850.069336</v>
      </c>
      <c r="Z22" s="9" t="n">
        <v>1856.255615</v>
      </c>
      <c r="AA22" s="9" t="n">
        <v>1862.43457</v>
      </c>
      <c r="AB22" s="9" t="n">
        <v>1868.645996</v>
      </c>
      <c r="AC22" s="9" t="n">
        <v>1874.902466</v>
      </c>
      <c r="AD22" s="9" t="n">
        <v>1881.10376</v>
      </c>
      <c r="AE22" s="9" t="n">
        <v>1887.353638</v>
      </c>
      <c r="AF22" s="9" t="n">
        <v>1893.716797</v>
      </c>
      <c r="AG22" s="9" t="n">
        <v>1900.235718</v>
      </c>
      <c r="AH22" s="9" t="n">
        <v>1906.83667</v>
      </c>
      <c r="AI22" s="9" t="n">
        <v>1913.456787</v>
      </c>
      <c r="AJ22" s="9" t="n">
        <v>1920.054199</v>
      </c>
      <c r="AK22" s="9" t="n">
        <v>1926.603394</v>
      </c>
      <c r="AL22" s="9" t="n">
        <v>1933.158325</v>
      </c>
      <c r="AM22" s="8" t="n">
        <v>0.003731</v>
      </c>
    </row>
    <row r="24" ht="15" customHeight="1">
      <c r="B24" s="10" t="inlineStr">
        <is>
          <t xml:space="preserve"> Energy Intensity</t>
        </is>
      </c>
    </row>
    <row r="25" ht="15" customHeight="1">
      <c r="B25" s="10" t="inlineStr">
        <is>
          <t xml:space="preserve"> (million Btu per household)</t>
        </is>
      </c>
    </row>
    <row r="26" ht="15" customHeight="1">
      <c r="A26" s="11" t="inlineStr">
        <is>
          <t>RKI000:da_DeliveredEner</t>
        </is>
      </c>
      <c r="B26" s="14" t="inlineStr">
        <is>
          <t xml:space="preserve">  Delivered Energy Consumption</t>
        </is>
      </c>
      <c r="C26" s="17" t="n">
        <v>95.09217099999999</v>
      </c>
      <c r="D26" s="17" t="n">
        <v>91.51430499999999</v>
      </c>
      <c r="E26" s="17" t="n">
        <v>93.23595400000001</v>
      </c>
      <c r="F26" s="17" t="n">
        <v>93.20533</v>
      </c>
      <c r="G26" s="17" t="n">
        <v>92.11943100000001</v>
      </c>
      <c r="H26" s="17" t="n">
        <v>90.59626799999999</v>
      </c>
      <c r="I26" s="17" t="n">
        <v>89.305229</v>
      </c>
      <c r="J26" s="17" t="n">
        <v>88.06270600000001</v>
      </c>
      <c r="K26" s="17" t="n">
        <v>86.94502300000001</v>
      </c>
      <c r="L26" s="17" t="n">
        <v>85.98902099999999</v>
      </c>
      <c r="M26" s="17" t="n">
        <v>85.068665</v>
      </c>
      <c r="N26" s="17" t="n">
        <v>84.17092100000001</v>
      </c>
      <c r="O26" s="17" t="n">
        <v>83.288025</v>
      </c>
      <c r="P26" s="17" t="n">
        <v>82.49350699999999</v>
      </c>
      <c r="Q26" s="17" t="n">
        <v>81.75804100000001</v>
      </c>
      <c r="R26" s="17" t="n">
        <v>81.003342</v>
      </c>
      <c r="S26" s="17" t="n">
        <v>80.306366</v>
      </c>
      <c r="T26" s="17" t="n">
        <v>79.661469</v>
      </c>
      <c r="U26" s="17" t="n">
        <v>79.07061</v>
      </c>
      <c r="V26" s="17" t="n">
        <v>78.507645</v>
      </c>
      <c r="W26" s="17" t="n">
        <v>77.900688</v>
      </c>
      <c r="X26" s="17" t="n">
        <v>77.31574999999999</v>
      </c>
      <c r="Y26" s="17" t="n">
        <v>76.757065</v>
      </c>
      <c r="Z26" s="17" t="n">
        <v>76.239441</v>
      </c>
      <c r="AA26" s="17" t="n">
        <v>75.742729</v>
      </c>
      <c r="AB26" s="17" t="n">
        <v>75.24623099999999</v>
      </c>
      <c r="AC26" s="17" t="n">
        <v>74.741257</v>
      </c>
      <c r="AD26" s="17" t="n">
        <v>74.238434</v>
      </c>
      <c r="AE26" s="17" t="n">
        <v>73.72949199999999</v>
      </c>
      <c r="AF26" s="17" t="n">
        <v>73.22341900000001</v>
      </c>
      <c r="AG26" s="17" t="n">
        <v>72.72551</v>
      </c>
      <c r="AH26" s="17" t="n">
        <v>72.229294</v>
      </c>
      <c r="AI26" s="17" t="n">
        <v>71.727997</v>
      </c>
      <c r="AJ26" s="17" t="n">
        <v>71.19856299999999</v>
      </c>
      <c r="AK26" s="17" t="n">
        <v>70.677345</v>
      </c>
      <c r="AL26" s="17" t="n">
        <v>70.151375</v>
      </c>
      <c r="AM26" s="12" t="n">
        <v>-0.007788</v>
      </c>
    </row>
    <row r="27" ht="15" customHeight="1">
      <c r="A27" s="11" t="inlineStr">
        <is>
          <t>RKI000:da_TotalEnergyCo</t>
        </is>
      </c>
      <c r="B27" s="14" t="inlineStr">
        <is>
          <t xml:space="preserve">  Total Energy Consumption</t>
        </is>
      </c>
      <c r="C27" s="17" t="n">
        <v>178.030151</v>
      </c>
      <c r="D27" s="17" t="n">
        <v>172.393204</v>
      </c>
      <c r="E27" s="17" t="n">
        <v>173.363068</v>
      </c>
      <c r="F27" s="17" t="n">
        <v>172.741058</v>
      </c>
      <c r="G27" s="17" t="n">
        <v>171.112427</v>
      </c>
      <c r="H27" s="17" t="n">
        <v>168.358643</v>
      </c>
      <c r="I27" s="17" t="n">
        <v>165.764923</v>
      </c>
      <c r="J27" s="17" t="n">
        <v>163.261414</v>
      </c>
      <c r="K27" s="17" t="n">
        <v>161.146973</v>
      </c>
      <c r="L27" s="17" t="n">
        <v>159.129715</v>
      </c>
      <c r="M27" s="17" t="n">
        <v>157.060196</v>
      </c>
      <c r="N27" s="17" t="n">
        <v>154.862381</v>
      </c>
      <c r="O27" s="17" t="n">
        <v>153.012909</v>
      </c>
      <c r="P27" s="17" t="n">
        <v>151.354218</v>
      </c>
      <c r="Q27" s="17" t="n">
        <v>149.927246</v>
      </c>
      <c r="R27" s="17" t="n">
        <v>148.446838</v>
      </c>
      <c r="S27" s="17" t="n">
        <v>147.190643</v>
      </c>
      <c r="T27" s="17" t="n">
        <v>145.941071</v>
      </c>
      <c r="U27" s="17" t="n">
        <v>145.062759</v>
      </c>
      <c r="V27" s="17" t="n">
        <v>143.89093</v>
      </c>
      <c r="W27" s="17" t="n">
        <v>142.56427</v>
      </c>
      <c r="X27" s="17" t="n">
        <v>141.705383</v>
      </c>
      <c r="Y27" s="17" t="n">
        <v>140.520813</v>
      </c>
      <c r="Z27" s="17" t="n">
        <v>139.614624</v>
      </c>
      <c r="AA27" s="17" t="n">
        <v>138.742218</v>
      </c>
      <c r="AB27" s="17" t="n">
        <v>137.953918</v>
      </c>
      <c r="AC27" s="17" t="n">
        <v>137.001663</v>
      </c>
      <c r="AD27" s="17" t="n">
        <v>136.081818</v>
      </c>
      <c r="AE27" s="17" t="n">
        <v>135.213745</v>
      </c>
      <c r="AF27" s="17" t="n">
        <v>134.201843</v>
      </c>
      <c r="AG27" s="17" t="n">
        <v>133.031204</v>
      </c>
      <c r="AH27" s="17" t="n">
        <v>131.966324</v>
      </c>
      <c r="AI27" s="17" t="n">
        <v>130.840973</v>
      </c>
      <c r="AJ27" s="17" t="n">
        <v>129.765945</v>
      </c>
      <c r="AK27" s="17" t="n">
        <v>128.768661</v>
      </c>
      <c r="AL27" s="17" t="n">
        <v>127.432068</v>
      </c>
      <c r="AM27" s="12" t="n">
        <v>-0.008848999999999999</v>
      </c>
    </row>
    <row r="28" ht="15" customHeight="1">
      <c r="B28" s="10" t="inlineStr">
        <is>
          <t xml:space="preserve"> (thousand Btu per square foot)</t>
        </is>
      </c>
    </row>
    <row r="29" ht="15" customHeight="1">
      <c r="A29" s="11" t="inlineStr">
        <is>
          <t>RKI000:ea_DeliveredEner</t>
        </is>
      </c>
      <c r="B29" s="14" t="inlineStr">
        <is>
          <t xml:space="preserve">  Delivered Energy Consumption</t>
        </is>
      </c>
      <c r="C29" s="17" t="n">
        <v>56.098671</v>
      </c>
      <c r="D29" s="17" t="n">
        <v>53.728748</v>
      </c>
      <c r="E29" s="17" t="n">
        <v>54.470486</v>
      </c>
      <c r="F29" s="17" t="n">
        <v>54.187172</v>
      </c>
      <c r="G29" s="17" t="n">
        <v>53.306805</v>
      </c>
      <c r="H29" s="17" t="n">
        <v>52.189968</v>
      </c>
      <c r="I29" s="17" t="n">
        <v>51.224949</v>
      </c>
      <c r="J29" s="17" t="n">
        <v>50.301727</v>
      </c>
      <c r="K29" s="17" t="n">
        <v>49.459358</v>
      </c>
      <c r="L29" s="17" t="n">
        <v>48.718452</v>
      </c>
      <c r="M29" s="17" t="n">
        <v>48.004147</v>
      </c>
      <c r="N29" s="17" t="n">
        <v>47.308121</v>
      </c>
      <c r="O29" s="17" t="n">
        <v>46.62883</v>
      </c>
      <c r="P29" s="17" t="n">
        <v>46.010139</v>
      </c>
      <c r="Q29" s="17" t="n">
        <v>45.431896</v>
      </c>
      <c r="R29" s="17" t="n">
        <v>44.847355</v>
      </c>
      <c r="S29" s="17" t="n">
        <v>44.301296</v>
      </c>
      <c r="T29" s="17" t="n">
        <v>43.793468</v>
      </c>
      <c r="U29" s="17" t="n">
        <v>43.32164</v>
      </c>
      <c r="V29" s="17" t="n">
        <v>42.867638</v>
      </c>
      <c r="W29" s="17" t="n">
        <v>42.392025</v>
      </c>
      <c r="X29" s="17" t="n">
        <v>41.93148</v>
      </c>
      <c r="Y29" s="17" t="n">
        <v>41.48875</v>
      </c>
      <c r="Z29" s="17" t="n">
        <v>41.071629</v>
      </c>
      <c r="AA29" s="17" t="n">
        <v>40.668667</v>
      </c>
      <c r="AB29" s="17" t="n">
        <v>40.267784</v>
      </c>
      <c r="AC29" s="17" t="n">
        <v>39.864079</v>
      </c>
      <c r="AD29" s="17" t="n">
        <v>39.465355</v>
      </c>
      <c r="AE29" s="17" t="n">
        <v>39.06501</v>
      </c>
      <c r="AF29" s="17" t="n">
        <v>38.666508</v>
      </c>
      <c r="AG29" s="17" t="n">
        <v>38.271835</v>
      </c>
      <c r="AH29" s="17" t="n">
        <v>37.87912</v>
      </c>
      <c r="AI29" s="17" t="n">
        <v>37.48608</v>
      </c>
      <c r="AJ29" s="17" t="n">
        <v>37.081539</v>
      </c>
      <c r="AK29" s="17" t="n">
        <v>36.684948</v>
      </c>
      <c r="AL29" s="17" t="n">
        <v>36.288479</v>
      </c>
      <c r="AM29" s="12" t="n">
        <v>-0.011476</v>
      </c>
    </row>
    <row r="30" ht="15" customHeight="1">
      <c r="A30" s="11" t="inlineStr">
        <is>
          <t>RKI000:ea_TotalEnergyCo</t>
        </is>
      </c>
      <c r="B30" s="14" t="inlineStr">
        <is>
          <t xml:space="preserve">  Total Energy Consumption</t>
        </is>
      </c>
      <c r="C30" s="17" t="n">
        <v>105.0271</v>
      </c>
      <c r="D30" s="17" t="n">
        <v>101.213371</v>
      </c>
      <c r="E30" s="17" t="n">
        <v>101.282501</v>
      </c>
      <c r="F30" s="17" t="n">
        <v>100.427185</v>
      </c>
      <c r="G30" s="17" t="n">
        <v>99.017723</v>
      </c>
      <c r="H30" s="17" t="n">
        <v>96.986687</v>
      </c>
      <c r="I30" s="17" t="n">
        <v>95.081779</v>
      </c>
      <c r="J30" s="17" t="n">
        <v>93.255501</v>
      </c>
      <c r="K30" s="17" t="n">
        <v>91.66971599999999</v>
      </c>
      <c r="L30" s="17" t="n">
        <v>90.157478</v>
      </c>
      <c r="M30" s="17" t="n">
        <v>88.628883</v>
      </c>
      <c r="N30" s="17" t="n">
        <v>87.040131</v>
      </c>
      <c r="O30" s="17" t="n">
        <v>85.66433000000001</v>
      </c>
      <c r="P30" s="17" t="n">
        <v>84.416687</v>
      </c>
      <c r="Q30" s="17" t="n">
        <v>83.312653</v>
      </c>
      <c r="R30" s="17" t="n">
        <v>82.187325</v>
      </c>
      <c r="S30" s="17" t="n">
        <v>81.19825</v>
      </c>
      <c r="T30" s="17" t="n">
        <v>80.230324</v>
      </c>
      <c r="U30" s="17" t="n">
        <v>79.477783</v>
      </c>
      <c r="V30" s="17" t="n">
        <v>78.568962</v>
      </c>
      <c r="W30" s="17" t="n">
        <v>77.580673</v>
      </c>
      <c r="X30" s="17" t="n">
        <v>76.852608</v>
      </c>
      <c r="Y30" s="17" t="n">
        <v>75.954346</v>
      </c>
      <c r="Z30" s="17" t="n">
        <v>75.213036</v>
      </c>
      <c r="AA30" s="17" t="n">
        <v>74.495087</v>
      </c>
      <c r="AB30" s="17" t="n">
        <v>73.82560700000001</v>
      </c>
      <c r="AC30" s="17" t="n">
        <v>73.07135</v>
      </c>
      <c r="AD30" s="17" t="n">
        <v>72.341469</v>
      </c>
      <c r="AE30" s="17" t="n">
        <v>71.641975</v>
      </c>
      <c r="AF30" s="17" t="n">
        <v>70.866905</v>
      </c>
      <c r="AG30" s="17" t="n">
        <v>70.007744</v>
      </c>
      <c r="AH30" s="17" t="n">
        <v>69.20694</v>
      </c>
      <c r="AI30" s="17" t="n">
        <v>68.379372</v>
      </c>
      <c r="AJ30" s="17" t="n">
        <v>67.584518</v>
      </c>
      <c r="AK30" s="17" t="n">
        <v>66.837143</v>
      </c>
      <c r="AL30" s="17" t="n">
        <v>65.919106</v>
      </c>
      <c r="AM30" s="12" t="n">
        <v>-0.012533</v>
      </c>
    </row>
    <row r="32" ht="15" customHeight="1">
      <c r="B32" s="10" t="inlineStr">
        <is>
          <t>Delivered Energy Consumption by Fuel</t>
        </is>
      </c>
    </row>
    <row r="33" ht="15" customHeight="1">
      <c r="B33" s="10" t="inlineStr">
        <is>
          <t xml:space="preserve"> Purchased Electricity</t>
        </is>
      </c>
    </row>
    <row r="34" ht="15" customHeight="1">
      <c r="A34" s="11" t="inlineStr">
        <is>
          <t>RKI000:fa_SpaceHeating</t>
        </is>
      </c>
      <c r="B34" s="14" t="inlineStr">
        <is>
          <t xml:space="preserve">   Space Heating</t>
        </is>
      </c>
      <c r="C34" s="16" t="n">
        <v>0.331095</v>
      </c>
      <c r="D34" s="16" t="n">
        <v>0.327905</v>
      </c>
      <c r="E34" s="16" t="n">
        <v>0.349864</v>
      </c>
      <c r="F34" s="16" t="n">
        <v>0.360698</v>
      </c>
      <c r="G34" s="16" t="n">
        <v>0.359427</v>
      </c>
      <c r="H34" s="16" t="n">
        <v>0.35678</v>
      </c>
      <c r="I34" s="16" t="n">
        <v>0.354556</v>
      </c>
      <c r="J34" s="16" t="n">
        <v>0.351704</v>
      </c>
      <c r="K34" s="16" t="n">
        <v>0.349147</v>
      </c>
      <c r="L34" s="16" t="n">
        <v>0.347889</v>
      </c>
      <c r="M34" s="16" t="n">
        <v>0.346378</v>
      </c>
      <c r="N34" s="16" t="n">
        <v>0.344521</v>
      </c>
      <c r="O34" s="16" t="n">
        <v>0.342983</v>
      </c>
      <c r="P34" s="16" t="n">
        <v>0.341653</v>
      </c>
      <c r="Q34" s="16" t="n">
        <v>0.340396</v>
      </c>
      <c r="R34" s="16" t="n">
        <v>0.339176</v>
      </c>
      <c r="S34" s="16" t="n">
        <v>0.337991</v>
      </c>
      <c r="T34" s="16" t="n">
        <v>0.336796</v>
      </c>
      <c r="U34" s="16" t="n">
        <v>0.335669</v>
      </c>
      <c r="V34" s="16" t="n">
        <v>0.334739</v>
      </c>
      <c r="W34" s="16" t="n">
        <v>0.333526</v>
      </c>
      <c r="X34" s="16" t="n">
        <v>0.332407</v>
      </c>
      <c r="Y34" s="16" t="n">
        <v>0.331335</v>
      </c>
      <c r="Z34" s="16" t="n">
        <v>0.330215</v>
      </c>
      <c r="AA34" s="16" t="n">
        <v>0.329147</v>
      </c>
      <c r="AB34" s="16" t="n">
        <v>0.328134</v>
      </c>
      <c r="AC34" s="16" t="n">
        <v>0.327134</v>
      </c>
      <c r="AD34" s="16" t="n">
        <v>0.32601</v>
      </c>
      <c r="AE34" s="16" t="n">
        <v>0.324843</v>
      </c>
      <c r="AF34" s="16" t="n">
        <v>0.323649</v>
      </c>
      <c r="AG34" s="16" t="n">
        <v>0.322493</v>
      </c>
      <c r="AH34" s="16" t="n">
        <v>0.321251</v>
      </c>
      <c r="AI34" s="16" t="n">
        <v>0.320117</v>
      </c>
      <c r="AJ34" s="16" t="n">
        <v>0.318898</v>
      </c>
      <c r="AK34" s="16" t="n">
        <v>0.31769</v>
      </c>
      <c r="AL34" s="16" t="n">
        <v>0.3165</v>
      </c>
      <c r="AM34" s="12" t="n">
        <v>-0.001041</v>
      </c>
    </row>
    <row r="35" ht="15" customHeight="1">
      <c r="A35" s="11" t="inlineStr">
        <is>
          <t>RKI000:fa_SpaceCooling</t>
        </is>
      </c>
      <c r="B35" s="14" t="inlineStr">
        <is>
          <t xml:space="preserve">   Space Cooling</t>
        </is>
      </c>
      <c r="C35" s="16" t="n">
        <v>0.794241</v>
      </c>
      <c r="D35" s="16" t="n">
        <v>0.843365</v>
      </c>
      <c r="E35" s="16" t="n">
        <v>0.734594</v>
      </c>
      <c r="F35" s="16" t="n">
        <v>0.76137</v>
      </c>
      <c r="G35" s="16" t="n">
        <v>0.762741</v>
      </c>
      <c r="H35" s="16" t="n">
        <v>0.7614919999999999</v>
      </c>
      <c r="I35" s="16" t="n">
        <v>0.761669</v>
      </c>
      <c r="J35" s="16" t="n">
        <v>0.760511</v>
      </c>
      <c r="K35" s="16" t="n">
        <v>0.760795</v>
      </c>
      <c r="L35" s="16" t="n">
        <v>0.763733</v>
      </c>
      <c r="M35" s="16" t="n">
        <v>0.766355</v>
      </c>
      <c r="N35" s="16" t="n">
        <v>0.769149</v>
      </c>
      <c r="O35" s="16" t="n">
        <v>0.772869</v>
      </c>
      <c r="P35" s="16" t="n">
        <v>0.777587</v>
      </c>
      <c r="Q35" s="16" t="n">
        <v>0.782814</v>
      </c>
      <c r="R35" s="16" t="n">
        <v>0.787987</v>
      </c>
      <c r="S35" s="16" t="n">
        <v>0.794111</v>
      </c>
      <c r="T35" s="16" t="n">
        <v>0.799816</v>
      </c>
      <c r="U35" s="16" t="n">
        <v>0.805894</v>
      </c>
      <c r="V35" s="16" t="n">
        <v>0.8120540000000001</v>
      </c>
      <c r="W35" s="16" t="n">
        <v>0.81797</v>
      </c>
      <c r="X35" s="16" t="n">
        <v>0.823585</v>
      </c>
      <c r="Y35" s="16" t="n">
        <v>0.828776</v>
      </c>
      <c r="Z35" s="16" t="n">
        <v>0.834249</v>
      </c>
      <c r="AA35" s="16" t="n">
        <v>0.839338</v>
      </c>
      <c r="AB35" s="16" t="n">
        <v>0.843899</v>
      </c>
      <c r="AC35" s="16" t="n">
        <v>0.848227</v>
      </c>
      <c r="AD35" s="16" t="n">
        <v>0.852276</v>
      </c>
      <c r="AE35" s="16" t="n">
        <v>0.855443</v>
      </c>
      <c r="AF35" s="16" t="n">
        <v>0.858159</v>
      </c>
      <c r="AG35" s="16" t="n">
        <v>0.8605969999999999</v>
      </c>
      <c r="AH35" s="16" t="n">
        <v>0.862771</v>
      </c>
      <c r="AI35" s="16" t="n">
        <v>0.864408</v>
      </c>
      <c r="AJ35" s="16" t="n">
        <v>0.86468</v>
      </c>
      <c r="AK35" s="16" t="n">
        <v>0.864275</v>
      </c>
      <c r="AL35" s="16" t="n">
        <v>0.863426</v>
      </c>
      <c r="AM35" s="12" t="n">
        <v>0.000692</v>
      </c>
    </row>
    <row r="36" ht="15" customHeight="1">
      <c r="A36" s="11" t="inlineStr">
        <is>
          <t>RKI000:fa_WaterHeating</t>
        </is>
      </c>
      <c r="B36" s="14" t="inlineStr">
        <is>
          <t xml:space="preserve">   Water Heating</t>
        </is>
      </c>
      <c r="C36" s="16" t="n">
        <v>0.450959</v>
      </c>
      <c r="D36" s="16" t="n">
        <v>0.455588</v>
      </c>
      <c r="E36" s="16" t="n">
        <v>0.459874</v>
      </c>
      <c r="F36" s="16" t="n">
        <v>0.463842</v>
      </c>
      <c r="G36" s="16" t="n">
        <v>0.466237</v>
      </c>
      <c r="H36" s="16" t="n">
        <v>0.466061</v>
      </c>
      <c r="I36" s="16" t="n">
        <v>0.466631</v>
      </c>
      <c r="J36" s="16" t="n">
        <v>0.466397</v>
      </c>
      <c r="K36" s="16" t="n">
        <v>0.466415</v>
      </c>
      <c r="L36" s="16" t="n">
        <v>0.467595</v>
      </c>
      <c r="M36" s="16" t="n">
        <v>0.468658</v>
      </c>
      <c r="N36" s="16" t="n">
        <v>0.46926</v>
      </c>
      <c r="O36" s="16" t="n">
        <v>0.470007</v>
      </c>
      <c r="P36" s="16" t="n">
        <v>0.470921</v>
      </c>
      <c r="Q36" s="16" t="n">
        <v>0.471731</v>
      </c>
      <c r="R36" s="16" t="n">
        <v>0.472078</v>
      </c>
      <c r="S36" s="16" t="n">
        <v>0.472246</v>
      </c>
      <c r="T36" s="16" t="n">
        <v>0.472215</v>
      </c>
      <c r="U36" s="16" t="n">
        <v>0.471744</v>
      </c>
      <c r="V36" s="16" t="n">
        <v>0.470985</v>
      </c>
      <c r="W36" s="16" t="n">
        <v>0.469734</v>
      </c>
      <c r="X36" s="16" t="n">
        <v>0.468383</v>
      </c>
      <c r="Y36" s="16" t="n">
        <v>0.467286</v>
      </c>
      <c r="Z36" s="16" t="n">
        <v>0.466714</v>
      </c>
      <c r="AA36" s="16" t="n">
        <v>0.466841</v>
      </c>
      <c r="AB36" s="16" t="n">
        <v>0.467631</v>
      </c>
      <c r="AC36" s="16" t="n">
        <v>0.46911</v>
      </c>
      <c r="AD36" s="16" t="n">
        <v>0.470964</v>
      </c>
      <c r="AE36" s="16" t="n">
        <v>0.472968</v>
      </c>
      <c r="AF36" s="16" t="n">
        <v>0.475037</v>
      </c>
      <c r="AG36" s="16" t="n">
        <v>0.477081</v>
      </c>
      <c r="AH36" s="16" t="n">
        <v>0.479117</v>
      </c>
      <c r="AI36" s="16" t="n">
        <v>0.481072</v>
      </c>
      <c r="AJ36" s="16" t="n">
        <v>0.482834</v>
      </c>
      <c r="AK36" s="16" t="n">
        <v>0.484493</v>
      </c>
      <c r="AL36" s="16" t="n">
        <v>0.486022</v>
      </c>
      <c r="AM36" s="12" t="n">
        <v>0.001904</v>
      </c>
    </row>
    <row r="37" ht="15" customHeight="1">
      <c r="A37" s="11" t="inlineStr">
        <is>
          <t>RKI000:fa_Refrigeration</t>
        </is>
      </c>
      <c r="B37" s="14" t="inlineStr">
        <is>
          <t xml:space="preserve">   Refrigeration</t>
        </is>
      </c>
      <c r="C37" s="16" t="n">
        <v>0.355201</v>
      </c>
      <c r="D37" s="16" t="n">
        <v>0.35081</v>
      </c>
      <c r="E37" s="16" t="n">
        <v>0.346875</v>
      </c>
      <c r="F37" s="16" t="n">
        <v>0.343662</v>
      </c>
      <c r="G37" s="16" t="n">
        <v>0.340835</v>
      </c>
      <c r="H37" s="16" t="n">
        <v>0.338432</v>
      </c>
      <c r="I37" s="16" t="n">
        <v>0.336455</v>
      </c>
      <c r="J37" s="16" t="n">
        <v>0.334212</v>
      </c>
      <c r="K37" s="16" t="n">
        <v>0.332347</v>
      </c>
      <c r="L37" s="16" t="n">
        <v>0.330892</v>
      </c>
      <c r="M37" s="16" t="n">
        <v>0.329846</v>
      </c>
      <c r="N37" s="16" t="n">
        <v>0.329135</v>
      </c>
      <c r="O37" s="16" t="n">
        <v>0.328747</v>
      </c>
      <c r="P37" s="16" t="n">
        <v>0.328678</v>
      </c>
      <c r="Q37" s="16" t="n">
        <v>0.329</v>
      </c>
      <c r="R37" s="16" t="n">
        <v>0.32979</v>
      </c>
      <c r="S37" s="16" t="n">
        <v>0.330945</v>
      </c>
      <c r="T37" s="16" t="n">
        <v>0.332402</v>
      </c>
      <c r="U37" s="16" t="n">
        <v>0.334299</v>
      </c>
      <c r="V37" s="16" t="n">
        <v>0.336792</v>
      </c>
      <c r="W37" s="16" t="n">
        <v>0.339898</v>
      </c>
      <c r="X37" s="16" t="n">
        <v>0.343507</v>
      </c>
      <c r="Y37" s="16" t="n">
        <v>0.347132</v>
      </c>
      <c r="Z37" s="16" t="n">
        <v>0.350793</v>
      </c>
      <c r="AA37" s="16" t="n">
        <v>0.354434</v>
      </c>
      <c r="AB37" s="16" t="n">
        <v>0.358071</v>
      </c>
      <c r="AC37" s="16" t="n">
        <v>0.361684</v>
      </c>
      <c r="AD37" s="16" t="n">
        <v>0.365255</v>
      </c>
      <c r="AE37" s="16" t="n">
        <v>0.368825</v>
      </c>
      <c r="AF37" s="16" t="n">
        <v>0.37242</v>
      </c>
      <c r="AG37" s="16" t="n">
        <v>0.376024</v>
      </c>
      <c r="AH37" s="16" t="n">
        <v>0.379613</v>
      </c>
      <c r="AI37" s="16" t="n">
        <v>0.383152</v>
      </c>
      <c r="AJ37" s="16" t="n">
        <v>0.386586</v>
      </c>
      <c r="AK37" s="16" t="n">
        <v>0.389937</v>
      </c>
      <c r="AL37" s="16" t="n">
        <v>0.39322</v>
      </c>
      <c r="AM37" s="12" t="n">
        <v>0.003362</v>
      </c>
    </row>
    <row r="38" ht="15" customHeight="1">
      <c r="A38" s="11" t="inlineStr">
        <is>
          <t>RKI000:fa_Cooking</t>
        </is>
      </c>
      <c r="B38" s="14" t="inlineStr">
        <is>
          <t xml:space="preserve">   Cooking</t>
        </is>
      </c>
      <c r="C38" s="16" t="n">
        <v>0.107912</v>
      </c>
      <c r="D38" s="16" t="n">
        <v>0.108876</v>
      </c>
      <c r="E38" s="16" t="n">
        <v>0.110093</v>
      </c>
      <c r="F38" s="16" t="n">
        <v>0.111487</v>
      </c>
      <c r="G38" s="16" t="n">
        <v>0.112918</v>
      </c>
      <c r="H38" s="16" t="n">
        <v>0.1144</v>
      </c>
      <c r="I38" s="16" t="n">
        <v>0.115934</v>
      </c>
      <c r="J38" s="16" t="n">
        <v>0.117524</v>
      </c>
      <c r="K38" s="16" t="n">
        <v>0.119134</v>
      </c>
      <c r="L38" s="16" t="n">
        <v>0.120757</v>
      </c>
      <c r="M38" s="16" t="n">
        <v>0.122359</v>
      </c>
      <c r="N38" s="16" t="n">
        <v>0.123909</v>
      </c>
      <c r="O38" s="16" t="n">
        <v>0.1254</v>
      </c>
      <c r="P38" s="16" t="n">
        <v>0.126833</v>
      </c>
      <c r="Q38" s="16" t="n">
        <v>0.128242</v>
      </c>
      <c r="R38" s="16" t="n">
        <v>0.129656</v>
      </c>
      <c r="S38" s="16" t="n">
        <v>0.131037</v>
      </c>
      <c r="T38" s="16" t="n">
        <v>0.132353</v>
      </c>
      <c r="U38" s="16" t="n">
        <v>0.133671</v>
      </c>
      <c r="V38" s="16" t="n">
        <v>0.135043</v>
      </c>
      <c r="W38" s="16" t="n">
        <v>0.13647</v>
      </c>
      <c r="X38" s="16" t="n">
        <v>0.137907</v>
      </c>
      <c r="Y38" s="16" t="n">
        <v>0.13934</v>
      </c>
      <c r="Z38" s="16" t="n">
        <v>0.140783</v>
      </c>
      <c r="AA38" s="16" t="n">
        <v>0.142213</v>
      </c>
      <c r="AB38" s="16" t="n">
        <v>0.143639</v>
      </c>
      <c r="AC38" s="16" t="n">
        <v>0.145055</v>
      </c>
      <c r="AD38" s="16" t="n">
        <v>0.146462</v>
      </c>
      <c r="AE38" s="16" t="n">
        <v>0.147877</v>
      </c>
      <c r="AF38" s="16" t="n">
        <v>0.149312</v>
      </c>
      <c r="AG38" s="16" t="n">
        <v>0.150759</v>
      </c>
      <c r="AH38" s="16" t="n">
        <v>0.152214</v>
      </c>
      <c r="AI38" s="16" t="n">
        <v>0.153665</v>
      </c>
      <c r="AJ38" s="16" t="n">
        <v>0.155088</v>
      </c>
      <c r="AK38" s="16" t="n">
        <v>0.156497</v>
      </c>
      <c r="AL38" s="16" t="n">
        <v>0.157896</v>
      </c>
      <c r="AM38" s="12" t="n">
        <v>0.010993</v>
      </c>
    </row>
    <row r="39" ht="15" customHeight="1">
      <c r="A39" s="11" t="inlineStr">
        <is>
          <t>RKI000:fa_ClothesDryers</t>
        </is>
      </c>
      <c r="B39" s="14" t="inlineStr">
        <is>
          <t xml:space="preserve">   Clothes Dryers</t>
        </is>
      </c>
      <c r="C39" s="16" t="n">
        <v>0.204635</v>
      </c>
      <c r="D39" s="16" t="n">
        <v>0.206883</v>
      </c>
      <c r="E39" s="16" t="n">
        <v>0.209296</v>
      </c>
      <c r="F39" s="16" t="n">
        <v>0.212039</v>
      </c>
      <c r="G39" s="16" t="n">
        <v>0.214057</v>
      </c>
      <c r="H39" s="16" t="n">
        <v>0.215143</v>
      </c>
      <c r="I39" s="16" t="n">
        <v>0.216217</v>
      </c>
      <c r="J39" s="16" t="n">
        <v>0.21703</v>
      </c>
      <c r="K39" s="16" t="n">
        <v>0.218042</v>
      </c>
      <c r="L39" s="16" t="n">
        <v>0.219747</v>
      </c>
      <c r="M39" s="16" t="n">
        <v>0.221473</v>
      </c>
      <c r="N39" s="16" t="n">
        <v>0.223056</v>
      </c>
      <c r="O39" s="16" t="n">
        <v>0.224778</v>
      </c>
      <c r="P39" s="16" t="n">
        <v>0.226697</v>
      </c>
      <c r="Q39" s="16" t="n">
        <v>0.228736</v>
      </c>
      <c r="R39" s="16" t="n">
        <v>0.230917</v>
      </c>
      <c r="S39" s="16" t="n">
        <v>0.233149</v>
      </c>
      <c r="T39" s="16" t="n">
        <v>0.235399</v>
      </c>
      <c r="U39" s="16" t="n">
        <v>0.23778</v>
      </c>
      <c r="V39" s="16" t="n">
        <v>0.24031</v>
      </c>
      <c r="W39" s="16" t="n">
        <v>0.242833</v>
      </c>
      <c r="X39" s="16" t="n">
        <v>0.245391</v>
      </c>
      <c r="Y39" s="16" t="n">
        <v>0.248003</v>
      </c>
      <c r="Z39" s="16" t="n">
        <v>0.250667</v>
      </c>
      <c r="AA39" s="16" t="n">
        <v>0.253331</v>
      </c>
      <c r="AB39" s="16" t="n">
        <v>0.256003</v>
      </c>
      <c r="AC39" s="16" t="n">
        <v>0.258678</v>
      </c>
      <c r="AD39" s="16" t="n">
        <v>0.261266</v>
      </c>
      <c r="AE39" s="16" t="n">
        <v>0.263761</v>
      </c>
      <c r="AF39" s="16" t="n">
        <v>0.266211</v>
      </c>
      <c r="AG39" s="16" t="n">
        <v>0.268628</v>
      </c>
      <c r="AH39" s="16" t="n">
        <v>0.271044</v>
      </c>
      <c r="AI39" s="16" t="n">
        <v>0.273422</v>
      </c>
      <c r="AJ39" s="16" t="n">
        <v>0.275691</v>
      </c>
      <c r="AK39" s="16" t="n">
        <v>0.277913</v>
      </c>
      <c r="AL39" s="16" t="n">
        <v>0.280083</v>
      </c>
      <c r="AM39" s="12" t="n">
        <v>0.00895</v>
      </c>
    </row>
    <row r="40" ht="15" customHeight="1">
      <c r="A40" s="11" t="inlineStr">
        <is>
          <t>RKI000:fa_Freezers</t>
        </is>
      </c>
      <c r="B40" s="14" t="inlineStr">
        <is>
          <t xml:space="preserve">   Freezers</t>
        </is>
      </c>
      <c r="C40" s="16" t="n">
        <v>0.07543</v>
      </c>
      <c r="D40" s="16" t="n">
        <v>0.074619</v>
      </c>
      <c r="E40" s="16" t="n">
        <v>0.073888</v>
      </c>
      <c r="F40" s="16" t="n">
        <v>0.07319199999999999</v>
      </c>
      <c r="G40" s="16" t="n">
        <v>0.072462</v>
      </c>
      <c r="H40" s="16" t="n">
        <v>0.07170600000000001</v>
      </c>
      <c r="I40" s="16" t="n">
        <v>0.070935</v>
      </c>
      <c r="J40" s="16" t="n">
        <v>0.07016799999999999</v>
      </c>
      <c r="K40" s="16" t="n">
        <v>0.069453</v>
      </c>
      <c r="L40" s="16" t="n">
        <v>0.068787</v>
      </c>
      <c r="M40" s="16" t="n">
        <v>0.068159</v>
      </c>
      <c r="N40" s="16" t="n">
        <v>0.067552</v>
      </c>
      <c r="O40" s="16" t="n">
        <v>0.066966</v>
      </c>
      <c r="P40" s="16" t="n">
        <v>0.0664</v>
      </c>
      <c r="Q40" s="16" t="n">
        <v>0.065872</v>
      </c>
      <c r="R40" s="16" t="n">
        <v>0.06540700000000001</v>
      </c>
      <c r="S40" s="16" t="n">
        <v>0.064986</v>
      </c>
      <c r="T40" s="16" t="n">
        <v>0.064596</v>
      </c>
      <c r="U40" s="16" t="n">
        <v>0.064264</v>
      </c>
      <c r="V40" s="16" t="n">
        <v>0.064015</v>
      </c>
      <c r="W40" s="16" t="n">
        <v>0.06386500000000001</v>
      </c>
      <c r="X40" s="16" t="n">
        <v>0.063791</v>
      </c>
      <c r="Y40" s="16" t="n">
        <v>0.0638</v>
      </c>
      <c r="Z40" s="16" t="n">
        <v>0.063906</v>
      </c>
      <c r="AA40" s="16" t="n">
        <v>0.06410399999999999</v>
      </c>
      <c r="AB40" s="16" t="n">
        <v>0.06439499999999999</v>
      </c>
      <c r="AC40" s="16" t="n">
        <v>0.06476800000000001</v>
      </c>
      <c r="AD40" s="16" t="n">
        <v>0.065146</v>
      </c>
      <c r="AE40" s="16" t="n">
        <v>0.065538</v>
      </c>
      <c r="AF40" s="16" t="n">
        <v>0.065951</v>
      </c>
      <c r="AG40" s="16" t="n">
        <v>0.066383</v>
      </c>
      <c r="AH40" s="16" t="n">
        <v>0.06683</v>
      </c>
      <c r="AI40" s="16" t="n">
        <v>0.067283</v>
      </c>
      <c r="AJ40" s="16" t="n">
        <v>0.067733</v>
      </c>
      <c r="AK40" s="16" t="n">
        <v>0.06818200000000001</v>
      </c>
      <c r="AL40" s="16" t="n">
        <v>0.068633</v>
      </c>
      <c r="AM40" s="12" t="n">
        <v>-0.002456</v>
      </c>
    </row>
    <row r="41" ht="15" customHeight="1">
      <c r="A41" s="11" t="inlineStr">
        <is>
          <t>RKI000:fa_Lighting</t>
        </is>
      </c>
      <c r="B41" s="14" t="inlineStr">
        <is>
          <t xml:space="preserve">   Lighting</t>
        </is>
      </c>
      <c r="C41" s="16" t="n">
        <v>0.448123</v>
      </c>
      <c r="D41" s="16" t="n">
        <v>0.441566</v>
      </c>
      <c r="E41" s="16" t="n">
        <v>0.435892</v>
      </c>
      <c r="F41" s="16" t="n">
        <v>0.434207</v>
      </c>
      <c r="G41" s="16" t="n">
        <v>0.424534</v>
      </c>
      <c r="H41" s="16" t="n">
        <v>0.373465</v>
      </c>
      <c r="I41" s="16" t="n">
        <v>0.342323</v>
      </c>
      <c r="J41" s="16" t="n">
        <v>0.318797</v>
      </c>
      <c r="K41" s="16" t="n">
        <v>0.303977</v>
      </c>
      <c r="L41" s="16" t="n">
        <v>0.294402</v>
      </c>
      <c r="M41" s="16" t="n">
        <v>0.287885</v>
      </c>
      <c r="N41" s="16" t="n">
        <v>0.282972</v>
      </c>
      <c r="O41" s="16" t="n">
        <v>0.279133</v>
      </c>
      <c r="P41" s="16" t="n">
        <v>0.276178</v>
      </c>
      <c r="Q41" s="16" t="n">
        <v>0.273961</v>
      </c>
      <c r="R41" s="16" t="n">
        <v>0.264825</v>
      </c>
      <c r="S41" s="16" t="n">
        <v>0.25764</v>
      </c>
      <c r="T41" s="16" t="n">
        <v>0.252522</v>
      </c>
      <c r="U41" s="16" t="n">
        <v>0.249772</v>
      </c>
      <c r="V41" s="16" t="n">
        <v>0.249398</v>
      </c>
      <c r="W41" s="16" t="n">
        <v>0.249332</v>
      </c>
      <c r="X41" s="16" t="n">
        <v>0.249677</v>
      </c>
      <c r="Y41" s="16" t="n">
        <v>0.250358</v>
      </c>
      <c r="Z41" s="16" t="n">
        <v>0.251256</v>
      </c>
      <c r="AA41" s="16" t="n">
        <v>0.252238</v>
      </c>
      <c r="AB41" s="16" t="n">
        <v>0.248426</v>
      </c>
      <c r="AC41" s="16" t="n">
        <v>0.245436</v>
      </c>
      <c r="AD41" s="16" t="n">
        <v>0.243001</v>
      </c>
      <c r="AE41" s="16" t="n">
        <v>0.241185</v>
      </c>
      <c r="AF41" s="16" t="n">
        <v>0.240336</v>
      </c>
      <c r="AG41" s="16" t="n">
        <v>0.240358</v>
      </c>
      <c r="AH41" s="16" t="n">
        <v>0.2406</v>
      </c>
      <c r="AI41" s="16" t="n">
        <v>0.240962</v>
      </c>
      <c r="AJ41" s="16" t="n">
        <v>0.241355</v>
      </c>
      <c r="AK41" s="16" t="n">
        <v>0.241794</v>
      </c>
      <c r="AL41" s="16" t="n">
        <v>0.242266</v>
      </c>
      <c r="AM41" s="12" t="n">
        <v>-0.017501</v>
      </c>
    </row>
    <row r="42" ht="15" customHeight="1">
      <c r="A42" s="11" t="inlineStr">
        <is>
          <t>RKI000:fa_ClothesWasher</t>
        </is>
      </c>
      <c r="B42" s="14" t="inlineStr">
        <is>
          <t xml:space="preserve">   Clothes Washers 1/</t>
        </is>
      </c>
      <c r="C42" s="16" t="n">
        <v>0.026497</v>
      </c>
      <c r="D42" s="16" t="n">
        <v>0.025667</v>
      </c>
      <c r="E42" s="16" t="n">
        <v>0.024887</v>
      </c>
      <c r="F42" s="16" t="n">
        <v>0.023776</v>
      </c>
      <c r="G42" s="16" t="n">
        <v>0.02266</v>
      </c>
      <c r="H42" s="16" t="n">
        <v>0.021433</v>
      </c>
      <c r="I42" s="16" t="n">
        <v>0.020162</v>
      </c>
      <c r="J42" s="16" t="n">
        <v>0.019082</v>
      </c>
      <c r="K42" s="16" t="n">
        <v>0.018184</v>
      </c>
      <c r="L42" s="16" t="n">
        <v>0.017458</v>
      </c>
      <c r="M42" s="16" t="n">
        <v>0.016899</v>
      </c>
      <c r="N42" s="16" t="n">
        <v>0.016508</v>
      </c>
      <c r="O42" s="16" t="n">
        <v>0.016292</v>
      </c>
      <c r="P42" s="16" t="n">
        <v>0.016259</v>
      </c>
      <c r="Q42" s="16" t="n">
        <v>0.016195</v>
      </c>
      <c r="R42" s="16" t="n">
        <v>0.016114</v>
      </c>
      <c r="S42" s="16" t="n">
        <v>0.01603</v>
      </c>
      <c r="T42" s="16" t="n">
        <v>0.015958</v>
      </c>
      <c r="U42" s="16" t="n">
        <v>0.015923</v>
      </c>
      <c r="V42" s="16" t="n">
        <v>0.015941</v>
      </c>
      <c r="W42" s="16" t="n">
        <v>0.016011</v>
      </c>
      <c r="X42" s="16" t="n">
        <v>0.016119</v>
      </c>
      <c r="Y42" s="16" t="n">
        <v>0.016252</v>
      </c>
      <c r="Z42" s="16" t="n">
        <v>0.0164</v>
      </c>
      <c r="AA42" s="16" t="n">
        <v>0.016553</v>
      </c>
      <c r="AB42" s="16" t="n">
        <v>0.016707</v>
      </c>
      <c r="AC42" s="16" t="n">
        <v>0.016862</v>
      </c>
      <c r="AD42" s="16" t="n">
        <v>0.017015</v>
      </c>
      <c r="AE42" s="16" t="n">
        <v>0.01717</v>
      </c>
      <c r="AF42" s="16" t="n">
        <v>0.017327</v>
      </c>
      <c r="AG42" s="16" t="n">
        <v>0.017485</v>
      </c>
      <c r="AH42" s="16" t="n">
        <v>0.017645</v>
      </c>
      <c r="AI42" s="16" t="n">
        <v>0.017804</v>
      </c>
      <c r="AJ42" s="16" t="n">
        <v>0.01796</v>
      </c>
      <c r="AK42" s="16" t="n">
        <v>0.018114</v>
      </c>
      <c r="AL42" s="16" t="n">
        <v>0.018267</v>
      </c>
      <c r="AM42" s="12" t="n">
        <v>-0.009953</v>
      </c>
    </row>
    <row r="43" ht="15" customHeight="1">
      <c r="A43" s="11" t="inlineStr">
        <is>
          <t>RKI000:fa_Dishwashers</t>
        </is>
      </c>
      <c r="B43" s="14" t="inlineStr">
        <is>
          <t xml:space="preserve">   Dishwashers 1/</t>
        </is>
      </c>
      <c r="C43" s="16" t="n">
        <v>0.09442399999999999</v>
      </c>
      <c r="D43" s="16" t="n">
        <v>0.09450500000000001</v>
      </c>
      <c r="E43" s="16" t="n">
        <v>0.09479600000000001</v>
      </c>
      <c r="F43" s="16" t="n">
        <v>0.09522899999999999</v>
      </c>
      <c r="G43" s="16" t="n">
        <v>0.095648</v>
      </c>
      <c r="H43" s="16" t="n">
        <v>0.09604500000000001</v>
      </c>
      <c r="I43" s="16" t="n">
        <v>0.09644</v>
      </c>
      <c r="J43" s="16" t="n">
        <v>0.097098</v>
      </c>
      <c r="K43" s="16" t="n">
        <v>0.09803099999999999</v>
      </c>
      <c r="L43" s="16" t="n">
        <v>0.099282</v>
      </c>
      <c r="M43" s="16" t="n">
        <v>0.100798</v>
      </c>
      <c r="N43" s="16" t="n">
        <v>0.102534</v>
      </c>
      <c r="O43" s="16" t="n">
        <v>0.104483</v>
      </c>
      <c r="P43" s="16" t="n">
        <v>0.106602</v>
      </c>
      <c r="Q43" s="16" t="n">
        <v>0.108585</v>
      </c>
      <c r="R43" s="16" t="n">
        <v>0.110437</v>
      </c>
      <c r="S43" s="16" t="n">
        <v>0.112132</v>
      </c>
      <c r="T43" s="16" t="n">
        <v>0.11367</v>
      </c>
      <c r="U43" s="16" t="n">
        <v>0.115158</v>
      </c>
      <c r="V43" s="16" t="n">
        <v>0.116683</v>
      </c>
      <c r="W43" s="16" t="n">
        <v>0.118256</v>
      </c>
      <c r="X43" s="16" t="n">
        <v>0.119853</v>
      </c>
      <c r="Y43" s="16" t="n">
        <v>0.121467</v>
      </c>
      <c r="Z43" s="16" t="n">
        <v>0.123111</v>
      </c>
      <c r="AA43" s="16" t="n">
        <v>0.124761</v>
      </c>
      <c r="AB43" s="16" t="n">
        <v>0.126427</v>
      </c>
      <c r="AC43" s="16" t="n">
        <v>0.128099</v>
      </c>
      <c r="AD43" s="16" t="n">
        <v>0.129763</v>
      </c>
      <c r="AE43" s="16" t="n">
        <v>0.13143</v>
      </c>
      <c r="AF43" s="16" t="n">
        <v>0.133109</v>
      </c>
      <c r="AG43" s="16" t="n">
        <v>0.134785</v>
      </c>
      <c r="AH43" s="16" t="n">
        <v>0.136453</v>
      </c>
      <c r="AI43" s="16" t="n">
        <v>0.138095</v>
      </c>
      <c r="AJ43" s="16" t="n">
        <v>0.139687</v>
      </c>
      <c r="AK43" s="16" t="n">
        <v>0.141238</v>
      </c>
      <c r="AL43" s="16" t="n">
        <v>0.142754</v>
      </c>
      <c r="AM43" s="12" t="n">
        <v>0.012205</v>
      </c>
    </row>
    <row r="44" ht="15" customHeight="1">
      <c r="A44" s="11" t="inlineStr">
        <is>
          <t>RKI000:fa_ColorTelevisi</t>
        </is>
      </c>
      <c r="B44" s="14" t="inlineStr">
        <is>
          <t xml:space="preserve">   Televisions and Related Equipment 2/</t>
        </is>
      </c>
      <c r="C44" s="16" t="n">
        <v>0.288212</v>
      </c>
      <c r="D44" s="16" t="n">
        <v>0.282494</v>
      </c>
      <c r="E44" s="16" t="n">
        <v>0.2774</v>
      </c>
      <c r="F44" s="16" t="n">
        <v>0.273162</v>
      </c>
      <c r="G44" s="16" t="n">
        <v>0.26852</v>
      </c>
      <c r="H44" s="16" t="n">
        <v>0.263822</v>
      </c>
      <c r="I44" s="16" t="n">
        <v>0.259875</v>
      </c>
      <c r="J44" s="16" t="n">
        <v>0.256199</v>
      </c>
      <c r="K44" s="16" t="n">
        <v>0.253304</v>
      </c>
      <c r="L44" s="16" t="n">
        <v>0.251986</v>
      </c>
      <c r="M44" s="16" t="n">
        <v>0.251491</v>
      </c>
      <c r="N44" s="16" t="n">
        <v>0.251538</v>
      </c>
      <c r="O44" s="16" t="n">
        <v>0.252468</v>
      </c>
      <c r="P44" s="16" t="n">
        <v>0.25441</v>
      </c>
      <c r="Q44" s="16" t="n">
        <v>0.257082</v>
      </c>
      <c r="R44" s="16" t="n">
        <v>0.260393</v>
      </c>
      <c r="S44" s="16" t="n">
        <v>0.264374</v>
      </c>
      <c r="T44" s="16" t="n">
        <v>0.268873</v>
      </c>
      <c r="U44" s="16" t="n">
        <v>0.273967</v>
      </c>
      <c r="V44" s="16" t="n">
        <v>0.279572</v>
      </c>
      <c r="W44" s="16" t="n">
        <v>0.285348</v>
      </c>
      <c r="X44" s="16" t="n">
        <v>0.291337</v>
      </c>
      <c r="Y44" s="16" t="n">
        <v>0.297421</v>
      </c>
      <c r="Z44" s="16" t="n">
        <v>0.303437</v>
      </c>
      <c r="AA44" s="16" t="n">
        <v>0.309231</v>
      </c>
      <c r="AB44" s="16" t="n">
        <v>0.314683</v>
      </c>
      <c r="AC44" s="16" t="n">
        <v>0.317851</v>
      </c>
      <c r="AD44" s="16" t="n">
        <v>0.320415</v>
      </c>
      <c r="AE44" s="16" t="n">
        <v>0.322613</v>
      </c>
      <c r="AF44" s="16" t="n">
        <v>0.324784</v>
      </c>
      <c r="AG44" s="16" t="n">
        <v>0.326932</v>
      </c>
      <c r="AH44" s="16" t="n">
        <v>0.329083</v>
      </c>
      <c r="AI44" s="16" t="n">
        <v>0.331172</v>
      </c>
      <c r="AJ44" s="16" t="n">
        <v>0.333129</v>
      </c>
      <c r="AK44" s="16" t="n">
        <v>0.335039</v>
      </c>
      <c r="AL44" s="16" t="n">
        <v>0.336865</v>
      </c>
      <c r="AM44" s="12" t="n">
        <v>0.005191</v>
      </c>
    </row>
    <row r="45" ht="15" customHeight="1">
      <c r="A45" s="11" t="inlineStr">
        <is>
          <t>RKI000:fa_PersonalCompu</t>
        </is>
      </c>
      <c r="B45" s="14" t="inlineStr">
        <is>
          <t xml:space="preserve">   Computers and Related Equipment 3/</t>
        </is>
      </c>
      <c r="C45" s="16" t="n">
        <v>0.111117</v>
      </c>
      <c r="D45" s="16" t="n">
        <v>0.107827</v>
      </c>
      <c r="E45" s="16" t="n">
        <v>0.104646</v>
      </c>
      <c r="F45" s="16" t="n">
        <v>0.101712</v>
      </c>
      <c r="G45" s="16" t="n">
        <v>0.098496</v>
      </c>
      <c r="H45" s="16" t="n">
        <v>0.09514300000000001</v>
      </c>
      <c r="I45" s="16" t="n">
        <v>0.09191299999999999</v>
      </c>
      <c r="J45" s="16" t="n">
        <v>0.088654</v>
      </c>
      <c r="K45" s="16" t="n">
        <v>0.08555400000000001</v>
      </c>
      <c r="L45" s="16" t="n">
        <v>0.08287799999999999</v>
      </c>
      <c r="M45" s="16" t="n">
        <v>0.08035</v>
      </c>
      <c r="N45" s="16" t="n">
        <v>0.077899</v>
      </c>
      <c r="O45" s="16" t="n">
        <v>0.07563</v>
      </c>
      <c r="P45" s="16" t="n">
        <v>0.073536</v>
      </c>
      <c r="Q45" s="16" t="n">
        <v>0.071573</v>
      </c>
      <c r="R45" s="16" t="n">
        <v>0.069687</v>
      </c>
      <c r="S45" s="16" t="n">
        <v>0.067884</v>
      </c>
      <c r="T45" s="16" t="n">
        <v>0.066139</v>
      </c>
      <c r="U45" s="16" t="n">
        <v>0.06445099999999999</v>
      </c>
      <c r="V45" s="16" t="n">
        <v>0.062801</v>
      </c>
      <c r="W45" s="16" t="n">
        <v>0.06113</v>
      </c>
      <c r="X45" s="16" t="n">
        <v>0.059417</v>
      </c>
      <c r="Y45" s="16" t="n">
        <v>0.057759</v>
      </c>
      <c r="Z45" s="16" t="n">
        <v>0.056146</v>
      </c>
      <c r="AA45" s="16" t="n">
        <v>0.054541</v>
      </c>
      <c r="AB45" s="16" t="n">
        <v>0.052936</v>
      </c>
      <c r="AC45" s="16" t="n">
        <v>0.051434</v>
      </c>
      <c r="AD45" s="16" t="n">
        <v>0.049901</v>
      </c>
      <c r="AE45" s="16" t="n">
        <v>0.048327</v>
      </c>
      <c r="AF45" s="16" t="n">
        <v>0.046734</v>
      </c>
      <c r="AG45" s="16" t="n">
        <v>0.045077</v>
      </c>
      <c r="AH45" s="16" t="n">
        <v>0.043361</v>
      </c>
      <c r="AI45" s="16" t="n">
        <v>0.041551</v>
      </c>
      <c r="AJ45" s="16" t="n">
        <v>0.039626</v>
      </c>
      <c r="AK45" s="16" t="n">
        <v>0.03757</v>
      </c>
      <c r="AL45" s="16" t="n">
        <v>0.035389</v>
      </c>
      <c r="AM45" s="12" t="n">
        <v>-0.032238</v>
      </c>
    </row>
    <row r="46" ht="15" customHeight="1">
      <c r="A46" s="11" t="inlineStr">
        <is>
          <t>RKI000:fa_FurnaceFans</t>
        </is>
      </c>
      <c r="B46" s="14" t="inlineStr">
        <is>
          <t xml:space="preserve">   Furnace Fans and Boiler Circulation Pumps</t>
        </is>
      </c>
      <c r="C46" s="16" t="n">
        <v>0.114797</v>
      </c>
      <c r="D46" s="16" t="n">
        <v>0.109811</v>
      </c>
      <c r="E46" s="16" t="n">
        <v>0.119991</v>
      </c>
      <c r="F46" s="16" t="n">
        <v>0.122223</v>
      </c>
      <c r="G46" s="16" t="n">
        <v>0.120452</v>
      </c>
      <c r="H46" s="16" t="n">
        <v>0.120122</v>
      </c>
      <c r="I46" s="16" t="n">
        <v>0.119989</v>
      </c>
      <c r="J46" s="16" t="n">
        <v>0.119833</v>
      </c>
      <c r="K46" s="16" t="n">
        <v>0.119578</v>
      </c>
      <c r="L46" s="16" t="n">
        <v>0.11922</v>
      </c>
      <c r="M46" s="16" t="n">
        <v>0.118665</v>
      </c>
      <c r="N46" s="16" t="n">
        <v>0.117904</v>
      </c>
      <c r="O46" s="16" t="n">
        <v>0.116875</v>
      </c>
      <c r="P46" s="16" t="n">
        <v>0.115699</v>
      </c>
      <c r="Q46" s="16" t="n">
        <v>0.114435</v>
      </c>
      <c r="R46" s="16" t="n">
        <v>0.113162</v>
      </c>
      <c r="S46" s="16" t="n">
        <v>0.111815</v>
      </c>
      <c r="T46" s="16" t="n">
        <v>0.110379</v>
      </c>
      <c r="U46" s="16" t="n">
        <v>0.10903</v>
      </c>
      <c r="V46" s="16" t="n">
        <v>0.107813</v>
      </c>
      <c r="W46" s="16" t="n">
        <v>0.106655</v>
      </c>
      <c r="X46" s="16" t="n">
        <v>0.10559</v>
      </c>
      <c r="Y46" s="16" t="n">
        <v>0.104681</v>
      </c>
      <c r="Z46" s="16" t="n">
        <v>0.103934</v>
      </c>
      <c r="AA46" s="16" t="n">
        <v>0.103304</v>
      </c>
      <c r="AB46" s="16" t="n">
        <v>0.102851</v>
      </c>
      <c r="AC46" s="16" t="n">
        <v>0.102495</v>
      </c>
      <c r="AD46" s="16" t="n">
        <v>0.102194</v>
      </c>
      <c r="AE46" s="16" t="n">
        <v>0.101969</v>
      </c>
      <c r="AF46" s="16" t="n">
        <v>0.101834</v>
      </c>
      <c r="AG46" s="16" t="n">
        <v>0.101781</v>
      </c>
      <c r="AH46" s="16" t="n">
        <v>0.1018</v>
      </c>
      <c r="AI46" s="16" t="n">
        <v>0.101886</v>
      </c>
      <c r="AJ46" s="16" t="n">
        <v>0.101978</v>
      </c>
      <c r="AK46" s="16" t="n">
        <v>0.102126</v>
      </c>
      <c r="AL46" s="16" t="n">
        <v>0.1023</v>
      </c>
      <c r="AM46" s="12" t="n">
        <v>-0.002082</v>
      </c>
    </row>
    <row r="47" ht="15" customHeight="1">
      <c r="A47" s="11" t="inlineStr">
        <is>
          <t>RKI000:fa_OtherUses</t>
        </is>
      </c>
      <c r="B47" s="14" t="inlineStr">
        <is>
          <t xml:space="preserve">   Other Uses 4/</t>
        </is>
      </c>
      <c r="C47" s="16" t="n">
        <v>1.373761</v>
      </c>
      <c r="D47" s="16" t="n">
        <v>1.380708</v>
      </c>
      <c r="E47" s="16" t="n">
        <v>1.438566</v>
      </c>
      <c r="F47" s="16" t="n">
        <v>1.458643</v>
      </c>
      <c r="G47" s="16" t="n">
        <v>1.469922</v>
      </c>
      <c r="H47" s="16" t="n">
        <v>1.479587</v>
      </c>
      <c r="I47" s="16" t="n">
        <v>1.491279</v>
      </c>
      <c r="J47" s="16" t="n">
        <v>1.502366</v>
      </c>
      <c r="K47" s="16" t="n">
        <v>1.512666</v>
      </c>
      <c r="L47" s="16" t="n">
        <v>1.525755</v>
      </c>
      <c r="M47" s="16" t="n">
        <v>1.53829</v>
      </c>
      <c r="N47" s="16" t="n">
        <v>1.548351</v>
      </c>
      <c r="O47" s="16" t="n">
        <v>1.559437</v>
      </c>
      <c r="P47" s="16" t="n">
        <v>1.572754</v>
      </c>
      <c r="Q47" s="16" t="n">
        <v>1.585181</v>
      </c>
      <c r="R47" s="16" t="n">
        <v>1.595255</v>
      </c>
      <c r="S47" s="16" t="n">
        <v>1.605575</v>
      </c>
      <c r="T47" s="16" t="n">
        <v>1.616624</v>
      </c>
      <c r="U47" s="16" t="n">
        <v>1.62949</v>
      </c>
      <c r="V47" s="16" t="n">
        <v>1.643481</v>
      </c>
      <c r="W47" s="16" t="n">
        <v>1.657276</v>
      </c>
      <c r="X47" s="16" t="n">
        <v>1.670673</v>
      </c>
      <c r="Y47" s="16" t="n">
        <v>1.683856</v>
      </c>
      <c r="Z47" s="16" t="n">
        <v>1.697716</v>
      </c>
      <c r="AA47" s="16" t="n">
        <v>1.710239</v>
      </c>
      <c r="AB47" s="16" t="n">
        <v>1.721331</v>
      </c>
      <c r="AC47" s="16" t="n">
        <v>1.729057</v>
      </c>
      <c r="AD47" s="16" t="n">
        <v>1.736383</v>
      </c>
      <c r="AE47" s="16" t="n">
        <v>1.742766</v>
      </c>
      <c r="AF47" s="16" t="n">
        <v>1.747951</v>
      </c>
      <c r="AG47" s="16" t="n">
        <v>1.752416</v>
      </c>
      <c r="AH47" s="16" t="n">
        <v>1.755669</v>
      </c>
      <c r="AI47" s="16" t="n">
        <v>1.75617</v>
      </c>
      <c r="AJ47" s="16" t="n">
        <v>1.75391</v>
      </c>
      <c r="AK47" s="16" t="n">
        <v>1.750851</v>
      </c>
      <c r="AL47" s="16" t="n">
        <v>1.746218</v>
      </c>
      <c r="AM47" s="12" t="n">
        <v>0.006931</v>
      </c>
    </row>
    <row r="48" ht="15" customHeight="1">
      <c r="A48" s="11" t="inlineStr">
        <is>
          <t>RKI000:fa_DeliveredEner</t>
        </is>
      </c>
      <c r="B48" s="10" t="inlineStr">
        <is>
          <t xml:space="preserve">     Delivered Energy</t>
        </is>
      </c>
      <c r="C48" s="15" t="n">
        <v>4.776403</v>
      </c>
      <c r="D48" s="15" t="n">
        <v>4.810625</v>
      </c>
      <c r="E48" s="15" t="n">
        <v>4.780662</v>
      </c>
      <c r="F48" s="15" t="n">
        <v>4.835242</v>
      </c>
      <c r="G48" s="15" t="n">
        <v>4.828907</v>
      </c>
      <c r="H48" s="15" t="n">
        <v>4.773632</v>
      </c>
      <c r="I48" s="15" t="n">
        <v>4.744377</v>
      </c>
      <c r="J48" s="15" t="n">
        <v>4.719576</v>
      </c>
      <c r="K48" s="15" t="n">
        <v>4.706628</v>
      </c>
      <c r="L48" s="15" t="n">
        <v>4.710382</v>
      </c>
      <c r="M48" s="15" t="n">
        <v>4.717607</v>
      </c>
      <c r="N48" s="15" t="n">
        <v>4.724288</v>
      </c>
      <c r="O48" s="15" t="n">
        <v>4.736067</v>
      </c>
      <c r="P48" s="15" t="n">
        <v>4.754208</v>
      </c>
      <c r="Q48" s="15" t="n">
        <v>4.773802</v>
      </c>
      <c r="R48" s="15" t="n">
        <v>4.784884</v>
      </c>
      <c r="S48" s="15" t="n">
        <v>4.799917</v>
      </c>
      <c r="T48" s="15" t="n">
        <v>4.817743</v>
      </c>
      <c r="U48" s="15" t="n">
        <v>4.841113</v>
      </c>
      <c r="V48" s="15" t="n">
        <v>4.869628</v>
      </c>
      <c r="W48" s="15" t="n">
        <v>4.898304</v>
      </c>
      <c r="X48" s="15" t="n">
        <v>4.927637</v>
      </c>
      <c r="Y48" s="15" t="n">
        <v>4.957467</v>
      </c>
      <c r="Z48" s="15" t="n">
        <v>4.989327</v>
      </c>
      <c r="AA48" s="15" t="n">
        <v>5.020275</v>
      </c>
      <c r="AB48" s="15" t="n">
        <v>5.045135</v>
      </c>
      <c r="AC48" s="15" t="n">
        <v>5.065891</v>
      </c>
      <c r="AD48" s="15" t="n">
        <v>5.086051</v>
      </c>
      <c r="AE48" s="15" t="n">
        <v>5.104714</v>
      </c>
      <c r="AF48" s="15" t="n">
        <v>5.122814</v>
      </c>
      <c r="AG48" s="15" t="n">
        <v>5.140799</v>
      </c>
      <c r="AH48" s="15" t="n">
        <v>5.157453</v>
      </c>
      <c r="AI48" s="15" t="n">
        <v>5.17076</v>
      </c>
      <c r="AJ48" s="15" t="n">
        <v>5.179155</v>
      </c>
      <c r="AK48" s="15" t="n">
        <v>5.18572</v>
      </c>
      <c r="AL48" s="15" t="n">
        <v>5.189838</v>
      </c>
      <c r="AM48" s="8" t="n">
        <v>0.002234</v>
      </c>
    </row>
    <row r="50" ht="15" customHeight="1">
      <c r="B50" s="10" t="inlineStr">
        <is>
          <t xml:space="preserve"> Natural Gas</t>
        </is>
      </c>
    </row>
    <row r="51" ht="15" customHeight="1">
      <c r="A51" s="11" t="inlineStr">
        <is>
          <t>RKI000:ga_SpaceHeating</t>
        </is>
      </c>
      <c r="B51" s="14" t="inlineStr">
        <is>
          <t xml:space="preserve">   Space Heating</t>
        </is>
      </c>
      <c r="C51" s="16" t="n">
        <v>3.018605</v>
      </c>
      <c r="D51" s="16" t="n">
        <v>2.81811</v>
      </c>
      <c r="E51" s="16" t="n">
        <v>3.022673</v>
      </c>
      <c r="F51" s="16" t="n">
        <v>3.069636</v>
      </c>
      <c r="G51" s="16" t="n">
        <v>3.05641</v>
      </c>
      <c r="H51" s="16" t="n">
        <v>3.045718</v>
      </c>
      <c r="I51" s="16" t="n">
        <v>3.036772</v>
      </c>
      <c r="J51" s="16" t="n">
        <v>3.030123</v>
      </c>
      <c r="K51" s="16" t="n">
        <v>3.024146</v>
      </c>
      <c r="L51" s="16" t="n">
        <v>3.018647</v>
      </c>
      <c r="M51" s="16" t="n">
        <v>3.01191</v>
      </c>
      <c r="N51" s="16" t="n">
        <v>3.003914</v>
      </c>
      <c r="O51" s="16" t="n">
        <v>2.991818</v>
      </c>
      <c r="P51" s="16" t="n">
        <v>2.979888</v>
      </c>
      <c r="Q51" s="16" t="n">
        <v>2.969606</v>
      </c>
      <c r="R51" s="16" t="n">
        <v>2.962548</v>
      </c>
      <c r="S51" s="16" t="n">
        <v>2.956111</v>
      </c>
      <c r="T51" s="16" t="n">
        <v>2.949076</v>
      </c>
      <c r="U51" s="16" t="n">
        <v>2.943504</v>
      </c>
      <c r="V51" s="16" t="n">
        <v>2.938931</v>
      </c>
      <c r="W51" s="16" t="n">
        <v>2.931776</v>
      </c>
      <c r="X51" s="16" t="n">
        <v>2.925297</v>
      </c>
      <c r="Y51" s="16" t="n">
        <v>2.919778</v>
      </c>
      <c r="Z51" s="16" t="n">
        <v>2.915329</v>
      </c>
      <c r="AA51" s="16" t="n">
        <v>2.910455</v>
      </c>
      <c r="AB51" s="16" t="n">
        <v>2.906943</v>
      </c>
      <c r="AC51" s="16" t="n">
        <v>2.902937</v>
      </c>
      <c r="AD51" s="16" t="n">
        <v>2.897179</v>
      </c>
      <c r="AE51" s="16" t="n">
        <v>2.890561</v>
      </c>
      <c r="AF51" s="16" t="n">
        <v>2.884018</v>
      </c>
      <c r="AG51" s="16" t="n">
        <v>2.877572</v>
      </c>
      <c r="AH51" s="16" t="n">
        <v>2.871458</v>
      </c>
      <c r="AI51" s="16" t="n">
        <v>2.865892</v>
      </c>
      <c r="AJ51" s="16" t="n">
        <v>2.859157</v>
      </c>
      <c r="AK51" s="16" t="n">
        <v>2.853049</v>
      </c>
      <c r="AL51" s="16" t="n">
        <v>2.846776</v>
      </c>
      <c r="AM51" s="12" t="n">
        <v>0.000298</v>
      </c>
    </row>
    <row r="52" ht="15" customHeight="1">
      <c r="A52" s="11" t="inlineStr">
        <is>
          <t>RKI000:ga_SpaceCooling</t>
        </is>
      </c>
      <c r="B52" s="14" t="inlineStr">
        <is>
          <t xml:space="preserve">   Space Cooling</t>
        </is>
      </c>
      <c r="C52" s="16" t="n">
        <v>0.023169</v>
      </c>
      <c r="D52" s="16" t="n">
        <v>0.023783</v>
      </c>
      <c r="E52" s="16" t="n">
        <v>0.021051</v>
      </c>
      <c r="F52" s="16" t="n">
        <v>0.021517</v>
      </c>
      <c r="G52" s="16" t="n">
        <v>0.021521</v>
      </c>
      <c r="H52" s="16" t="n">
        <v>0.021344</v>
      </c>
      <c r="I52" s="16" t="n">
        <v>0.021161</v>
      </c>
      <c r="J52" s="16" t="n">
        <v>0.020983</v>
      </c>
      <c r="K52" s="16" t="n">
        <v>0.020806</v>
      </c>
      <c r="L52" s="16" t="n">
        <v>0.02061</v>
      </c>
      <c r="M52" s="16" t="n">
        <v>0.020399</v>
      </c>
      <c r="N52" s="16" t="n">
        <v>0.020189</v>
      </c>
      <c r="O52" s="16" t="n">
        <v>0.019967</v>
      </c>
      <c r="P52" s="16" t="n">
        <v>0.019774</v>
      </c>
      <c r="Q52" s="16" t="n">
        <v>0.019613</v>
      </c>
      <c r="R52" s="16" t="n">
        <v>0.019473</v>
      </c>
      <c r="S52" s="16" t="n">
        <v>0.019365</v>
      </c>
      <c r="T52" s="16" t="n">
        <v>0.019263</v>
      </c>
      <c r="U52" s="16" t="n">
        <v>0.019174</v>
      </c>
      <c r="V52" s="16" t="n">
        <v>0.019089</v>
      </c>
      <c r="W52" s="16" t="n">
        <v>0.018999</v>
      </c>
      <c r="X52" s="16" t="n">
        <v>0.018918</v>
      </c>
      <c r="Y52" s="16" t="n">
        <v>0.018831</v>
      </c>
      <c r="Z52" s="16" t="n">
        <v>0.01877</v>
      </c>
      <c r="AA52" s="16" t="n">
        <v>0.018718</v>
      </c>
      <c r="AB52" s="16" t="n">
        <v>0.018684</v>
      </c>
      <c r="AC52" s="16" t="n">
        <v>0.018653</v>
      </c>
      <c r="AD52" s="16" t="n">
        <v>0.018624</v>
      </c>
      <c r="AE52" s="16" t="n">
        <v>0.018595</v>
      </c>
      <c r="AF52" s="16" t="n">
        <v>0.018567</v>
      </c>
      <c r="AG52" s="16" t="n">
        <v>0.018545</v>
      </c>
      <c r="AH52" s="16" t="n">
        <v>0.018529</v>
      </c>
      <c r="AI52" s="16" t="n">
        <v>0.018515</v>
      </c>
      <c r="AJ52" s="16" t="n">
        <v>0.018493</v>
      </c>
      <c r="AK52" s="16" t="n">
        <v>0.018481</v>
      </c>
      <c r="AL52" s="16" t="n">
        <v>0.018464</v>
      </c>
      <c r="AM52" s="12" t="n">
        <v>-0.007419</v>
      </c>
    </row>
    <row r="53" ht="15" customHeight="1">
      <c r="A53" s="11" t="inlineStr">
        <is>
          <t>RKI000:ga_WaterHeating</t>
        </is>
      </c>
      <c r="B53" s="14" t="inlineStr">
        <is>
          <t xml:space="preserve">   Water Heating</t>
        </is>
      </c>
      <c r="C53" s="16" t="n">
        <v>1.207743</v>
      </c>
      <c r="D53" s="16" t="n">
        <v>1.213621</v>
      </c>
      <c r="E53" s="16" t="n">
        <v>1.214271</v>
      </c>
      <c r="F53" s="16" t="n">
        <v>1.215633</v>
      </c>
      <c r="G53" s="16" t="n">
        <v>1.218808</v>
      </c>
      <c r="H53" s="16" t="n">
        <v>1.222553</v>
      </c>
      <c r="I53" s="16" t="n">
        <v>1.228735</v>
      </c>
      <c r="J53" s="16" t="n">
        <v>1.236829</v>
      </c>
      <c r="K53" s="16" t="n">
        <v>1.246045</v>
      </c>
      <c r="L53" s="16" t="n">
        <v>1.255363</v>
      </c>
      <c r="M53" s="16" t="n">
        <v>1.262286</v>
      </c>
      <c r="N53" s="16" t="n">
        <v>1.268111</v>
      </c>
      <c r="O53" s="16" t="n">
        <v>1.270109</v>
      </c>
      <c r="P53" s="16" t="n">
        <v>1.271725</v>
      </c>
      <c r="Q53" s="16" t="n">
        <v>1.273584</v>
      </c>
      <c r="R53" s="16" t="n">
        <v>1.27574</v>
      </c>
      <c r="S53" s="16" t="n">
        <v>1.276583</v>
      </c>
      <c r="T53" s="16" t="n">
        <v>1.275915</v>
      </c>
      <c r="U53" s="16" t="n">
        <v>1.274368</v>
      </c>
      <c r="V53" s="16" t="n">
        <v>1.271778</v>
      </c>
      <c r="W53" s="16" t="n">
        <v>1.26755</v>
      </c>
      <c r="X53" s="16" t="n">
        <v>1.263039</v>
      </c>
      <c r="Y53" s="16" t="n">
        <v>1.258974</v>
      </c>
      <c r="Z53" s="16" t="n">
        <v>1.256536</v>
      </c>
      <c r="AA53" s="16" t="n">
        <v>1.255713</v>
      </c>
      <c r="AB53" s="16" t="n">
        <v>1.257376</v>
      </c>
      <c r="AC53" s="16" t="n">
        <v>1.2609</v>
      </c>
      <c r="AD53" s="16" t="n">
        <v>1.265479</v>
      </c>
      <c r="AE53" s="16" t="n">
        <v>1.270765</v>
      </c>
      <c r="AF53" s="16" t="n">
        <v>1.276758</v>
      </c>
      <c r="AG53" s="16" t="n">
        <v>1.283196</v>
      </c>
      <c r="AH53" s="16" t="n">
        <v>1.289961</v>
      </c>
      <c r="AI53" s="16" t="n">
        <v>1.296887</v>
      </c>
      <c r="AJ53" s="16" t="n">
        <v>1.303247</v>
      </c>
      <c r="AK53" s="16" t="n">
        <v>1.309684</v>
      </c>
      <c r="AL53" s="16" t="n">
        <v>1.315959</v>
      </c>
      <c r="AM53" s="12" t="n">
        <v>0.002384</v>
      </c>
    </row>
    <row r="54" ht="15" customHeight="1">
      <c r="A54" s="11" t="inlineStr">
        <is>
          <t>RKI000:ga_Cooking</t>
        </is>
      </c>
      <c r="B54" s="14" t="inlineStr">
        <is>
          <t xml:space="preserve">   Cooking</t>
        </is>
      </c>
      <c r="C54" s="16" t="n">
        <v>0.208441</v>
      </c>
      <c r="D54" s="16" t="n">
        <v>0.208378</v>
      </c>
      <c r="E54" s="16" t="n">
        <v>0.208584</v>
      </c>
      <c r="F54" s="16" t="n">
        <v>0.208978</v>
      </c>
      <c r="G54" s="16" t="n">
        <v>0.209398</v>
      </c>
      <c r="H54" s="16" t="n">
        <v>0.209852</v>
      </c>
      <c r="I54" s="16" t="n">
        <v>0.210332</v>
      </c>
      <c r="J54" s="16" t="n">
        <v>0.21087</v>
      </c>
      <c r="K54" s="16" t="n">
        <v>0.211446</v>
      </c>
      <c r="L54" s="16" t="n">
        <v>0.212049</v>
      </c>
      <c r="M54" s="16" t="n">
        <v>0.212653</v>
      </c>
      <c r="N54" s="16" t="n">
        <v>0.21323</v>
      </c>
      <c r="O54" s="16" t="n">
        <v>0.213857</v>
      </c>
      <c r="P54" s="16" t="n">
        <v>0.214522</v>
      </c>
      <c r="Q54" s="16" t="n">
        <v>0.215274</v>
      </c>
      <c r="R54" s="16" t="n">
        <v>0.216151</v>
      </c>
      <c r="S54" s="16" t="n">
        <v>0.217106</v>
      </c>
      <c r="T54" s="16" t="n">
        <v>0.217986</v>
      </c>
      <c r="U54" s="16" t="n">
        <v>0.218863</v>
      </c>
      <c r="V54" s="16" t="n">
        <v>0.219801</v>
      </c>
      <c r="W54" s="16" t="n">
        <v>0.2208</v>
      </c>
      <c r="X54" s="16" t="n">
        <v>0.221816</v>
      </c>
      <c r="Y54" s="16" t="n">
        <v>0.222833</v>
      </c>
      <c r="Z54" s="16" t="n">
        <v>0.223865</v>
      </c>
      <c r="AA54" s="16" t="n">
        <v>0.224891</v>
      </c>
      <c r="AB54" s="16" t="n">
        <v>0.225923</v>
      </c>
      <c r="AC54" s="16" t="n">
        <v>0.226957</v>
      </c>
      <c r="AD54" s="16" t="n">
        <v>0.227982</v>
      </c>
      <c r="AE54" s="16" t="n">
        <v>0.229024</v>
      </c>
      <c r="AF54" s="16" t="n">
        <v>0.230099</v>
      </c>
      <c r="AG54" s="16" t="n">
        <v>0.231202</v>
      </c>
      <c r="AH54" s="16" t="n">
        <v>0.23232</v>
      </c>
      <c r="AI54" s="16" t="n">
        <v>0.233432</v>
      </c>
      <c r="AJ54" s="16" t="n">
        <v>0.234513</v>
      </c>
      <c r="AK54" s="16" t="n">
        <v>0.235571</v>
      </c>
      <c r="AL54" s="16" t="n">
        <v>0.236617</v>
      </c>
      <c r="AM54" s="12" t="n">
        <v>0.003745</v>
      </c>
    </row>
    <row r="55" ht="15" customHeight="1">
      <c r="A55" s="11" t="inlineStr">
        <is>
          <t>RKI000:ga_ClothesDryers</t>
        </is>
      </c>
      <c r="B55" s="14" t="inlineStr">
        <is>
          <t xml:space="preserve">   Clothes Dryers</t>
        </is>
      </c>
      <c r="C55" s="16" t="n">
        <v>0.051087</v>
      </c>
      <c r="D55" s="16" t="n">
        <v>0.051545</v>
      </c>
      <c r="E55" s="16" t="n">
        <v>0.051764</v>
      </c>
      <c r="F55" s="16" t="n">
        <v>0.052008</v>
      </c>
      <c r="G55" s="16" t="n">
        <v>0.052271</v>
      </c>
      <c r="H55" s="16" t="n">
        <v>0.052599</v>
      </c>
      <c r="I55" s="16" t="n">
        <v>0.052932</v>
      </c>
      <c r="J55" s="16" t="n">
        <v>0.053309</v>
      </c>
      <c r="K55" s="16" t="n">
        <v>0.053703</v>
      </c>
      <c r="L55" s="16" t="n">
        <v>0.054085</v>
      </c>
      <c r="M55" s="16" t="n">
        <v>0.054437</v>
      </c>
      <c r="N55" s="16" t="n">
        <v>0.054769</v>
      </c>
      <c r="O55" s="16" t="n">
        <v>0.054929</v>
      </c>
      <c r="P55" s="16" t="n">
        <v>0.055131</v>
      </c>
      <c r="Q55" s="16" t="n">
        <v>0.055414</v>
      </c>
      <c r="R55" s="16" t="n">
        <v>0.055795</v>
      </c>
      <c r="S55" s="16" t="n">
        <v>0.056174</v>
      </c>
      <c r="T55" s="16" t="n">
        <v>0.056556</v>
      </c>
      <c r="U55" s="16" t="n">
        <v>0.056973</v>
      </c>
      <c r="V55" s="16" t="n">
        <v>0.05741</v>
      </c>
      <c r="W55" s="16" t="n">
        <v>0.057825</v>
      </c>
      <c r="X55" s="16" t="n">
        <v>0.058256</v>
      </c>
      <c r="Y55" s="16" t="n">
        <v>0.058704</v>
      </c>
      <c r="Z55" s="16" t="n">
        <v>0.059178</v>
      </c>
      <c r="AA55" s="16" t="n">
        <v>0.059646</v>
      </c>
      <c r="AB55" s="16" t="n">
        <v>0.060134</v>
      </c>
      <c r="AC55" s="16" t="n">
        <v>0.060619</v>
      </c>
      <c r="AD55" s="16" t="n">
        <v>0.061077</v>
      </c>
      <c r="AE55" s="16" t="n">
        <v>0.061514</v>
      </c>
      <c r="AF55" s="16" t="n">
        <v>0.061951</v>
      </c>
      <c r="AG55" s="16" t="n">
        <v>0.062392</v>
      </c>
      <c r="AH55" s="16" t="n">
        <v>0.062844</v>
      </c>
      <c r="AI55" s="16" t="n">
        <v>0.0633</v>
      </c>
      <c r="AJ55" s="16" t="n">
        <v>0.06372999999999999</v>
      </c>
      <c r="AK55" s="16" t="n">
        <v>0.064165</v>
      </c>
      <c r="AL55" s="16" t="n">
        <v>0.064593</v>
      </c>
      <c r="AM55" s="12" t="n">
        <v>0.006659</v>
      </c>
    </row>
    <row r="56" ht="15" customHeight="1">
      <c r="A56" s="11" t="inlineStr">
        <is>
          <t>RKI000:ga_OtherNatGas</t>
        </is>
      </c>
      <c r="B56" s="14" t="inlineStr">
        <is>
          <t xml:space="preserve">   Other Uses 5/</t>
        </is>
      </c>
      <c r="C56" s="16" t="n">
        <v>0.248127</v>
      </c>
      <c r="D56" s="16" t="n">
        <v>0.248469</v>
      </c>
      <c r="E56" s="16" t="n">
        <v>0.247135</v>
      </c>
      <c r="F56" s="16" t="n">
        <v>0.245532</v>
      </c>
      <c r="G56" s="16" t="n">
        <v>0.244021</v>
      </c>
      <c r="H56" s="16" t="n">
        <v>0.242715</v>
      </c>
      <c r="I56" s="16" t="n">
        <v>0.241399</v>
      </c>
      <c r="J56" s="16" t="n">
        <v>0.240171</v>
      </c>
      <c r="K56" s="16" t="n">
        <v>0.23899</v>
      </c>
      <c r="L56" s="16" t="n">
        <v>0.23777</v>
      </c>
      <c r="M56" s="16" t="n">
        <v>0.236485</v>
      </c>
      <c r="N56" s="16" t="n">
        <v>0.2352</v>
      </c>
      <c r="O56" s="16" t="n">
        <v>0.233416</v>
      </c>
      <c r="P56" s="16" t="n">
        <v>0.231774</v>
      </c>
      <c r="Q56" s="16" t="n">
        <v>0.230359</v>
      </c>
      <c r="R56" s="16" t="n">
        <v>0.229213</v>
      </c>
      <c r="S56" s="16" t="n">
        <v>0.228111</v>
      </c>
      <c r="T56" s="16" t="n">
        <v>0.227085</v>
      </c>
      <c r="U56" s="16" t="n">
        <v>0.226154</v>
      </c>
      <c r="V56" s="16" t="n">
        <v>0.225161</v>
      </c>
      <c r="W56" s="16" t="n">
        <v>0.223946</v>
      </c>
      <c r="X56" s="16" t="n">
        <v>0.222784</v>
      </c>
      <c r="Y56" s="16" t="n">
        <v>0.221713</v>
      </c>
      <c r="Z56" s="16" t="n">
        <v>0.220743</v>
      </c>
      <c r="AA56" s="16" t="n">
        <v>0.219778</v>
      </c>
      <c r="AB56" s="16" t="n">
        <v>0.21892</v>
      </c>
      <c r="AC56" s="16" t="n">
        <v>0.21806</v>
      </c>
      <c r="AD56" s="16" t="n">
        <v>0.217127</v>
      </c>
      <c r="AE56" s="16" t="n">
        <v>0.216112</v>
      </c>
      <c r="AF56" s="16" t="n">
        <v>0.21507</v>
      </c>
      <c r="AG56" s="16" t="n">
        <v>0.214016</v>
      </c>
      <c r="AH56" s="16" t="n">
        <v>0.212987</v>
      </c>
      <c r="AI56" s="16" t="n">
        <v>0.212001</v>
      </c>
      <c r="AJ56" s="16" t="n">
        <v>0.210979</v>
      </c>
      <c r="AK56" s="16" t="n">
        <v>0.210008</v>
      </c>
      <c r="AL56" s="16" t="n">
        <v>0.209026</v>
      </c>
      <c r="AM56" s="12" t="n">
        <v>-0.005071</v>
      </c>
    </row>
    <row r="57" ht="15" customHeight="1">
      <c r="A57" s="11" t="inlineStr">
        <is>
          <t>RKI000:ga_DeliveredEner</t>
        </is>
      </c>
      <c r="B57" s="10" t="inlineStr">
        <is>
          <t xml:space="preserve">     Delivered Energy</t>
        </is>
      </c>
      <c r="C57" s="15" t="n">
        <v>4.757174</v>
      </c>
      <c r="D57" s="15" t="n">
        <v>4.563908</v>
      </c>
      <c r="E57" s="15" t="n">
        <v>4.765479</v>
      </c>
      <c r="F57" s="15" t="n">
        <v>4.813304</v>
      </c>
      <c r="G57" s="15" t="n">
        <v>4.802428</v>
      </c>
      <c r="H57" s="15" t="n">
        <v>4.794781</v>
      </c>
      <c r="I57" s="15" t="n">
        <v>4.79133</v>
      </c>
      <c r="J57" s="15" t="n">
        <v>4.792284</v>
      </c>
      <c r="K57" s="15" t="n">
        <v>4.795135</v>
      </c>
      <c r="L57" s="15" t="n">
        <v>4.798526</v>
      </c>
      <c r="M57" s="15" t="n">
        <v>4.79817</v>
      </c>
      <c r="N57" s="15" t="n">
        <v>4.795413</v>
      </c>
      <c r="O57" s="15" t="n">
        <v>4.784097</v>
      </c>
      <c r="P57" s="15" t="n">
        <v>4.772815</v>
      </c>
      <c r="Q57" s="15" t="n">
        <v>4.763848</v>
      </c>
      <c r="R57" s="15" t="n">
        <v>4.758921</v>
      </c>
      <c r="S57" s="15" t="n">
        <v>4.753451</v>
      </c>
      <c r="T57" s="15" t="n">
        <v>4.745883</v>
      </c>
      <c r="U57" s="15" t="n">
        <v>4.739036</v>
      </c>
      <c r="V57" s="15" t="n">
        <v>4.732169</v>
      </c>
      <c r="W57" s="15" t="n">
        <v>4.720896</v>
      </c>
      <c r="X57" s="15" t="n">
        <v>4.710109</v>
      </c>
      <c r="Y57" s="15" t="n">
        <v>4.700832</v>
      </c>
      <c r="Z57" s="15" t="n">
        <v>4.694421</v>
      </c>
      <c r="AA57" s="15" t="n">
        <v>4.689201</v>
      </c>
      <c r="AB57" s="15" t="n">
        <v>4.68798</v>
      </c>
      <c r="AC57" s="15" t="n">
        <v>4.688127</v>
      </c>
      <c r="AD57" s="15" t="n">
        <v>4.687469</v>
      </c>
      <c r="AE57" s="15" t="n">
        <v>4.68657</v>
      </c>
      <c r="AF57" s="15" t="n">
        <v>4.686465</v>
      </c>
      <c r="AG57" s="15" t="n">
        <v>4.686924</v>
      </c>
      <c r="AH57" s="15" t="n">
        <v>4.688098</v>
      </c>
      <c r="AI57" s="15" t="n">
        <v>4.690028</v>
      </c>
      <c r="AJ57" s="15" t="n">
        <v>4.690119</v>
      </c>
      <c r="AK57" s="15" t="n">
        <v>4.690958</v>
      </c>
      <c r="AL57" s="15" t="n">
        <v>4.691435</v>
      </c>
      <c r="AM57" s="8" t="n">
        <v>0.000811</v>
      </c>
    </row>
    <row r="59" ht="15" customHeight="1">
      <c r="B59" s="10" t="inlineStr">
        <is>
          <t xml:space="preserve"> Distillate Fuel Oil</t>
        </is>
      </c>
    </row>
    <row r="60" ht="15" customHeight="1">
      <c r="A60" s="11" t="inlineStr">
        <is>
          <t>RKI000:ha_SpaceHeating</t>
        </is>
      </c>
      <c r="B60" s="14" t="inlineStr">
        <is>
          <t xml:space="preserve">   Space Heating</t>
        </is>
      </c>
      <c r="C60" s="16" t="n">
        <v>0.463082</v>
      </c>
      <c r="D60" s="16" t="n">
        <v>0.381017</v>
      </c>
      <c r="E60" s="16" t="n">
        <v>0.460043</v>
      </c>
      <c r="F60" s="16" t="n">
        <v>0.437505</v>
      </c>
      <c r="G60" s="16" t="n">
        <v>0.424531</v>
      </c>
      <c r="H60" s="16" t="n">
        <v>0.41386</v>
      </c>
      <c r="I60" s="16" t="n">
        <v>0.404445</v>
      </c>
      <c r="J60" s="16" t="n">
        <v>0.395824</v>
      </c>
      <c r="K60" s="16" t="n">
        <v>0.387578</v>
      </c>
      <c r="L60" s="16" t="n">
        <v>0.379716</v>
      </c>
      <c r="M60" s="16" t="n">
        <v>0.371775</v>
      </c>
      <c r="N60" s="16" t="n">
        <v>0.363962</v>
      </c>
      <c r="O60" s="16" t="n">
        <v>0.356564</v>
      </c>
      <c r="P60" s="16" t="n">
        <v>0.349576</v>
      </c>
      <c r="Q60" s="16" t="n">
        <v>0.342729</v>
      </c>
      <c r="R60" s="16" t="n">
        <v>0.335616</v>
      </c>
      <c r="S60" s="16" t="n">
        <v>0.328618</v>
      </c>
      <c r="T60" s="16" t="n">
        <v>0.3217</v>
      </c>
      <c r="U60" s="16" t="n">
        <v>0.315563</v>
      </c>
      <c r="V60" s="16" t="n">
        <v>0.309764</v>
      </c>
      <c r="W60" s="16" t="n">
        <v>0.304188</v>
      </c>
      <c r="X60" s="16" t="n">
        <v>0.298425</v>
      </c>
      <c r="Y60" s="16" t="n">
        <v>0.293046</v>
      </c>
      <c r="Z60" s="16" t="n">
        <v>0.287975</v>
      </c>
      <c r="AA60" s="16" t="n">
        <v>0.282993</v>
      </c>
      <c r="AB60" s="16" t="n">
        <v>0.2782</v>
      </c>
      <c r="AC60" s="16" t="n">
        <v>0.27361</v>
      </c>
      <c r="AD60" s="16" t="n">
        <v>0.269117</v>
      </c>
      <c r="AE60" s="16" t="n">
        <v>0.264725</v>
      </c>
      <c r="AF60" s="16" t="n">
        <v>0.260354</v>
      </c>
      <c r="AG60" s="16" t="n">
        <v>0.256091</v>
      </c>
      <c r="AH60" s="16" t="n">
        <v>0.251756</v>
      </c>
      <c r="AI60" s="16" t="n">
        <v>0.247373</v>
      </c>
      <c r="AJ60" s="16" t="n">
        <v>0.243134</v>
      </c>
      <c r="AK60" s="16" t="n">
        <v>0.239004</v>
      </c>
      <c r="AL60" s="16" t="n">
        <v>0.234875</v>
      </c>
      <c r="AM60" s="12" t="n">
        <v>-0.014128</v>
      </c>
    </row>
    <row r="61" ht="15" customHeight="1">
      <c r="A61" s="11" t="inlineStr">
        <is>
          <t>RKI000:ha_WaterHeating</t>
        </is>
      </c>
      <c r="B61" s="14" t="inlineStr">
        <is>
          <t xml:space="preserve">   Water Heating</t>
        </is>
      </c>
      <c r="C61" s="16" t="n">
        <v>0.044641</v>
      </c>
      <c r="D61" s="16" t="n">
        <v>0.043057</v>
      </c>
      <c r="E61" s="16" t="n">
        <v>0.040292</v>
      </c>
      <c r="F61" s="16" t="n">
        <v>0.03706</v>
      </c>
      <c r="G61" s="16" t="n">
        <v>0.034129</v>
      </c>
      <c r="H61" s="16" t="n">
        <v>0.0317</v>
      </c>
      <c r="I61" s="16" t="n">
        <v>0.029709</v>
      </c>
      <c r="J61" s="16" t="n">
        <v>0.028076</v>
      </c>
      <c r="K61" s="16" t="n">
        <v>0.026785</v>
      </c>
      <c r="L61" s="16" t="n">
        <v>0.025834</v>
      </c>
      <c r="M61" s="16" t="n">
        <v>0.024839</v>
      </c>
      <c r="N61" s="16" t="n">
        <v>0.023861</v>
      </c>
      <c r="O61" s="16" t="n">
        <v>0.022926</v>
      </c>
      <c r="P61" s="16" t="n">
        <v>0.022048</v>
      </c>
      <c r="Q61" s="16" t="n">
        <v>0.02121</v>
      </c>
      <c r="R61" s="16" t="n">
        <v>0.020391</v>
      </c>
      <c r="S61" s="16" t="n">
        <v>0.019598</v>
      </c>
      <c r="T61" s="16" t="n">
        <v>0.018832</v>
      </c>
      <c r="U61" s="16" t="n">
        <v>0.018129</v>
      </c>
      <c r="V61" s="16" t="n">
        <v>0.017456</v>
      </c>
      <c r="W61" s="16" t="n">
        <v>0.016817</v>
      </c>
      <c r="X61" s="16" t="n">
        <v>0.016193</v>
      </c>
      <c r="Y61" s="16" t="n">
        <v>0.015621</v>
      </c>
      <c r="Z61" s="16" t="n">
        <v>0.015102</v>
      </c>
      <c r="AA61" s="16" t="n">
        <v>0.014627</v>
      </c>
      <c r="AB61" s="16" t="n">
        <v>0.014206</v>
      </c>
      <c r="AC61" s="16" t="n">
        <v>0.013839</v>
      </c>
      <c r="AD61" s="16" t="n">
        <v>0.013517</v>
      </c>
      <c r="AE61" s="16" t="n">
        <v>0.013228</v>
      </c>
      <c r="AF61" s="16" t="n">
        <v>0.012963</v>
      </c>
      <c r="AG61" s="16" t="n">
        <v>0.012719</v>
      </c>
      <c r="AH61" s="16" t="n">
        <v>0.012488</v>
      </c>
      <c r="AI61" s="16" t="n">
        <v>0.012266</v>
      </c>
      <c r="AJ61" s="16" t="n">
        <v>0.012061</v>
      </c>
      <c r="AK61" s="16" t="n">
        <v>0.011869</v>
      </c>
      <c r="AL61" s="16" t="n">
        <v>0.011686</v>
      </c>
      <c r="AM61" s="12" t="n">
        <v>-0.03763</v>
      </c>
    </row>
    <row r="62" ht="15" customHeight="1">
      <c r="A62" s="11" t="inlineStr">
        <is>
          <t>RKI000:Other_ha_ha</t>
        </is>
      </c>
      <c r="B62" s="14" t="inlineStr">
        <is>
          <t xml:space="preserve">   Other Uses 6/</t>
        </is>
      </c>
      <c r="C62" s="16" t="n">
        <v>0.00705</v>
      </c>
      <c r="D62" s="16" t="n">
        <v>0.007281</v>
      </c>
      <c r="E62" s="16" t="n">
        <v>0.007295</v>
      </c>
      <c r="F62" s="16" t="n">
        <v>0.007178</v>
      </c>
      <c r="G62" s="16" t="n">
        <v>0.007051</v>
      </c>
      <c r="H62" s="16" t="n">
        <v>0.006972</v>
      </c>
      <c r="I62" s="16" t="n">
        <v>0.006915</v>
      </c>
      <c r="J62" s="16" t="n">
        <v>0.006868</v>
      </c>
      <c r="K62" s="16" t="n">
        <v>0.006823</v>
      </c>
      <c r="L62" s="16" t="n">
        <v>0.006779</v>
      </c>
      <c r="M62" s="16" t="n">
        <v>0.006731</v>
      </c>
      <c r="N62" s="16" t="n">
        <v>0.006684</v>
      </c>
      <c r="O62" s="16" t="n">
        <v>0.006643</v>
      </c>
      <c r="P62" s="16" t="n">
        <v>0.006608</v>
      </c>
      <c r="Q62" s="16" t="n">
        <v>0.006573</v>
      </c>
      <c r="R62" s="16" t="n">
        <v>0.006533</v>
      </c>
      <c r="S62" s="16" t="n">
        <v>0.006489</v>
      </c>
      <c r="T62" s="16" t="n">
        <v>0.006444</v>
      </c>
      <c r="U62" s="16" t="n">
        <v>0.00641</v>
      </c>
      <c r="V62" s="16" t="n">
        <v>0.006376</v>
      </c>
      <c r="W62" s="16" t="n">
        <v>0.006343</v>
      </c>
      <c r="X62" s="16" t="n">
        <v>0.006303</v>
      </c>
      <c r="Y62" s="16" t="n">
        <v>0.006268</v>
      </c>
      <c r="Z62" s="16" t="n">
        <v>0.006236</v>
      </c>
      <c r="AA62" s="16" t="n">
        <v>0.006203</v>
      </c>
      <c r="AB62" s="16" t="n">
        <v>0.00617</v>
      </c>
      <c r="AC62" s="16" t="n">
        <v>0.00614</v>
      </c>
      <c r="AD62" s="16" t="n">
        <v>0.006114</v>
      </c>
      <c r="AE62" s="16" t="n">
        <v>0.006088</v>
      </c>
      <c r="AF62" s="16" t="n">
        <v>0.006061</v>
      </c>
      <c r="AG62" s="16" t="n">
        <v>0.006035</v>
      </c>
      <c r="AH62" s="16" t="n">
        <v>0.006006</v>
      </c>
      <c r="AI62" s="16" t="n">
        <v>0.005976</v>
      </c>
      <c r="AJ62" s="16" t="n">
        <v>0.005948</v>
      </c>
      <c r="AK62" s="16" t="n">
        <v>0.005921</v>
      </c>
      <c r="AL62" s="16" t="n">
        <v>0.005892</v>
      </c>
      <c r="AM62" s="12" t="n">
        <v>-0.006204</v>
      </c>
    </row>
    <row r="63" ht="15" customHeight="1">
      <c r="A63" s="11" t="inlineStr">
        <is>
          <t>RKI000:ha_DeliveredEner</t>
        </is>
      </c>
      <c r="B63" s="10" t="inlineStr">
        <is>
          <t xml:space="preserve">     Delivered Energy</t>
        </is>
      </c>
      <c r="C63" s="15" t="n">
        <v>0.514773</v>
      </c>
      <c r="D63" s="15" t="n">
        <v>0.431354</v>
      </c>
      <c r="E63" s="15" t="n">
        <v>0.5076310000000001</v>
      </c>
      <c r="F63" s="15" t="n">
        <v>0.481744</v>
      </c>
      <c r="G63" s="15" t="n">
        <v>0.465711</v>
      </c>
      <c r="H63" s="15" t="n">
        <v>0.452532</v>
      </c>
      <c r="I63" s="15" t="n">
        <v>0.44107</v>
      </c>
      <c r="J63" s="15" t="n">
        <v>0.430768</v>
      </c>
      <c r="K63" s="15" t="n">
        <v>0.421187</v>
      </c>
      <c r="L63" s="15" t="n">
        <v>0.412329</v>
      </c>
      <c r="M63" s="15" t="n">
        <v>0.403345</v>
      </c>
      <c r="N63" s="15" t="n">
        <v>0.394507</v>
      </c>
      <c r="O63" s="15" t="n">
        <v>0.386133</v>
      </c>
      <c r="P63" s="15" t="n">
        <v>0.378232</v>
      </c>
      <c r="Q63" s="15" t="n">
        <v>0.370512</v>
      </c>
      <c r="R63" s="15" t="n">
        <v>0.362539</v>
      </c>
      <c r="S63" s="15" t="n">
        <v>0.354705</v>
      </c>
      <c r="T63" s="15" t="n">
        <v>0.346976</v>
      </c>
      <c r="U63" s="15" t="n">
        <v>0.340102</v>
      </c>
      <c r="V63" s="15" t="n">
        <v>0.333596</v>
      </c>
      <c r="W63" s="15" t="n">
        <v>0.327347</v>
      </c>
      <c r="X63" s="15" t="n">
        <v>0.320921</v>
      </c>
      <c r="Y63" s="15" t="n">
        <v>0.314935</v>
      </c>
      <c r="Z63" s="15" t="n">
        <v>0.309314</v>
      </c>
      <c r="AA63" s="15" t="n">
        <v>0.303823</v>
      </c>
      <c r="AB63" s="15" t="n">
        <v>0.298575</v>
      </c>
      <c r="AC63" s="15" t="n">
        <v>0.29359</v>
      </c>
      <c r="AD63" s="15" t="n">
        <v>0.288747</v>
      </c>
      <c r="AE63" s="15" t="n">
        <v>0.284041</v>
      </c>
      <c r="AF63" s="15" t="n">
        <v>0.279378</v>
      </c>
      <c r="AG63" s="15" t="n">
        <v>0.274844</v>
      </c>
      <c r="AH63" s="15" t="n">
        <v>0.270251</v>
      </c>
      <c r="AI63" s="15" t="n">
        <v>0.265616</v>
      </c>
      <c r="AJ63" s="15" t="n">
        <v>0.261144</v>
      </c>
      <c r="AK63" s="15" t="n">
        <v>0.256794</v>
      </c>
      <c r="AL63" s="15" t="n">
        <v>0.252453</v>
      </c>
      <c r="AM63" s="8" t="n">
        <v>-0.015632</v>
      </c>
    </row>
    <row r="65" ht="15" customHeight="1">
      <c r="B65" s="10" t="inlineStr">
        <is>
          <t xml:space="preserve"> Propane</t>
        </is>
      </c>
    </row>
    <row r="66" ht="15" customHeight="1">
      <c r="A66" s="11" t="inlineStr">
        <is>
          <t>RKI000:ia_SpaceHeating</t>
        </is>
      </c>
      <c r="B66" s="14" t="inlineStr">
        <is>
          <t xml:space="preserve">   Space Heating</t>
        </is>
      </c>
      <c r="C66" s="16" t="n">
        <v>0.341401</v>
      </c>
      <c r="D66" s="16" t="n">
        <v>0.299716</v>
      </c>
      <c r="E66" s="16" t="n">
        <v>0.32496</v>
      </c>
      <c r="F66" s="16" t="n">
        <v>0.326645</v>
      </c>
      <c r="G66" s="16" t="n">
        <v>0.321761</v>
      </c>
      <c r="H66" s="16" t="n">
        <v>0.317796</v>
      </c>
      <c r="I66" s="16" t="n">
        <v>0.31451</v>
      </c>
      <c r="J66" s="16" t="n">
        <v>0.310488</v>
      </c>
      <c r="K66" s="16" t="n">
        <v>0.306342</v>
      </c>
      <c r="L66" s="16" t="n">
        <v>0.302754</v>
      </c>
      <c r="M66" s="16" t="n">
        <v>0.299765</v>
      </c>
      <c r="N66" s="16" t="n">
        <v>0.296874</v>
      </c>
      <c r="O66" s="16" t="n">
        <v>0.293845</v>
      </c>
      <c r="P66" s="16" t="n">
        <v>0.290861</v>
      </c>
      <c r="Q66" s="16" t="n">
        <v>0.288088</v>
      </c>
      <c r="R66" s="16" t="n">
        <v>0.285417</v>
      </c>
      <c r="S66" s="16" t="n">
        <v>0.28234</v>
      </c>
      <c r="T66" s="16" t="n">
        <v>0.279063</v>
      </c>
      <c r="U66" s="16" t="n">
        <v>0.276201</v>
      </c>
      <c r="V66" s="16" t="n">
        <v>0.273603</v>
      </c>
      <c r="W66" s="16" t="n">
        <v>0.271222</v>
      </c>
      <c r="X66" s="16" t="n">
        <v>0.268648</v>
      </c>
      <c r="Y66" s="16" t="n">
        <v>0.266185</v>
      </c>
      <c r="Z66" s="16" t="n">
        <v>0.263612</v>
      </c>
      <c r="AA66" s="16" t="n">
        <v>0.260864</v>
      </c>
      <c r="AB66" s="16" t="n">
        <v>0.258301</v>
      </c>
      <c r="AC66" s="16" t="n">
        <v>0.255804</v>
      </c>
      <c r="AD66" s="16" t="n">
        <v>0.253456</v>
      </c>
      <c r="AE66" s="16" t="n">
        <v>0.25114</v>
      </c>
      <c r="AF66" s="16" t="n">
        <v>0.248897</v>
      </c>
      <c r="AG66" s="16" t="n">
        <v>0.246767</v>
      </c>
      <c r="AH66" s="16" t="n">
        <v>0.244607</v>
      </c>
      <c r="AI66" s="16" t="n">
        <v>0.242415</v>
      </c>
      <c r="AJ66" s="16" t="n">
        <v>0.240148</v>
      </c>
      <c r="AK66" s="16" t="n">
        <v>0.237975</v>
      </c>
      <c r="AL66" s="16" t="n">
        <v>0.235788</v>
      </c>
      <c r="AM66" s="12" t="n">
        <v>-0.007031</v>
      </c>
    </row>
    <row r="67" ht="15" customHeight="1">
      <c r="A67" s="11" t="inlineStr">
        <is>
          <t>RKI000:ia_WaterHeating</t>
        </is>
      </c>
      <c r="B67" s="14" t="inlineStr">
        <is>
          <t xml:space="preserve">   Water Heating</t>
        </is>
      </c>
      <c r="C67" s="16" t="n">
        <v>0.060069</v>
      </c>
      <c r="D67" s="16" t="n">
        <v>0.059111</v>
      </c>
      <c r="E67" s="16" t="n">
        <v>0.057686</v>
      </c>
      <c r="F67" s="16" t="n">
        <v>0.05566</v>
      </c>
      <c r="G67" s="16" t="n">
        <v>0.053911</v>
      </c>
      <c r="H67" s="16" t="n">
        <v>0.052448</v>
      </c>
      <c r="I67" s="16" t="n">
        <v>0.051315</v>
      </c>
      <c r="J67" s="16" t="n">
        <v>0.050314</v>
      </c>
      <c r="K67" s="16" t="n">
        <v>0.049471</v>
      </c>
      <c r="L67" s="16" t="n">
        <v>0.048832</v>
      </c>
      <c r="M67" s="16" t="n">
        <v>0.048126</v>
      </c>
      <c r="N67" s="16" t="n">
        <v>0.047367</v>
      </c>
      <c r="O67" s="16" t="n">
        <v>0.046506</v>
      </c>
      <c r="P67" s="16" t="n">
        <v>0.045599</v>
      </c>
      <c r="Q67" s="16" t="n">
        <v>0.044694</v>
      </c>
      <c r="R67" s="16" t="n">
        <v>0.043765</v>
      </c>
      <c r="S67" s="16" t="n">
        <v>0.042763</v>
      </c>
      <c r="T67" s="16" t="n">
        <v>0.041725</v>
      </c>
      <c r="U67" s="16" t="n">
        <v>0.040736</v>
      </c>
      <c r="V67" s="16" t="n">
        <v>0.039782</v>
      </c>
      <c r="W67" s="16" t="n">
        <v>0.038884</v>
      </c>
      <c r="X67" s="16" t="n">
        <v>0.037994</v>
      </c>
      <c r="Y67" s="16" t="n">
        <v>0.037168</v>
      </c>
      <c r="Z67" s="16" t="n">
        <v>0.036408</v>
      </c>
      <c r="AA67" s="16" t="n">
        <v>0.035708</v>
      </c>
      <c r="AB67" s="16" t="n">
        <v>0.035123</v>
      </c>
      <c r="AC67" s="16" t="n">
        <v>0.034627</v>
      </c>
      <c r="AD67" s="16" t="n">
        <v>0.034218</v>
      </c>
      <c r="AE67" s="16" t="n">
        <v>0.033866</v>
      </c>
      <c r="AF67" s="16" t="n">
        <v>0.033564</v>
      </c>
      <c r="AG67" s="16" t="n">
        <v>0.03331</v>
      </c>
      <c r="AH67" s="16" t="n">
        <v>0.033079</v>
      </c>
      <c r="AI67" s="16" t="n">
        <v>0.032862</v>
      </c>
      <c r="AJ67" s="16" t="n">
        <v>0.032649</v>
      </c>
      <c r="AK67" s="16" t="n">
        <v>0.032461</v>
      </c>
      <c r="AL67" s="16" t="n">
        <v>0.032288</v>
      </c>
      <c r="AM67" s="12" t="n">
        <v>-0.017629</v>
      </c>
    </row>
    <row r="68" ht="15" customHeight="1">
      <c r="A68" s="11" t="inlineStr">
        <is>
          <t>RKI000:ia_Cooking</t>
        </is>
      </c>
      <c r="B68" s="14" t="inlineStr">
        <is>
          <t xml:space="preserve">   Cooking</t>
        </is>
      </c>
      <c r="C68" s="16" t="n">
        <v>0.02822</v>
      </c>
      <c r="D68" s="16" t="n">
        <v>0.027886</v>
      </c>
      <c r="E68" s="16" t="n">
        <v>0.027591</v>
      </c>
      <c r="F68" s="16" t="n">
        <v>0.027326</v>
      </c>
      <c r="G68" s="16" t="n">
        <v>0.027069</v>
      </c>
      <c r="H68" s="16" t="n">
        <v>0.026817</v>
      </c>
      <c r="I68" s="16" t="n">
        <v>0.026573</v>
      </c>
      <c r="J68" s="16" t="n">
        <v>0.026348</v>
      </c>
      <c r="K68" s="16" t="n">
        <v>0.026133</v>
      </c>
      <c r="L68" s="16" t="n">
        <v>0.025924</v>
      </c>
      <c r="M68" s="16" t="n">
        <v>0.025714</v>
      </c>
      <c r="N68" s="16" t="n">
        <v>0.02549</v>
      </c>
      <c r="O68" s="16" t="n">
        <v>0.02529</v>
      </c>
      <c r="P68" s="16" t="n">
        <v>0.02511</v>
      </c>
      <c r="Q68" s="16" t="n">
        <v>0.024956</v>
      </c>
      <c r="R68" s="16" t="n">
        <v>0.024832</v>
      </c>
      <c r="S68" s="16" t="n">
        <v>0.02474</v>
      </c>
      <c r="T68" s="16" t="n">
        <v>0.024635</v>
      </c>
      <c r="U68" s="16" t="n">
        <v>0.02453</v>
      </c>
      <c r="V68" s="16" t="n">
        <v>0.024433</v>
      </c>
      <c r="W68" s="16" t="n">
        <v>0.024344</v>
      </c>
      <c r="X68" s="16" t="n">
        <v>0.024255</v>
      </c>
      <c r="Y68" s="16" t="n">
        <v>0.024165</v>
      </c>
      <c r="Z68" s="16" t="n">
        <v>0.024079</v>
      </c>
      <c r="AA68" s="16" t="n">
        <v>0.023992</v>
      </c>
      <c r="AB68" s="16" t="n">
        <v>0.023905</v>
      </c>
      <c r="AC68" s="16" t="n">
        <v>0.023814</v>
      </c>
      <c r="AD68" s="16" t="n">
        <v>0.023722</v>
      </c>
      <c r="AE68" s="16" t="n">
        <v>0.023628</v>
      </c>
      <c r="AF68" s="16" t="n">
        <v>0.023536</v>
      </c>
      <c r="AG68" s="16" t="n">
        <v>0.023445</v>
      </c>
      <c r="AH68" s="16" t="n">
        <v>0.023358</v>
      </c>
      <c r="AI68" s="16" t="n">
        <v>0.023279</v>
      </c>
      <c r="AJ68" s="16" t="n">
        <v>0.023204</v>
      </c>
      <c r="AK68" s="16" t="n">
        <v>0.023135</v>
      </c>
      <c r="AL68" s="16" t="n">
        <v>0.023071</v>
      </c>
      <c r="AM68" s="12" t="n">
        <v>-0.00556</v>
      </c>
    </row>
    <row r="69" ht="15" customHeight="1">
      <c r="A69" s="11" t="inlineStr">
        <is>
          <t>RKI000:ia_OtherUses</t>
        </is>
      </c>
      <c r="B69" s="14" t="inlineStr">
        <is>
          <t xml:space="preserve">   Other Uses 6/</t>
        </is>
      </c>
      <c r="C69" s="16" t="n">
        <v>0.043472</v>
      </c>
      <c r="D69" s="16" t="n">
        <v>0.045084</v>
      </c>
      <c r="E69" s="16" t="n">
        <v>0.046261</v>
      </c>
      <c r="F69" s="16" t="n">
        <v>0.046886</v>
      </c>
      <c r="G69" s="16" t="n">
        <v>0.04753</v>
      </c>
      <c r="H69" s="16" t="n">
        <v>0.048302</v>
      </c>
      <c r="I69" s="16" t="n">
        <v>0.049156</v>
      </c>
      <c r="J69" s="16" t="n">
        <v>0.049955</v>
      </c>
      <c r="K69" s="16" t="n">
        <v>0.050737</v>
      </c>
      <c r="L69" s="16" t="n">
        <v>0.051561</v>
      </c>
      <c r="M69" s="16" t="n">
        <v>0.052445</v>
      </c>
      <c r="N69" s="16" t="n">
        <v>0.053335</v>
      </c>
      <c r="O69" s="16" t="n">
        <v>0.054176</v>
      </c>
      <c r="P69" s="16" t="n">
        <v>0.054999</v>
      </c>
      <c r="Q69" s="16" t="n">
        <v>0.055834</v>
      </c>
      <c r="R69" s="16" t="n">
        <v>0.056662</v>
      </c>
      <c r="S69" s="16" t="n">
        <v>0.057415</v>
      </c>
      <c r="T69" s="16" t="n">
        <v>0.058119</v>
      </c>
      <c r="U69" s="16" t="n">
        <v>0.058876</v>
      </c>
      <c r="V69" s="16" t="n">
        <v>0.059667</v>
      </c>
      <c r="W69" s="16" t="n">
        <v>0.060501</v>
      </c>
      <c r="X69" s="16" t="n">
        <v>0.061307</v>
      </c>
      <c r="Y69" s="16" t="n">
        <v>0.062129</v>
      </c>
      <c r="Z69" s="16" t="n">
        <v>0.062942</v>
      </c>
      <c r="AA69" s="16" t="n">
        <v>0.063721</v>
      </c>
      <c r="AB69" s="16" t="n">
        <v>0.06453299999999999</v>
      </c>
      <c r="AC69" s="16" t="n">
        <v>0.06536</v>
      </c>
      <c r="AD69" s="16" t="n">
        <v>0.066215</v>
      </c>
      <c r="AE69" s="16" t="n">
        <v>0.067079</v>
      </c>
      <c r="AF69" s="16" t="n">
        <v>0.067964</v>
      </c>
      <c r="AG69" s="16" t="n">
        <v>0.068881</v>
      </c>
      <c r="AH69" s="16" t="n">
        <v>0.069803</v>
      </c>
      <c r="AI69" s="16" t="n">
        <v>0.070717</v>
      </c>
      <c r="AJ69" s="16" t="n">
        <v>0.07160999999999999</v>
      </c>
      <c r="AK69" s="16" t="n">
        <v>0.07252</v>
      </c>
      <c r="AL69" s="16" t="n">
        <v>0.073424</v>
      </c>
      <c r="AM69" s="12" t="n">
        <v>0.014448</v>
      </c>
    </row>
    <row r="70" ht="15" customHeight="1">
      <c r="A70" s="11" t="inlineStr">
        <is>
          <t>RKI000:ia_DeliveredEner</t>
        </is>
      </c>
      <c r="B70" s="10" t="inlineStr">
        <is>
          <t xml:space="preserve">     Delivered Energy</t>
        </is>
      </c>
      <c r="C70" s="15" t="n">
        <v>0.473162</v>
      </c>
      <c r="D70" s="15" t="n">
        <v>0.431797</v>
      </c>
      <c r="E70" s="15" t="n">
        <v>0.456497</v>
      </c>
      <c r="F70" s="15" t="n">
        <v>0.456517</v>
      </c>
      <c r="G70" s="15" t="n">
        <v>0.450271</v>
      </c>
      <c r="H70" s="15" t="n">
        <v>0.445362</v>
      </c>
      <c r="I70" s="15" t="n">
        <v>0.441554</v>
      </c>
      <c r="J70" s="15" t="n">
        <v>0.437106</v>
      </c>
      <c r="K70" s="15" t="n">
        <v>0.432684</v>
      </c>
      <c r="L70" s="15" t="n">
        <v>0.429072</v>
      </c>
      <c r="M70" s="15" t="n">
        <v>0.42605</v>
      </c>
      <c r="N70" s="15" t="n">
        <v>0.423066</v>
      </c>
      <c r="O70" s="15" t="n">
        <v>0.419817</v>
      </c>
      <c r="P70" s="15" t="n">
        <v>0.416569</v>
      </c>
      <c r="Q70" s="15" t="n">
        <v>0.413573</v>
      </c>
      <c r="R70" s="15" t="n">
        <v>0.410677</v>
      </c>
      <c r="S70" s="15" t="n">
        <v>0.407258</v>
      </c>
      <c r="T70" s="15" t="n">
        <v>0.403542</v>
      </c>
      <c r="U70" s="15" t="n">
        <v>0.400343</v>
      </c>
      <c r="V70" s="15" t="n">
        <v>0.397485</v>
      </c>
      <c r="W70" s="15" t="n">
        <v>0.39495</v>
      </c>
      <c r="X70" s="15" t="n">
        <v>0.392204</v>
      </c>
      <c r="Y70" s="15" t="n">
        <v>0.389648</v>
      </c>
      <c r="Z70" s="15" t="n">
        <v>0.387041</v>
      </c>
      <c r="AA70" s="15" t="n">
        <v>0.384285</v>
      </c>
      <c r="AB70" s="15" t="n">
        <v>0.381862</v>
      </c>
      <c r="AC70" s="15" t="n">
        <v>0.379606</v>
      </c>
      <c r="AD70" s="15" t="n">
        <v>0.377611</v>
      </c>
      <c r="AE70" s="15" t="n">
        <v>0.375713</v>
      </c>
      <c r="AF70" s="15" t="n">
        <v>0.373961</v>
      </c>
      <c r="AG70" s="15" t="n">
        <v>0.372403</v>
      </c>
      <c r="AH70" s="15" t="n">
        <v>0.370847</v>
      </c>
      <c r="AI70" s="15" t="n">
        <v>0.369273</v>
      </c>
      <c r="AJ70" s="15" t="n">
        <v>0.367611</v>
      </c>
      <c r="AK70" s="15" t="n">
        <v>0.366091</v>
      </c>
      <c r="AL70" s="15" t="n">
        <v>0.36457</v>
      </c>
      <c r="AM70" s="8" t="n">
        <v>-0.004965</v>
      </c>
    </row>
    <row r="72" ht="15" customHeight="1">
      <c r="A72" s="11" t="inlineStr">
        <is>
          <t>RKI000:ja_MarketedRenew</t>
        </is>
      </c>
      <c r="B72" s="14" t="inlineStr">
        <is>
          <t xml:space="preserve"> Marketed Renewables (wood) 7/</t>
        </is>
      </c>
      <c r="C72" s="16" t="n">
        <v>0.440932</v>
      </c>
      <c r="D72" s="16" t="n">
        <v>0.373338</v>
      </c>
      <c r="E72" s="16" t="n">
        <v>0.382023</v>
      </c>
      <c r="F72" s="16" t="n">
        <v>0.399918</v>
      </c>
      <c r="G72" s="16" t="n">
        <v>0.411374</v>
      </c>
      <c r="H72" s="16" t="n">
        <v>0.41363</v>
      </c>
      <c r="I72" s="16" t="n">
        <v>0.411704</v>
      </c>
      <c r="J72" s="16" t="n">
        <v>0.407837</v>
      </c>
      <c r="K72" s="16" t="n">
        <v>0.403628</v>
      </c>
      <c r="L72" s="16" t="n">
        <v>0.399409</v>
      </c>
      <c r="M72" s="16" t="n">
        <v>0.395798</v>
      </c>
      <c r="N72" s="16" t="n">
        <v>0.392024</v>
      </c>
      <c r="O72" s="16" t="n">
        <v>0.387317</v>
      </c>
      <c r="P72" s="16" t="n">
        <v>0.381188</v>
      </c>
      <c r="Q72" s="16" t="n">
        <v>0.37527</v>
      </c>
      <c r="R72" s="16" t="n">
        <v>0.370244</v>
      </c>
      <c r="S72" s="16" t="n">
        <v>0.366117</v>
      </c>
      <c r="T72" s="16" t="n">
        <v>0.362504</v>
      </c>
      <c r="U72" s="16" t="n">
        <v>0.357335</v>
      </c>
      <c r="V72" s="16" t="n">
        <v>0.35266</v>
      </c>
      <c r="W72" s="16" t="n">
        <v>0.348059</v>
      </c>
      <c r="X72" s="16" t="n">
        <v>0.345057</v>
      </c>
      <c r="Y72" s="16" t="n">
        <v>0.341559</v>
      </c>
      <c r="Z72" s="16" t="n">
        <v>0.337991</v>
      </c>
      <c r="AA72" s="16" t="n">
        <v>0.335112</v>
      </c>
      <c r="AB72" s="16" t="n">
        <v>0.332439</v>
      </c>
      <c r="AC72" s="16" t="n">
        <v>0.329152</v>
      </c>
      <c r="AD72" s="16" t="n">
        <v>0.325441</v>
      </c>
      <c r="AE72" s="16" t="n">
        <v>0.321761</v>
      </c>
      <c r="AF72" s="16" t="n">
        <v>0.318272</v>
      </c>
      <c r="AG72" s="16" t="n">
        <v>0.314918</v>
      </c>
      <c r="AH72" s="16" t="n">
        <v>0.311896</v>
      </c>
      <c r="AI72" s="16" t="n">
        <v>0.309358</v>
      </c>
      <c r="AJ72" s="16" t="n">
        <v>0.306477</v>
      </c>
      <c r="AK72" s="16" t="n">
        <v>0.303598</v>
      </c>
      <c r="AL72" s="16" t="n">
        <v>0.301033</v>
      </c>
      <c r="AM72" s="12" t="n">
        <v>-0.006311</v>
      </c>
    </row>
    <row r="73" ht="15" customHeight="1">
      <c r="A73" s="11" t="inlineStr">
        <is>
          <t>RKI000:ja_OtherFuels</t>
        </is>
      </c>
      <c r="B73" s="14" t="inlineStr">
        <is>
          <t xml:space="preserve"> Kerosene</t>
        </is>
      </c>
      <c r="C73" s="16" t="n">
        <v>0.009757999999999999</v>
      </c>
      <c r="D73" s="16" t="n">
        <v>0.009757999999999999</v>
      </c>
      <c r="E73" s="16" t="n">
        <v>0.011269</v>
      </c>
      <c r="F73" s="16" t="n">
        <v>0.010637</v>
      </c>
      <c r="G73" s="16" t="n">
        <v>0.010123</v>
      </c>
      <c r="H73" s="16" t="n">
        <v>0.009748</v>
      </c>
      <c r="I73" s="16" t="n">
        <v>0.009464</v>
      </c>
      <c r="J73" s="16" t="n">
        <v>0.009216</v>
      </c>
      <c r="K73" s="16" t="n">
        <v>0.008989</v>
      </c>
      <c r="L73" s="16" t="n">
        <v>0.008781000000000001</v>
      </c>
      <c r="M73" s="16" t="n">
        <v>0.008574</v>
      </c>
      <c r="N73" s="16" t="n">
        <v>0.008368</v>
      </c>
      <c r="O73" s="16" t="n">
        <v>0.008168</v>
      </c>
      <c r="P73" s="16" t="n">
        <v>0.007984</v>
      </c>
      <c r="Q73" s="16" t="n">
        <v>0.007804</v>
      </c>
      <c r="R73" s="16" t="n">
        <v>0.007617</v>
      </c>
      <c r="S73" s="16" t="n">
        <v>0.007427</v>
      </c>
      <c r="T73" s="16" t="n">
        <v>0.007237</v>
      </c>
      <c r="U73" s="16" t="n">
        <v>0.007069</v>
      </c>
      <c r="V73" s="16" t="n">
        <v>0.006909</v>
      </c>
      <c r="W73" s="16" t="n">
        <v>0.006757</v>
      </c>
      <c r="X73" s="16" t="n">
        <v>0.0066</v>
      </c>
      <c r="Y73" s="16" t="n">
        <v>0.006454</v>
      </c>
      <c r="Z73" s="16" t="n">
        <v>0.006315</v>
      </c>
      <c r="AA73" s="16" t="n">
        <v>0.006178</v>
      </c>
      <c r="AB73" s="16" t="n">
        <v>0.006045</v>
      </c>
      <c r="AC73" s="16" t="n">
        <v>0.00592</v>
      </c>
      <c r="AD73" s="16" t="n">
        <v>0.005799</v>
      </c>
      <c r="AE73" s="16" t="n">
        <v>0.005681</v>
      </c>
      <c r="AF73" s="16" t="n">
        <v>0.005564</v>
      </c>
      <c r="AG73" s="16" t="n">
        <v>0.005449</v>
      </c>
      <c r="AH73" s="16" t="n">
        <v>0.005332</v>
      </c>
      <c r="AI73" s="16" t="n">
        <v>0.005213</v>
      </c>
      <c r="AJ73" s="16" t="n">
        <v>0.005098</v>
      </c>
      <c r="AK73" s="16" t="n">
        <v>0.004986</v>
      </c>
      <c r="AL73" s="16" t="n">
        <v>0.004875</v>
      </c>
      <c r="AM73" s="12" t="n">
        <v>-0.020203</v>
      </c>
    </row>
    <row r="75" ht="15" customHeight="1">
      <c r="B75" s="10" t="inlineStr">
        <is>
          <t>Delivered Energy Consumption by End Use</t>
        </is>
      </c>
    </row>
    <row r="76" ht="15" customHeight="1">
      <c r="A76" s="11" t="inlineStr">
        <is>
          <t>RKI000:ka_SpaceHeating</t>
        </is>
      </c>
      <c r="B76" s="14" t="inlineStr">
        <is>
          <t xml:space="preserve"> Space Heating</t>
        </is>
      </c>
      <c r="C76" s="16" t="n">
        <v>4.604874</v>
      </c>
      <c r="D76" s="16" t="n">
        <v>4.209844</v>
      </c>
      <c r="E76" s="16" t="n">
        <v>4.550833</v>
      </c>
      <c r="F76" s="16" t="n">
        <v>4.605039</v>
      </c>
      <c r="G76" s="16" t="n">
        <v>4.583626</v>
      </c>
      <c r="H76" s="16" t="n">
        <v>4.55753</v>
      </c>
      <c r="I76" s="16" t="n">
        <v>4.53145</v>
      </c>
      <c r="J76" s="16" t="n">
        <v>4.505191</v>
      </c>
      <c r="K76" s="16" t="n">
        <v>4.479831</v>
      </c>
      <c r="L76" s="16" t="n">
        <v>4.457197</v>
      </c>
      <c r="M76" s="16" t="n">
        <v>4.4342</v>
      </c>
      <c r="N76" s="16" t="n">
        <v>4.409664</v>
      </c>
      <c r="O76" s="16" t="n">
        <v>4.380695</v>
      </c>
      <c r="P76" s="16" t="n">
        <v>4.351151</v>
      </c>
      <c r="Q76" s="16" t="n">
        <v>4.323893</v>
      </c>
      <c r="R76" s="16" t="n">
        <v>4.300618</v>
      </c>
      <c r="S76" s="16" t="n">
        <v>4.278604</v>
      </c>
      <c r="T76" s="16" t="n">
        <v>4.256376</v>
      </c>
      <c r="U76" s="16" t="n">
        <v>4.235342</v>
      </c>
      <c r="V76" s="16" t="n">
        <v>4.216606</v>
      </c>
      <c r="W76" s="16" t="n">
        <v>4.195526</v>
      </c>
      <c r="X76" s="16" t="n">
        <v>4.176435</v>
      </c>
      <c r="Y76" s="16" t="n">
        <v>4.158358</v>
      </c>
      <c r="Z76" s="16" t="n">
        <v>4.141437</v>
      </c>
      <c r="AA76" s="16" t="n">
        <v>4.124749</v>
      </c>
      <c r="AB76" s="16" t="n">
        <v>4.110062</v>
      </c>
      <c r="AC76" s="16" t="n">
        <v>4.094557</v>
      </c>
      <c r="AD76" s="16" t="n">
        <v>4.077002</v>
      </c>
      <c r="AE76" s="16" t="n">
        <v>4.058712</v>
      </c>
      <c r="AF76" s="16" t="n">
        <v>4.040754</v>
      </c>
      <c r="AG76" s="16" t="n">
        <v>4.023289</v>
      </c>
      <c r="AH76" s="16" t="n">
        <v>4.006301</v>
      </c>
      <c r="AI76" s="16" t="n">
        <v>3.990368</v>
      </c>
      <c r="AJ76" s="16" t="n">
        <v>3.972912</v>
      </c>
      <c r="AK76" s="16" t="n">
        <v>3.956301</v>
      </c>
      <c r="AL76" s="16" t="n">
        <v>3.939848</v>
      </c>
      <c r="AM76" s="12" t="n">
        <v>-0.001948</v>
      </c>
    </row>
    <row r="77" ht="15" customHeight="1">
      <c r="A77" s="11" t="inlineStr">
        <is>
          <t>RKI000:ka_SpaceCooling</t>
        </is>
      </c>
      <c r="B77" s="14" t="inlineStr">
        <is>
          <t xml:space="preserve"> Space Cooling</t>
        </is>
      </c>
      <c r="C77" s="16" t="n">
        <v>0.81741</v>
      </c>
      <c r="D77" s="16" t="n">
        <v>0.867148</v>
      </c>
      <c r="E77" s="16" t="n">
        <v>0.755645</v>
      </c>
      <c r="F77" s="16" t="n">
        <v>0.782887</v>
      </c>
      <c r="G77" s="16" t="n">
        <v>0.784262</v>
      </c>
      <c r="H77" s="16" t="n">
        <v>0.782837</v>
      </c>
      <c r="I77" s="16" t="n">
        <v>0.78283</v>
      </c>
      <c r="J77" s="16" t="n">
        <v>0.781494</v>
      </c>
      <c r="K77" s="16" t="n">
        <v>0.781601</v>
      </c>
      <c r="L77" s="16" t="n">
        <v>0.784343</v>
      </c>
      <c r="M77" s="16" t="n">
        <v>0.786754</v>
      </c>
      <c r="N77" s="16" t="n">
        <v>0.789338</v>
      </c>
      <c r="O77" s="16" t="n">
        <v>0.792837</v>
      </c>
      <c r="P77" s="16" t="n">
        <v>0.797361</v>
      </c>
      <c r="Q77" s="16" t="n">
        <v>0.802426</v>
      </c>
      <c r="R77" s="16" t="n">
        <v>0.80746</v>
      </c>
      <c r="S77" s="16" t="n">
        <v>0.813477</v>
      </c>
      <c r="T77" s="16" t="n">
        <v>0.819079</v>
      </c>
      <c r="U77" s="16" t="n">
        <v>0.825068</v>
      </c>
      <c r="V77" s="16" t="n">
        <v>0.831143</v>
      </c>
      <c r="W77" s="16" t="n">
        <v>0.836969</v>
      </c>
      <c r="X77" s="16" t="n">
        <v>0.842503</v>
      </c>
      <c r="Y77" s="16" t="n">
        <v>0.847606</v>
      </c>
      <c r="Z77" s="16" t="n">
        <v>0.853019</v>
      </c>
      <c r="AA77" s="16" t="n">
        <v>0.858057</v>
      </c>
      <c r="AB77" s="16" t="n">
        <v>0.862583</v>
      </c>
      <c r="AC77" s="16" t="n">
        <v>0.86688</v>
      </c>
      <c r="AD77" s="16" t="n">
        <v>0.8709</v>
      </c>
      <c r="AE77" s="16" t="n">
        <v>0.874038</v>
      </c>
      <c r="AF77" s="16" t="n">
        <v>0.876727</v>
      </c>
      <c r="AG77" s="16" t="n">
        <v>0.879142</v>
      </c>
      <c r="AH77" s="16" t="n">
        <v>0.8813</v>
      </c>
      <c r="AI77" s="16" t="n">
        <v>0.882924</v>
      </c>
      <c r="AJ77" s="16" t="n">
        <v>0.883173</v>
      </c>
      <c r="AK77" s="16" t="n">
        <v>0.882756</v>
      </c>
      <c r="AL77" s="16" t="n">
        <v>0.88189</v>
      </c>
      <c r="AM77" s="12" t="n">
        <v>0.000496</v>
      </c>
    </row>
    <row r="78" ht="15" customHeight="1">
      <c r="A78" s="11" t="inlineStr">
        <is>
          <t>RKI000:ka_WaterHeating</t>
        </is>
      </c>
      <c r="B78" s="14" t="inlineStr">
        <is>
          <t xml:space="preserve"> Water Heating</t>
        </is>
      </c>
      <c r="C78" s="16" t="n">
        <v>1.763412</v>
      </c>
      <c r="D78" s="16" t="n">
        <v>1.771377</v>
      </c>
      <c r="E78" s="16" t="n">
        <v>1.772123</v>
      </c>
      <c r="F78" s="16" t="n">
        <v>1.772195</v>
      </c>
      <c r="G78" s="16" t="n">
        <v>1.773084</v>
      </c>
      <c r="H78" s="16" t="n">
        <v>1.772762</v>
      </c>
      <c r="I78" s="16" t="n">
        <v>1.77639</v>
      </c>
      <c r="J78" s="16" t="n">
        <v>1.781616</v>
      </c>
      <c r="K78" s="16" t="n">
        <v>1.788717</v>
      </c>
      <c r="L78" s="16" t="n">
        <v>1.797625</v>
      </c>
      <c r="M78" s="16" t="n">
        <v>1.803908</v>
      </c>
      <c r="N78" s="16" t="n">
        <v>1.808599</v>
      </c>
      <c r="O78" s="16" t="n">
        <v>1.809548</v>
      </c>
      <c r="P78" s="16" t="n">
        <v>1.810293</v>
      </c>
      <c r="Q78" s="16" t="n">
        <v>1.811218</v>
      </c>
      <c r="R78" s="16" t="n">
        <v>1.811974</v>
      </c>
      <c r="S78" s="16" t="n">
        <v>1.81119</v>
      </c>
      <c r="T78" s="16" t="n">
        <v>1.808687</v>
      </c>
      <c r="U78" s="16" t="n">
        <v>1.804977</v>
      </c>
      <c r="V78" s="16" t="n">
        <v>1.800001</v>
      </c>
      <c r="W78" s="16" t="n">
        <v>1.792986</v>
      </c>
      <c r="X78" s="16" t="n">
        <v>1.785609</v>
      </c>
      <c r="Y78" s="16" t="n">
        <v>1.77905</v>
      </c>
      <c r="Z78" s="16" t="n">
        <v>1.774759</v>
      </c>
      <c r="AA78" s="16" t="n">
        <v>1.772888</v>
      </c>
      <c r="AB78" s="16" t="n">
        <v>1.774335</v>
      </c>
      <c r="AC78" s="16" t="n">
        <v>1.778477</v>
      </c>
      <c r="AD78" s="16" t="n">
        <v>1.784178</v>
      </c>
      <c r="AE78" s="16" t="n">
        <v>1.790826</v>
      </c>
      <c r="AF78" s="16" t="n">
        <v>1.798323</v>
      </c>
      <c r="AG78" s="16" t="n">
        <v>1.806307</v>
      </c>
      <c r="AH78" s="16" t="n">
        <v>1.814646</v>
      </c>
      <c r="AI78" s="16" t="n">
        <v>1.823087</v>
      </c>
      <c r="AJ78" s="16" t="n">
        <v>1.83079</v>
      </c>
      <c r="AK78" s="16" t="n">
        <v>1.838508</v>
      </c>
      <c r="AL78" s="16" t="n">
        <v>1.845955</v>
      </c>
      <c r="AM78" s="12" t="n">
        <v>0.001214</v>
      </c>
    </row>
    <row r="79" ht="15" customHeight="1">
      <c r="A79" s="11" t="inlineStr">
        <is>
          <t>RKI000:ka_Refrigeration</t>
        </is>
      </c>
      <c r="B79" s="14" t="inlineStr">
        <is>
          <t xml:space="preserve"> Refrigeration</t>
        </is>
      </c>
      <c r="C79" s="16" t="n">
        <v>0.355201</v>
      </c>
      <c r="D79" s="16" t="n">
        <v>0.35081</v>
      </c>
      <c r="E79" s="16" t="n">
        <v>0.346875</v>
      </c>
      <c r="F79" s="16" t="n">
        <v>0.343662</v>
      </c>
      <c r="G79" s="16" t="n">
        <v>0.340835</v>
      </c>
      <c r="H79" s="16" t="n">
        <v>0.338432</v>
      </c>
      <c r="I79" s="16" t="n">
        <v>0.336455</v>
      </c>
      <c r="J79" s="16" t="n">
        <v>0.334212</v>
      </c>
      <c r="K79" s="16" t="n">
        <v>0.332347</v>
      </c>
      <c r="L79" s="16" t="n">
        <v>0.330892</v>
      </c>
      <c r="M79" s="16" t="n">
        <v>0.329846</v>
      </c>
      <c r="N79" s="16" t="n">
        <v>0.329135</v>
      </c>
      <c r="O79" s="16" t="n">
        <v>0.328747</v>
      </c>
      <c r="P79" s="16" t="n">
        <v>0.328678</v>
      </c>
      <c r="Q79" s="16" t="n">
        <v>0.329</v>
      </c>
      <c r="R79" s="16" t="n">
        <v>0.32979</v>
      </c>
      <c r="S79" s="16" t="n">
        <v>0.330945</v>
      </c>
      <c r="T79" s="16" t="n">
        <v>0.332402</v>
      </c>
      <c r="U79" s="16" t="n">
        <v>0.334299</v>
      </c>
      <c r="V79" s="16" t="n">
        <v>0.336792</v>
      </c>
      <c r="W79" s="16" t="n">
        <v>0.339898</v>
      </c>
      <c r="X79" s="16" t="n">
        <v>0.343507</v>
      </c>
      <c r="Y79" s="16" t="n">
        <v>0.347132</v>
      </c>
      <c r="Z79" s="16" t="n">
        <v>0.350793</v>
      </c>
      <c r="AA79" s="16" t="n">
        <v>0.354434</v>
      </c>
      <c r="AB79" s="16" t="n">
        <v>0.358071</v>
      </c>
      <c r="AC79" s="16" t="n">
        <v>0.361684</v>
      </c>
      <c r="AD79" s="16" t="n">
        <v>0.365255</v>
      </c>
      <c r="AE79" s="16" t="n">
        <v>0.368825</v>
      </c>
      <c r="AF79" s="16" t="n">
        <v>0.37242</v>
      </c>
      <c r="AG79" s="16" t="n">
        <v>0.376024</v>
      </c>
      <c r="AH79" s="16" t="n">
        <v>0.379613</v>
      </c>
      <c r="AI79" s="16" t="n">
        <v>0.383152</v>
      </c>
      <c r="AJ79" s="16" t="n">
        <v>0.386586</v>
      </c>
      <c r="AK79" s="16" t="n">
        <v>0.389937</v>
      </c>
      <c r="AL79" s="16" t="n">
        <v>0.39322</v>
      </c>
      <c r="AM79" s="12" t="n">
        <v>0.003362</v>
      </c>
    </row>
    <row r="80" ht="15" customHeight="1">
      <c r="A80" s="11" t="inlineStr">
        <is>
          <t>RKI000:ka_Cooking</t>
        </is>
      </c>
      <c r="B80" s="14" t="inlineStr">
        <is>
          <t xml:space="preserve"> Cooking</t>
        </is>
      </c>
      <c r="C80" s="16" t="n">
        <v>0.344572</v>
      </c>
      <c r="D80" s="16" t="n">
        <v>0.345141</v>
      </c>
      <c r="E80" s="16" t="n">
        <v>0.346268</v>
      </c>
      <c r="F80" s="16" t="n">
        <v>0.347791</v>
      </c>
      <c r="G80" s="16" t="n">
        <v>0.349385</v>
      </c>
      <c r="H80" s="16" t="n">
        <v>0.351068</v>
      </c>
      <c r="I80" s="16" t="n">
        <v>0.352839</v>
      </c>
      <c r="J80" s="16" t="n">
        <v>0.354743</v>
      </c>
      <c r="K80" s="16" t="n">
        <v>0.356713</v>
      </c>
      <c r="L80" s="16" t="n">
        <v>0.358731</v>
      </c>
      <c r="M80" s="16" t="n">
        <v>0.360726</v>
      </c>
      <c r="N80" s="16" t="n">
        <v>0.362629</v>
      </c>
      <c r="O80" s="16" t="n">
        <v>0.364548</v>
      </c>
      <c r="P80" s="16" t="n">
        <v>0.366466</v>
      </c>
      <c r="Q80" s="16" t="n">
        <v>0.368472</v>
      </c>
      <c r="R80" s="16" t="n">
        <v>0.370639</v>
      </c>
      <c r="S80" s="16" t="n">
        <v>0.372883</v>
      </c>
      <c r="T80" s="16" t="n">
        <v>0.374974</v>
      </c>
      <c r="U80" s="16" t="n">
        <v>0.377063</v>
      </c>
      <c r="V80" s="16" t="n">
        <v>0.379277</v>
      </c>
      <c r="W80" s="16" t="n">
        <v>0.381614</v>
      </c>
      <c r="X80" s="16" t="n">
        <v>0.383978</v>
      </c>
      <c r="Y80" s="16" t="n">
        <v>0.386339</v>
      </c>
      <c r="Z80" s="16" t="n">
        <v>0.388727</v>
      </c>
      <c r="AA80" s="16" t="n">
        <v>0.391096</v>
      </c>
      <c r="AB80" s="16" t="n">
        <v>0.393466</v>
      </c>
      <c r="AC80" s="16" t="n">
        <v>0.395827</v>
      </c>
      <c r="AD80" s="16" t="n">
        <v>0.398166</v>
      </c>
      <c r="AE80" s="16" t="n">
        <v>0.400529</v>
      </c>
      <c r="AF80" s="16" t="n">
        <v>0.402947</v>
      </c>
      <c r="AG80" s="16" t="n">
        <v>0.405406</v>
      </c>
      <c r="AH80" s="16" t="n">
        <v>0.407893</v>
      </c>
      <c r="AI80" s="16" t="n">
        <v>0.410376</v>
      </c>
      <c r="AJ80" s="16" t="n">
        <v>0.412805</v>
      </c>
      <c r="AK80" s="16" t="n">
        <v>0.415203</v>
      </c>
      <c r="AL80" s="16" t="n">
        <v>0.417583</v>
      </c>
      <c r="AM80" s="12" t="n">
        <v>0.00562</v>
      </c>
    </row>
    <row r="81" ht="15" customHeight="1">
      <c r="A81" s="11" t="inlineStr">
        <is>
          <t>RKI000:ka_ClothesDryers</t>
        </is>
      </c>
      <c r="B81" s="14" t="inlineStr">
        <is>
          <t xml:space="preserve"> Clothes Dryers</t>
        </is>
      </c>
      <c r="C81" s="16" t="n">
        <v>0.255722</v>
      </c>
      <c r="D81" s="16" t="n">
        <v>0.258429</v>
      </c>
      <c r="E81" s="16" t="n">
        <v>0.261059</v>
      </c>
      <c r="F81" s="16" t="n">
        <v>0.264047</v>
      </c>
      <c r="G81" s="16" t="n">
        <v>0.266328</v>
      </c>
      <c r="H81" s="16" t="n">
        <v>0.267741</v>
      </c>
      <c r="I81" s="16" t="n">
        <v>0.269148</v>
      </c>
      <c r="J81" s="16" t="n">
        <v>0.270339</v>
      </c>
      <c r="K81" s="16" t="n">
        <v>0.271744</v>
      </c>
      <c r="L81" s="16" t="n">
        <v>0.273832</v>
      </c>
      <c r="M81" s="16" t="n">
        <v>0.27591</v>
      </c>
      <c r="N81" s="16" t="n">
        <v>0.277825</v>
      </c>
      <c r="O81" s="16" t="n">
        <v>0.279707</v>
      </c>
      <c r="P81" s="16" t="n">
        <v>0.281828</v>
      </c>
      <c r="Q81" s="16" t="n">
        <v>0.28415</v>
      </c>
      <c r="R81" s="16" t="n">
        <v>0.286712</v>
      </c>
      <c r="S81" s="16" t="n">
        <v>0.289323</v>
      </c>
      <c r="T81" s="16" t="n">
        <v>0.291956</v>
      </c>
      <c r="U81" s="16" t="n">
        <v>0.294752</v>
      </c>
      <c r="V81" s="16" t="n">
        <v>0.29772</v>
      </c>
      <c r="W81" s="16" t="n">
        <v>0.300659</v>
      </c>
      <c r="X81" s="16" t="n">
        <v>0.303647</v>
      </c>
      <c r="Y81" s="16" t="n">
        <v>0.306707</v>
      </c>
      <c r="Z81" s="16" t="n">
        <v>0.309845</v>
      </c>
      <c r="AA81" s="16" t="n">
        <v>0.312977</v>
      </c>
      <c r="AB81" s="16" t="n">
        <v>0.316137</v>
      </c>
      <c r="AC81" s="16" t="n">
        <v>0.319297</v>
      </c>
      <c r="AD81" s="16" t="n">
        <v>0.322343</v>
      </c>
      <c r="AE81" s="16" t="n">
        <v>0.325275</v>
      </c>
      <c r="AF81" s="16" t="n">
        <v>0.328163</v>
      </c>
      <c r="AG81" s="16" t="n">
        <v>0.331021</v>
      </c>
      <c r="AH81" s="16" t="n">
        <v>0.333887</v>
      </c>
      <c r="AI81" s="16" t="n">
        <v>0.336722</v>
      </c>
      <c r="AJ81" s="16" t="n">
        <v>0.339422</v>
      </c>
      <c r="AK81" s="16" t="n">
        <v>0.342078</v>
      </c>
      <c r="AL81" s="16" t="n">
        <v>0.344677</v>
      </c>
      <c r="AM81" s="12" t="n">
        <v>0.008506</v>
      </c>
    </row>
    <row r="82" ht="15" customHeight="1">
      <c r="A82" s="11" t="inlineStr">
        <is>
          <t>RKI000:ka_Freezers</t>
        </is>
      </c>
      <c r="B82" s="14" t="inlineStr">
        <is>
          <t xml:space="preserve"> Freezers</t>
        </is>
      </c>
      <c r="C82" s="16" t="n">
        <v>0.07543</v>
      </c>
      <c r="D82" s="16" t="n">
        <v>0.074619</v>
      </c>
      <c r="E82" s="16" t="n">
        <v>0.073888</v>
      </c>
      <c r="F82" s="16" t="n">
        <v>0.07319199999999999</v>
      </c>
      <c r="G82" s="16" t="n">
        <v>0.072462</v>
      </c>
      <c r="H82" s="16" t="n">
        <v>0.07170600000000001</v>
      </c>
      <c r="I82" s="16" t="n">
        <v>0.070935</v>
      </c>
      <c r="J82" s="16" t="n">
        <v>0.07016799999999999</v>
      </c>
      <c r="K82" s="16" t="n">
        <v>0.069453</v>
      </c>
      <c r="L82" s="16" t="n">
        <v>0.068787</v>
      </c>
      <c r="M82" s="16" t="n">
        <v>0.068159</v>
      </c>
      <c r="N82" s="16" t="n">
        <v>0.067552</v>
      </c>
      <c r="O82" s="16" t="n">
        <v>0.066966</v>
      </c>
      <c r="P82" s="16" t="n">
        <v>0.0664</v>
      </c>
      <c r="Q82" s="16" t="n">
        <v>0.065872</v>
      </c>
      <c r="R82" s="16" t="n">
        <v>0.06540700000000001</v>
      </c>
      <c r="S82" s="16" t="n">
        <v>0.064986</v>
      </c>
      <c r="T82" s="16" t="n">
        <v>0.064596</v>
      </c>
      <c r="U82" s="16" t="n">
        <v>0.064264</v>
      </c>
      <c r="V82" s="16" t="n">
        <v>0.064015</v>
      </c>
      <c r="W82" s="16" t="n">
        <v>0.06386500000000001</v>
      </c>
      <c r="X82" s="16" t="n">
        <v>0.063791</v>
      </c>
      <c r="Y82" s="16" t="n">
        <v>0.0638</v>
      </c>
      <c r="Z82" s="16" t="n">
        <v>0.063906</v>
      </c>
      <c r="AA82" s="16" t="n">
        <v>0.06410399999999999</v>
      </c>
      <c r="AB82" s="16" t="n">
        <v>0.06439499999999999</v>
      </c>
      <c r="AC82" s="16" t="n">
        <v>0.06476800000000001</v>
      </c>
      <c r="AD82" s="16" t="n">
        <v>0.065146</v>
      </c>
      <c r="AE82" s="16" t="n">
        <v>0.065538</v>
      </c>
      <c r="AF82" s="16" t="n">
        <v>0.065951</v>
      </c>
      <c r="AG82" s="16" t="n">
        <v>0.066383</v>
      </c>
      <c r="AH82" s="16" t="n">
        <v>0.06683</v>
      </c>
      <c r="AI82" s="16" t="n">
        <v>0.067283</v>
      </c>
      <c r="AJ82" s="16" t="n">
        <v>0.067733</v>
      </c>
      <c r="AK82" s="16" t="n">
        <v>0.06818200000000001</v>
      </c>
      <c r="AL82" s="16" t="n">
        <v>0.068633</v>
      </c>
      <c r="AM82" s="12" t="n">
        <v>-0.002456</v>
      </c>
    </row>
    <row r="83" ht="15" customHeight="1">
      <c r="A83" s="11" t="inlineStr">
        <is>
          <t>RKI000:ka_Lighting</t>
        </is>
      </c>
      <c r="B83" s="14" t="inlineStr">
        <is>
          <t xml:space="preserve"> Lighting</t>
        </is>
      </c>
      <c r="C83" s="16" t="n">
        <v>0.448123</v>
      </c>
      <c r="D83" s="16" t="n">
        <v>0.441566</v>
      </c>
      <c r="E83" s="16" t="n">
        <v>0.435892</v>
      </c>
      <c r="F83" s="16" t="n">
        <v>0.434207</v>
      </c>
      <c r="G83" s="16" t="n">
        <v>0.424534</v>
      </c>
      <c r="H83" s="16" t="n">
        <v>0.373465</v>
      </c>
      <c r="I83" s="16" t="n">
        <v>0.342323</v>
      </c>
      <c r="J83" s="16" t="n">
        <v>0.318797</v>
      </c>
      <c r="K83" s="16" t="n">
        <v>0.303977</v>
      </c>
      <c r="L83" s="16" t="n">
        <v>0.294402</v>
      </c>
      <c r="M83" s="16" t="n">
        <v>0.287885</v>
      </c>
      <c r="N83" s="16" t="n">
        <v>0.282972</v>
      </c>
      <c r="O83" s="16" t="n">
        <v>0.279133</v>
      </c>
      <c r="P83" s="16" t="n">
        <v>0.276178</v>
      </c>
      <c r="Q83" s="16" t="n">
        <v>0.273961</v>
      </c>
      <c r="R83" s="16" t="n">
        <v>0.264825</v>
      </c>
      <c r="S83" s="16" t="n">
        <v>0.25764</v>
      </c>
      <c r="T83" s="16" t="n">
        <v>0.252522</v>
      </c>
      <c r="U83" s="16" t="n">
        <v>0.249772</v>
      </c>
      <c r="V83" s="16" t="n">
        <v>0.249398</v>
      </c>
      <c r="W83" s="16" t="n">
        <v>0.249332</v>
      </c>
      <c r="X83" s="16" t="n">
        <v>0.249677</v>
      </c>
      <c r="Y83" s="16" t="n">
        <v>0.250358</v>
      </c>
      <c r="Z83" s="16" t="n">
        <v>0.251256</v>
      </c>
      <c r="AA83" s="16" t="n">
        <v>0.252238</v>
      </c>
      <c r="AB83" s="16" t="n">
        <v>0.248426</v>
      </c>
      <c r="AC83" s="16" t="n">
        <v>0.245436</v>
      </c>
      <c r="AD83" s="16" t="n">
        <v>0.243001</v>
      </c>
      <c r="AE83" s="16" t="n">
        <v>0.241185</v>
      </c>
      <c r="AF83" s="16" t="n">
        <v>0.240336</v>
      </c>
      <c r="AG83" s="16" t="n">
        <v>0.240358</v>
      </c>
      <c r="AH83" s="16" t="n">
        <v>0.2406</v>
      </c>
      <c r="AI83" s="16" t="n">
        <v>0.240962</v>
      </c>
      <c r="AJ83" s="16" t="n">
        <v>0.241355</v>
      </c>
      <c r="AK83" s="16" t="n">
        <v>0.241794</v>
      </c>
      <c r="AL83" s="16" t="n">
        <v>0.242266</v>
      </c>
      <c r="AM83" s="12" t="n">
        <v>-0.017501</v>
      </c>
    </row>
    <row r="84" ht="15" customHeight="1">
      <c r="A84" s="11" t="inlineStr">
        <is>
          <t>RKI000:ka_ClothesWasher</t>
        </is>
      </c>
      <c r="B84" s="14" t="inlineStr">
        <is>
          <t xml:space="preserve"> Clothes Washers 1/</t>
        </is>
      </c>
      <c r="C84" s="16" t="n">
        <v>0.026497</v>
      </c>
      <c r="D84" s="16" t="n">
        <v>0.025667</v>
      </c>
      <c r="E84" s="16" t="n">
        <v>0.024887</v>
      </c>
      <c r="F84" s="16" t="n">
        <v>0.023776</v>
      </c>
      <c r="G84" s="16" t="n">
        <v>0.02266</v>
      </c>
      <c r="H84" s="16" t="n">
        <v>0.021433</v>
      </c>
      <c r="I84" s="16" t="n">
        <v>0.020162</v>
      </c>
      <c r="J84" s="16" t="n">
        <v>0.019082</v>
      </c>
      <c r="K84" s="16" t="n">
        <v>0.018184</v>
      </c>
      <c r="L84" s="16" t="n">
        <v>0.017458</v>
      </c>
      <c r="M84" s="16" t="n">
        <v>0.016899</v>
      </c>
      <c r="N84" s="16" t="n">
        <v>0.016508</v>
      </c>
      <c r="O84" s="16" t="n">
        <v>0.016292</v>
      </c>
      <c r="P84" s="16" t="n">
        <v>0.016259</v>
      </c>
      <c r="Q84" s="16" t="n">
        <v>0.016195</v>
      </c>
      <c r="R84" s="16" t="n">
        <v>0.016114</v>
      </c>
      <c r="S84" s="16" t="n">
        <v>0.01603</v>
      </c>
      <c r="T84" s="16" t="n">
        <v>0.015958</v>
      </c>
      <c r="U84" s="16" t="n">
        <v>0.015923</v>
      </c>
      <c r="V84" s="16" t="n">
        <v>0.015941</v>
      </c>
      <c r="W84" s="16" t="n">
        <v>0.016011</v>
      </c>
      <c r="X84" s="16" t="n">
        <v>0.016119</v>
      </c>
      <c r="Y84" s="16" t="n">
        <v>0.016252</v>
      </c>
      <c r="Z84" s="16" t="n">
        <v>0.0164</v>
      </c>
      <c r="AA84" s="16" t="n">
        <v>0.016553</v>
      </c>
      <c r="AB84" s="16" t="n">
        <v>0.016707</v>
      </c>
      <c r="AC84" s="16" t="n">
        <v>0.016862</v>
      </c>
      <c r="AD84" s="16" t="n">
        <v>0.017015</v>
      </c>
      <c r="AE84" s="16" t="n">
        <v>0.01717</v>
      </c>
      <c r="AF84" s="16" t="n">
        <v>0.017327</v>
      </c>
      <c r="AG84" s="16" t="n">
        <v>0.017485</v>
      </c>
      <c r="AH84" s="16" t="n">
        <v>0.017645</v>
      </c>
      <c r="AI84" s="16" t="n">
        <v>0.017804</v>
      </c>
      <c r="AJ84" s="16" t="n">
        <v>0.01796</v>
      </c>
      <c r="AK84" s="16" t="n">
        <v>0.018114</v>
      </c>
      <c r="AL84" s="16" t="n">
        <v>0.018267</v>
      </c>
      <c r="AM84" s="12" t="n">
        <v>-0.009953</v>
      </c>
    </row>
    <row r="85" ht="15" customHeight="1">
      <c r="A85" s="11" t="inlineStr">
        <is>
          <t>RKI000:ka_Dishwashers</t>
        </is>
      </c>
      <c r="B85" s="14" t="inlineStr">
        <is>
          <t xml:space="preserve"> Dishwashers 1/</t>
        </is>
      </c>
      <c r="C85" s="16" t="n">
        <v>0.09442399999999999</v>
      </c>
      <c r="D85" s="16" t="n">
        <v>0.09450500000000001</v>
      </c>
      <c r="E85" s="16" t="n">
        <v>0.09479600000000001</v>
      </c>
      <c r="F85" s="16" t="n">
        <v>0.09522899999999999</v>
      </c>
      <c r="G85" s="16" t="n">
        <v>0.095648</v>
      </c>
      <c r="H85" s="16" t="n">
        <v>0.09604500000000001</v>
      </c>
      <c r="I85" s="16" t="n">
        <v>0.09644</v>
      </c>
      <c r="J85" s="16" t="n">
        <v>0.097098</v>
      </c>
      <c r="K85" s="16" t="n">
        <v>0.09803099999999999</v>
      </c>
      <c r="L85" s="16" t="n">
        <v>0.099282</v>
      </c>
      <c r="M85" s="16" t="n">
        <v>0.100798</v>
      </c>
      <c r="N85" s="16" t="n">
        <v>0.102534</v>
      </c>
      <c r="O85" s="16" t="n">
        <v>0.104483</v>
      </c>
      <c r="P85" s="16" t="n">
        <v>0.106602</v>
      </c>
      <c r="Q85" s="16" t="n">
        <v>0.108585</v>
      </c>
      <c r="R85" s="16" t="n">
        <v>0.110437</v>
      </c>
      <c r="S85" s="16" t="n">
        <v>0.112132</v>
      </c>
      <c r="T85" s="16" t="n">
        <v>0.11367</v>
      </c>
      <c r="U85" s="16" t="n">
        <v>0.115158</v>
      </c>
      <c r="V85" s="16" t="n">
        <v>0.116683</v>
      </c>
      <c r="W85" s="16" t="n">
        <v>0.118256</v>
      </c>
      <c r="X85" s="16" t="n">
        <v>0.119853</v>
      </c>
      <c r="Y85" s="16" t="n">
        <v>0.121467</v>
      </c>
      <c r="Z85" s="16" t="n">
        <v>0.123111</v>
      </c>
      <c r="AA85" s="16" t="n">
        <v>0.124761</v>
      </c>
      <c r="AB85" s="16" t="n">
        <v>0.126427</v>
      </c>
      <c r="AC85" s="16" t="n">
        <v>0.128099</v>
      </c>
      <c r="AD85" s="16" t="n">
        <v>0.129763</v>
      </c>
      <c r="AE85" s="16" t="n">
        <v>0.13143</v>
      </c>
      <c r="AF85" s="16" t="n">
        <v>0.133109</v>
      </c>
      <c r="AG85" s="16" t="n">
        <v>0.134785</v>
      </c>
      <c r="AH85" s="16" t="n">
        <v>0.136453</v>
      </c>
      <c r="AI85" s="16" t="n">
        <v>0.138095</v>
      </c>
      <c r="AJ85" s="16" t="n">
        <v>0.139687</v>
      </c>
      <c r="AK85" s="16" t="n">
        <v>0.141238</v>
      </c>
      <c r="AL85" s="16" t="n">
        <v>0.142754</v>
      </c>
      <c r="AM85" s="12" t="n">
        <v>0.012205</v>
      </c>
    </row>
    <row r="86" ht="15" customHeight="1">
      <c r="A86" s="11" t="inlineStr">
        <is>
          <t>RKI000:ka_ColorTelevisi</t>
        </is>
      </c>
      <c r="B86" s="14" t="inlineStr">
        <is>
          <t xml:space="preserve"> Televisions and Related Equipment 2/</t>
        </is>
      </c>
      <c r="C86" s="16" t="n">
        <v>0.288212</v>
      </c>
      <c r="D86" s="16" t="n">
        <v>0.282494</v>
      </c>
      <c r="E86" s="16" t="n">
        <v>0.2774</v>
      </c>
      <c r="F86" s="16" t="n">
        <v>0.273162</v>
      </c>
      <c r="G86" s="16" t="n">
        <v>0.26852</v>
      </c>
      <c r="H86" s="16" t="n">
        <v>0.263822</v>
      </c>
      <c r="I86" s="16" t="n">
        <v>0.259875</v>
      </c>
      <c r="J86" s="16" t="n">
        <v>0.256199</v>
      </c>
      <c r="K86" s="16" t="n">
        <v>0.253304</v>
      </c>
      <c r="L86" s="16" t="n">
        <v>0.251986</v>
      </c>
      <c r="M86" s="16" t="n">
        <v>0.251491</v>
      </c>
      <c r="N86" s="16" t="n">
        <v>0.251538</v>
      </c>
      <c r="O86" s="16" t="n">
        <v>0.252468</v>
      </c>
      <c r="P86" s="16" t="n">
        <v>0.25441</v>
      </c>
      <c r="Q86" s="16" t="n">
        <v>0.257082</v>
      </c>
      <c r="R86" s="16" t="n">
        <v>0.260393</v>
      </c>
      <c r="S86" s="16" t="n">
        <v>0.264374</v>
      </c>
      <c r="T86" s="16" t="n">
        <v>0.268873</v>
      </c>
      <c r="U86" s="16" t="n">
        <v>0.273967</v>
      </c>
      <c r="V86" s="16" t="n">
        <v>0.279572</v>
      </c>
      <c r="W86" s="16" t="n">
        <v>0.285348</v>
      </c>
      <c r="X86" s="16" t="n">
        <v>0.291337</v>
      </c>
      <c r="Y86" s="16" t="n">
        <v>0.297421</v>
      </c>
      <c r="Z86" s="16" t="n">
        <v>0.303437</v>
      </c>
      <c r="AA86" s="16" t="n">
        <v>0.309231</v>
      </c>
      <c r="AB86" s="16" t="n">
        <v>0.314683</v>
      </c>
      <c r="AC86" s="16" t="n">
        <v>0.317851</v>
      </c>
      <c r="AD86" s="16" t="n">
        <v>0.320415</v>
      </c>
      <c r="AE86" s="16" t="n">
        <v>0.322613</v>
      </c>
      <c r="AF86" s="16" t="n">
        <v>0.324784</v>
      </c>
      <c r="AG86" s="16" t="n">
        <v>0.326932</v>
      </c>
      <c r="AH86" s="16" t="n">
        <v>0.329083</v>
      </c>
      <c r="AI86" s="16" t="n">
        <v>0.331172</v>
      </c>
      <c r="AJ86" s="16" t="n">
        <v>0.333129</v>
      </c>
      <c r="AK86" s="16" t="n">
        <v>0.335039</v>
      </c>
      <c r="AL86" s="16" t="n">
        <v>0.336865</v>
      </c>
      <c r="AM86" s="12" t="n">
        <v>0.005191</v>
      </c>
    </row>
    <row r="87" ht="15" customHeight="1">
      <c r="A87" s="11" t="inlineStr">
        <is>
          <t>RKI000:ka_PersonalCompu</t>
        </is>
      </c>
      <c r="B87" s="14" t="inlineStr">
        <is>
          <t xml:space="preserve"> Computers and Related Equipment 3/</t>
        </is>
      </c>
      <c r="C87" s="16" t="n">
        <v>0.111117</v>
      </c>
      <c r="D87" s="16" t="n">
        <v>0.107827</v>
      </c>
      <c r="E87" s="16" t="n">
        <v>0.104646</v>
      </c>
      <c r="F87" s="16" t="n">
        <v>0.101712</v>
      </c>
      <c r="G87" s="16" t="n">
        <v>0.098496</v>
      </c>
      <c r="H87" s="16" t="n">
        <v>0.09514300000000001</v>
      </c>
      <c r="I87" s="16" t="n">
        <v>0.09191299999999999</v>
      </c>
      <c r="J87" s="16" t="n">
        <v>0.088654</v>
      </c>
      <c r="K87" s="16" t="n">
        <v>0.08555400000000001</v>
      </c>
      <c r="L87" s="16" t="n">
        <v>0.08287799999999999</v>
      </c>
      <c r="M87" s="16" t="n">
        <v>0.08035</v>
      </c>
      <c r="N87" s="16" t="n">
        <v>0.077899</v>
      </c>
      <c r="O87" s="16" t="n">
        <v>0.07563</v>
      </c>
      <c r="P87" s="16" t="n">
        <v>0.073536</v>
      </c>
      <c r="Q87" s="16" t="n">
        <v>0.071573</v>
      </c>
      <c r="R87" s="16" t="n">
        <v>0.069687</v>
      </c>
      <c r="S87" s="16" t="n">
        <v>0.067884</v>
      </c>
      <c r="T87" s="16" t="n">
        <v>0.066139</v>
      </c>
      <c r="U87" s="16" t="n">
        <v>0.06445099999999999</v>
      </c>
      <c r="V87" s="16" t="n">
        <v>0.062801</v>
      </c>
      <c r="W87" s="16" t="n">
        <v>0.06113</v>
      </c>
      <c r="X87" s="16" t="n">
        <v>0.059417</v>
      </c>
      <c r="Y87" s="16" t="n">
        <v>0.057759</v>
      </c>
      <c r="Z87" s="16" t="n">
        <v>0.056146</v>
      </c>
      <c r="AA87" s="16" t="n">
        <v>0.054541</v>
      </c>
      <c r="AB87" s="16" t="n">
        <v>0.052936</v>
      </c>
      <c r="AC87" s="16" t="n">
        <v>0.051434</v>
      </c>
      <c r="AD87" s="16" t="n">
        <v>0.049901</v>
      </c>
      <c r="AE87" s="16" t="n">
        <v>0.048327</v>
      </c>
      <c r="AF87" s="16" t="n">
        <v>0.046734</v>
      </c>
      <c r="AG87" s="16" t="n">
        <v>0.045077</v>
      </c>
      <c r="AH87" s="16" t="n">
        <v>0.043361</v>
      </c>
      <c r="AI87" s="16" t="n">
        <v>0.041551</v>
      </c>
      <c r="AJ87" s="16" t="n">
        <v>0.039626</v>
      </c>
      <c r="AK87" s="16" t="n">
        <v>0.03757</v>
      </c>
      <c r="AL87" s="16" t="n">
        <v>0.035389</v>
      </c>
      <c r="AM87" s="12" t="n">
        <v>-0.032238</v>
      </c>
    </row>
    <row r="88" ht="15" customHeight="1">
      <c r="A88" s="11" t="inlineStr">
        <is>
          <t>RKI000:ka_FurnaceFans</t>
        </is>
      </c>
      <c r="B88" s="14" t="inlineStr">
        <is>
          <t xml:space="preserve"> Furnace Fans and Boiler Circulation Pumps</t>
        </is>
      </c>
      <c r="C88" s="16" t="n">
        <v>0.114797</v>
      </c>
      <c r="D88" s="16" t="n">
        <v>0.109811</v>
      </c>
      <c r="E88" s="16" t="n">
        <v>0.119991</v>
      </c>
      <c r="F88" s="16" t="n">
        <v>0.122223</v>
      </c>
      <c r="G88" s="16" t="n">
        <v>0.120452</v>
      </c>
      <c r="H88" s="16" t="n">
        <v>0.120122</v>
      </c>
      <c r="I88" s="16" t="n">
        <v>0.119989</v>
      </c>
      <c r="J88" s="16" t="n">
        <v>0.119833</v>
      </c>
      <c r="K88" s="16" t="n">
        <v>0.119578</v>
      </c>
      <c r="L88" s="16" t="n">
        <v>0.11922</v>
      </c>
      <c r="M88" s="16" t="n">
        <v>0.118665</v>
      </c>
      <c r="N88" s="16" t="n">
        <v>0.117904</v>
      </c>
      <c r="O88" s="16" t="n">
        <v>0.116875</v>
      </c>
      <c r="P88" s="16" t="n">
        <v>0.115699</v>
      </c>
      <c r="Q88" s="16" t="n">
        <v>0.114435</v>
      </c>
      <c r="R88" s="16" t="n">
        <v>0.113162</v>
      </c>
      <c r="S88" s="16" t="n">
        <v>0.111815</v>
      </c>
      <c r="T88" s="16" t="n">
        <v>0.110379</v>
      </c>
      <c r="U88" s="16" t="n">
        <v>0.10903</v>
      </c>
      <c r="V88" s="16" t="n">
        <v>0.107813</v>
      </c>
      <c r="W88" s="16" t="n">
        <v>0.106655</v>
      </c>
      <c r="X88" s="16" t="n">
        <v>0.10559</v>
      </c>
      <c r="Y88" s="16" t="n">
        <v>0.104681</v>
      </c>
      <c r="Z88" s="16" t="n">
        <v>0.103934</v>
      </c>
      <c r="AA88" s="16" t="n">
        <v>0.103304</v>
      </c>
      <c r="AB88" s="16" t="n">
        <v>0.102851</v>
      </c>
      <c r="AC88" s="16" t="n">
        <v>0.102495</v>
      </c>
      <c r="AD88" s="16" t="n">
        <v>0.102194</v>
      </c>
      <c r="AE88" s="16" t="n">
        <v>0.101969</v>
      </c>
      <c r="AF88" s="16" t="n">
        <v>0.101834</v>
      </c>
      <c r="AG88" s="16" t="n">
        <v>0.101781</v>
      </c>
      <c r="AH88" s="16" t="n">
        <v>0.1018</v>
      </c>
      <c r="AI88" s="16" t="n">
        <v>0.101886</v>
      </c>
      <c r="AJ88" s="16" t="n">
        <v>0.101978</v>
      </c>
      <c r="AK88" s="16" t="n">
        <v>0.102126</v>
      </c>
      <c r="AL88" s="16" t="n">
        <v>0.1023</v>
      </c>
      <c r="AM88" s="12" t="n">
        <v>-0.002082</v>
      </c>
    </row>
    <row r="89" ht="15" customHeight="1">
      <c r="A89" s="11" t="inlineStr">
        <is>
          <t>RKI000:ka_OtherUses</t>
        </is>
      </c>
      <c r="B89" s="14" t="inlineStr">
        <is>
          <t xml:space="preserve"> Other Uses 8/</t>
        </is>
      </c>
      <c r="C89" s="16" t="n">
        <v>1.672411</v>
      </c>
      <c r="D89" s="16" t="n">
        <v>1.681542</v>
      </c>
      <c r="E89" s="16" t="n">
        <v>1.739258</v>
      </c>
      <c r="F89" s="16" t="n">
        <v>1.758239</v>
      </c>
      <c r="G89" s="16" t="n">
        <v>1.768524</v>
      </c>
      <c r="H89" s="16" t="n">
        <v>1.777576</v>
      </c>
      <c r="I89" s="16" t="n">
        <v>1.78875</v>
      </c>
      <c r="J89" s="16" t="n">
        <v>1.799361</v>
      </c>
      <c r="K89" s="16" t="n">
        <v>1.809217</v>
      </c>
      <c r="L89" s="16" t="n">
        <v>1.821864</v>
      </c>
      <c r="M89" s="16" t="n">
        <v>1.833951</v>
      </c>
      <c r="N89" s="16" t="n">
        <v>1.84357</v>
      </c>
      <c r="O89" s="16" t="n">
        <v>1.853671</v>
      </c>
      <c r="P89" s="16" t="n">
        <v>1.866135</v>
      </c>
      <c r="Q89" s="16" t="n">
        <v>1.877946</v>
      </c>
      <c r="R89" s="16" t="n">
        <v>1.887663</v>
      </c>
      <c r="S89" s="16" t="n">
        <v>1.89759</v>
      </c>
      <c r="T89" s="16" t="n">
        <v>1.908273</v>
      </c>
      <c r="U89" s="16" t="n">
        <v>1.920931</v>
      </c>
      <c r="V89" s="16" t="n">
        <v>1.934684</v>
      </c>
      <c r="W89" s="16" t="n">
        <v>1.948065</v>
      </c>
      <c r="X89" s="16" t="n">
        <v>1.961067</v>
      </c>
      <c r="Y89" s="16" t="n">
        <v>1.973966</v>
      </c>
      <c r="Z89" s="16" t="n">
        <v>1.987638</v>
      </c>
      <c r="AA89" s="16" t="n">
        <v>1.999941</v>
      </c>
      <c r="AB89" s="16" t="n">
        <v>2.010954</v>
      </c>
      <c r="AC89" s="16" t="n">
        <v>2.018618</v>
      </c>
      <c r="AD89" s="16" t="n">
        <v>2.025839</v>
      </c>
      <c r="AE89" s="16" t="n">
        <v>2.032044</v>
      </c>
      <c r="AF89" s="16" t="n">
        <v>2.037046</v>
      </c>
      <c r="AG89" s="16" t="n">
        <v>2.041348</v>
      </c>
      <c r="AH89" s="16" t="n">
        <v>2.044465</v>
      </c>
      <c r="AI89" s="16" t="n">
        <v>2.044864</v>
      </c>
      <c r="AJ89" s="16" t="n">
        <v>2.042448</v>
      </c>
      <c r="AK89" s="16" t="n">
        <v>2.039299</v>
      </c>
      <c r="AL89" s="16" t="n">
        <v>2.03456</v>
      </c>
      <c r="AM89" s="12" t="n">
        <v>0.005621</v>
      </c>
    </row>
    <row r="90" ht="15" customHeight="1">
      <c r="A90" s="11" t="inlineStr">
        <is>
          <t>RKI000:ka_DeliveredEner</t>
        </is>
      </c>
      <c r="B90" s="10" t="inlineStr">
        <is>
          <t xml:space="preserve">   Delivered Energy</t>
        </is>
      </c>
      <c r="C90" s="15" t="n">
        <v>10.972202</v>
      </c>
      <c r="D90" s="15" t="n">
        <v>10.620779</v>
      </c>
      <c r="E90" s="15" t="n">
        <v>10.90356</v>
      </c>
      <c r="F90" s="15" t="n">
        <v>10.997361</v>
      </c>
      <c r="G90" s="15" t="n">
        <v>10.968815</v>
      </c>
      <c r="H90" s="15" t="n">
        <v>10.889687</v>
      </c>
      <c r="I90" s="15" t="n">
        <v>10.839498</v>
      </c>
      <c r="J90" s="15" t="n">
        <v>10.796786</v>
      </c>
      <c r="K90" s="15" t="n">
        <v>10.76825</v>
      </c>
      <c r="L90" s="15" t="n">
        <v>10.758498</v>
      </c>
      <c r="M90" s="15" t="n">
        <v>10.749545</v>
      </c>
      <c r="N90" s="15" t="n">
        <v>10.737666</v>
      </c>
      <c r="O90" s="15" t="n">
        <v>10.721598</v>
      </c>
      <c r="P90" s="15" t="n">
        <v>10.710996</v>
      </c>
      <c r="Q90" s="15" t="n">
        <v>10.704808</v>
      </c>
      <c r="R90" s="15" t="n">
        <v>10.69488</v>
      </c>
      <c r="S90" s="15" t="n">
        <v>10.688873</v>
      </c>
      <c r="T90" s="15" t="n">
        <v>10.683883</v>
      </c>
      <c r="U90" s="15" t="n">
        <v>10.684998</v>
      </c>
      <c r="V90" s="15" t="n">
        <v>10.692446</v>
      </c>
      <c r="W90" s="15" t="n">
        <v>10.696314</v>
      </c>
      <c r="X90" s="15" t="n">
        <v>10.702528</v>
      </c>
      <c r="Y90" s="15" t="n">
        <v>10.710894</v>
      </c>
      <c r="Z90" s="15" t="n">
        <v>10.724408</v>
      </c>
      <c r="AA90" s="15" t="n">
        <v>10.738874</v>
      </c>
      <c r="AB90" s="15" t="n">
        <v>10.752034</v>
      </c>
      <c r="AC90" s="15" t="n">
        <v>10.762285</v>
      </c>
      <c r="AD90" s="15" t="n">
        <v>10.771116</v>
      </c>
      <c r="AE90" s="15" t="n">
        <v>10.778482</v>
      </c>
      <c r="AF90" s="15" t="n">
        <v>10.786453</v>
      </c>
      <c r="AG90" s="15" t="n">
        <v>10.795339</v>
      </c>
      <c r="AH90" s="15" t="n">
        <v>10.803878</v>
      </c>
      <c r="AI90" s="15" t="n">
        <v>10.810247</v>
      </c>
      <c r="AJ90" s="15" t="n">
        <v>10.809604</v>
      </c>
      <c r="AK90" s="15" t="n">
        <v>10.808146</v>
      </c>
      <c r="AL90" s="15" t="n">
        <v>10.804207</v>
      </c>
      <c r="AM90" s="8" t="n">
        <v>0.000504</v>
      </c>
    </row>
    <row r="92" ht="15" customHeight="1">
      <c r="A92" s="11" t="inlineStr">
        <is>
          <t>RKI000:la_ElectricityRe</t>
        </is>
      </c>
      <c r="B92" s="10" t="inlineStr">
        <is>
          <t>Electricity Related Losses</t>
        </is>
      </c>
      <c r="C92" s="15" t="n">
        <v>9.569791</v>
      </c>
      <c r="D92" s="15" t="n">
        <v>9.386479</v>
      </c>
      <c r="E92" s="15" t="n">
        <v>9.370535</v>
      </c>
      <c r="F92" s="15" t="n">
        <v>9.384474000000001</v>
      </c>
      <c r="G92" s="15" t="n">
        <v>9.405828</v>
      </c>
      <c r="H92" s="15" t="n">
        <v>9.347047</v>
      </c>
      <c r="I92" s="15" t="n">
        <v>9.280358</v>
      </c>
      <c r="J92" s="15" t="n">
        <v>9.219619</v>
      </c>
      <c r="K92" s="15" t="n">
        <v>9.190004999999999</v>
      </c>
      <c r="L92" s="15" t="n">
        <v>9.150983999999999</v>
      </c>
      <c r="M92" s="15" t="n">
        <v>9.097077000000001</v>
      </c>
      <c r="N92" s="15" t="n">
        <v>9.018094</v>
      </c>
      <c r="O92" s="15" t="n">
        <v>8.975626999999999</v>
      </c>
      <c r="P92" s="15" t="n">
        <v>8.940906999999999</v>
      </c>
      <c r="Q92" s="15" t="n">
        <v>8.925585999999999</v>
      </c>
      <c r="R92" s="15" t="n">
        <v>8.904574</v>
      </c>
      <c r="S92" s="15" t="n">
        <v>8.902377</v>
      </c>
      <c r="T92" s="15" t="n">
        <v>8.889162000000001</v>
      </c>
      <c r="U92" s="15" t="n">
        <v>8.917674</v>
      </c>
      <c r="V92" s="15" t="n">
        <v>8.904959</v>
      </c>
      <c r="W92" s="15" t="n">
        <v>8.878765</v>
      </c>
      <c r="X92" s="15" t="n">
        <v>8.913216</v>
      </c>
      <c r="Y92" s="15" t="n">
        <v>8.897772</v>
      </c>
      <c r="Z92" s="15" t="n">
        <v>8.914825</v>
      </c>
      <c r="AA92" s="15" t="n">
        <v>8.932128000000001</v>
      </c>
      <c r="AB92" s="15" t="n">
        <v>8.960385</v>
      </c>
      <c r="AC92" s="15" t="n">
        <v>8.965120000000001</v>
      </c>
      <c r="AD92" s="15" t="n">
        <v>8.972742</v>
      </c>
      <c r="AE92" s="15" t="n">
        <v>8.988356</v>
      </c>
      <c r="AF92" s="15" t="n">
        <v>8.982656</v>
      </c>
      <c r="AG92" s="15" t="n">
        <v>8.951746999999999</v>
      </c>
      <c r="AH92" s="15" t="n">
        <v>8.935314</v>
      </c>
      <c r="AI92" s="15" t="n">
        <v>8.909015999999999</v>
      </c>
      <c r="AJ92" s="15" t="n">
        <v>8.891895999999999</v>
      </c>
      <c r="AK92" s="15" t="n">
        <v>8.883463000000001</v>
      </c>
      <c r="AL92" s="15" t="n">
        <v>8.821958</v>
      </c>
      <c r="AM92" s="8" t="n">
        <v>-0.001823</v>
      </c>
    </row>
    <row r="94" ht="15" customHeight="1">
      <c r="B94" s="10" t="inlineStr">
        <is>
          <t>Total Energy Consumption by End Use</t>
        </is>
      </c>
    </row>
    <row r="95" ht="15" customHeight="1">
      <c r="A95" s="11" t="inlineStr">
        <is>
          <t>RKI000:ma_SpaceHeating</t>
        </is>
      </c>
      <c r="B95" s="14" t="inlineStr">
        <is>
          <t xml:space="preserve"> Space Heating</t>
        </is>
      </c>
      <c r="C95" s="16" t="n">
        <v>5.268241</v>
      </c>
      <c r="D95" s="16" t="n">
        <v>4.849652</v>
      </c>
      <c r="E95" s="16" t="n">
        <v>5.236599</v>
      </c>
      <c r="F95" s="16" t="n">
        <v>5.305098</v>
      </c>
      <c r="G95" s="16" t="n">
        <v>5.283724</v>
      </c>
      <c r="H95" s="16" t="n">
        <v>5.256125</v>
      </c>
      <c r="I95" s="16" t="n">
        <v>5.224988</v>
      </c>
      <c r="J95" s="16" t="n">
        <v>5.19224</v>
      </c>
      <c r="K95" s="16" t="n">
        <v>5.161564</v>
      </c>
      <c r="L95" s="16" t="n">
        <v>5.13305</v>
      </c>
      <c r="M95" s="16" t="n">
        <v>5.102129</v>
      </c>
      <c r="N95" s="16" t="n">
        <v>5.067314</v>
      </c>
      <c r="O95" s="16" t="n">
        <v>5.030704</v>
      </c>
      <c r="P95" s="16" t="n">
        <v>4.993675</v>
      </c>
      <c r="Q95" s="16" t="n">
        <v>4.960332</v>
      </c>
      <c r="R95" s="16" t="n">
        <v>4.931818</v>
      </c>
      <c r="S95" s="16" t="n">
        <v>4.905473</v>
      </c>
      <c r="T95" s="16" t="n">
        <v>4.877793</v>
      </c>
      <c r="U95" s="16" t="n">
        <v>4.853668</v>
      </c>
      <c r="V95" s="16" t="n">
        <v>4.828734</v>
      </c>
      <c r="W95" s="16" t="n">
        <v>4.800081</v>
      </c>
      <c r="X95" s="16" t="n">
        <v>4.777699</v>
      </c>
      <c r="Y95" s="16" t="n">
        <v>4.753046</v>
      </c>
      <c r="Z95" s="16" t="n">
        <v>4.731459</v>
      </c>
      <c r="AA95" s="16" t="n">
        <v>4.710371</v>
      </c>
      <c r="AB95" s="16" t="n">
        <v>4.692842</v>
      </c>
      <c r="AC95" s="16" t="n">
        <v>4.673488</v>
      </c>
      <c r="AD95" s="16" t="n">
        <v>4.652143</v>
      </c>
      <c r="AE95" s="16" t="n">
        <v>4.630694</v>
      </c>
      <c r="AF95" s="16" t="n">
        <v>4.608259</v>
      </c>
      <c r="AG95" s="16" t="n">
        <v>4.584851</v>
      </c>
      <c r="AH95" s="16" t="n">
        <v>4.56287</v>
      </c>
      <c r="AI95" s="16" t="n">
        <v>4.541918</v>
      </c>
      <c r="AJ95" s="16" t="n">
        <v>4.520416</v>
      </c>
      <c r="AK95" s="16" t="n">
        <v>4.500524</v>
      </c>
      <c r="AL95" s="16" t="n">
        <v>4.477851</v>
      </c>
      <c r="AM95" s="12" t="n">
        <v>-0.002343</v>
      </c>
    </row>
    <row r="96" ht="15" customHeight="1">
      <c r="A96" s="11" t="inlineStr">
        <is>
          <t>RKI000:ma_SpaceCooling</t>
        </is>
      </c>
      <c r="B96" s="14" t="inlineStr">
        <is>
          <t xml:space="preserve"> Space Cooling</t>
        </is>
      </c>
      <c r="C96" s="16" t="n">
        <v>2.408715</v>
      </c>
      <c r="D96" s="16" t="n">
        <v>2.512719</v>
      </c>
      <c r="E96" s="16" t="n">
        <v>2.195516</v>
      </c>
      <c r="F96" s="16" t="n">
        <v>2.260591</v>
      </c>
      <c r="G96" s="16" t="n">
        <v>2.269943</v>
      </c>
      <c r="H96" s="16" t="n">
        <v>2.273883</v>
      </c>
      <c r="I96" s="16" t="n">
        <v>2.272711</v>
      </c>
      <c r="J96" s="16" t="n">
        <v>2.26714</v>
      </c>
      <c r="K96" s="16" t="n">
        <v>2.267104</v>
      </c>
      <c r="L96" s="16" t="n">
        <v>2.268068</v>
      </c>
      <c r="M96" s="16" t="n">
        <v>2.264536</v>
      </c>
      <c r="N96" s="16" t="n">
        <v>2.257549</v>
      </c>
      <c r="O96" s="16" t="n">
        <v>2.257551</v>
      </c>
      <c r="P96" s="16" t="n">
        <v>2.259714</v>
      </c>
      <c r="Q96" s="16" t="n">
        <v>2.266055</v>
      </c>
      <c r="R96" s="16" t="n">
        <v>2.273887</v>
      </c>
      <c r="S96" s="16" t="n">
        <v>2.28631</v>
      </c>
      <c r="T96" s="16" t="n">
        <v>2.294811</v>
      </c>
      <c r="U96" s="16" t="n">
        <v>2.309582</v>
      </c>
      <c r="V96" s="16" t="n">
        <v>2.316123</v>
      </c>
      <c r="W96" s="16" t="n">
        <v>2.319637</v>
      </c>
      <c r="X96" s="16" t="n">
        <v>2.332221</v>
      </c>
      <c r="Y96" s="16" t="n">
        <v>2.335111</v>
      </c>
      <c r="Z96" s="16" t="n">
        <v>2.343639</v>
      </c>
      <c r="AA96" s="16" t="n">
        <v>2.351417</v>
      </c>
      <c r="AB96" s="16" t="n">
        <v>2.361386</v>
      </c>
      <c r="AC96" s="16" t="n">
        <v>2.36799</v>
      </c>
      <c r="AD96" s="16" t="n">
        <v>2.374475</v>
      </c>
      <c r="AE96" s="16" t="n">
        <v>2.380298</v>
      </c>
      <c r="AF96" s="16" t="n">
        <v>2.381475</v>
      </c>
      <c r="AG96" s="16" t="n">
        <v>2.377711</v>
      </c>
      <c r="AH96" s="16" t="n">
        <v>2.376056</v>
      </c>
      <c r="AI96" s="16" t="n">
        <v>2.372265</v>
      </c>
      <c r="AJ96" s="16" t="n">
        <v>2.367709</v>
      </c>
      <c r="AK96" s="16" t="n">
        <v>2.363313</v>
      </c>
      <c r="AL96" s="16" t="n">
        <v>2.349587</v>
      </c>
      <c r="AM96" s="12" t="n">
        <v>-0.001972</v>
      </c>
    </row>
    <row r="97" ht="15" customHeight="1">
      <c r="A97" s="11" t="inlineStr">
        <is>
          <t>RKI000:ma_WaterHeating</t>
        </is>
      </c>
      <c r="B97" s="14" t="inlineStr">
        <is>
          <t xml:space="preserve"> Water Heating</t>
        </is>
      </c>
      <c r="C97" s="16" t="n">
        <v>2.666933</v>
      </c>
      <c r="D97" s="16" t="n">
        <v>2.66032</v>
      </c>
      <c r="E97" s="16" t="n">
        <v>2.673518</v>
      </c>
      <c r="F97" s="16" t="n">
        <v>2.672441</v>
      </c>
      <c r="G97" s="16" t="n">
        <v>2.681228</v>
      </c>
      <c r="H97" s="16" t="n">
        <v>2.685337</v>
      </c>
      <c r="I97" s="16" t="n">
        <v>2.689156</v>
      </c>
      <c r="J97" s="16" t="n">
        <v>2.692715</v>
      </c>
      <c r="K97" s="16" t="n">
        <v>2.699424</v>
      </c>
      <c r="L97" s="16" t="n">
        <v>2.706035</v>
      </c>
      <c r="M97" s="16" t="n">
        <v>2.707633</v>
      </c>
      <c r="N97" s="16" t="n">
        <v>2.70436</v>
      </c>
      <c r="O97" s="16" t="n">
        <v>2.700288</v>
      </c>
      <c r="P97" s="16" t="n">
        <v>2.69592</v>
      </c>
      <c r="Q97" s="16" t="n">
        <v>2.693214</v>
      </c>
      <c r="R97" s="16" t="n">
        <v>2.6905</v>
      </c>
      <c r="S97" s="16" t="n">
        <v>2.687063</v>
      </c>
      <c r="T97" s="16" t="n">
        <v>2.679965</v>
      </c>
      <c r="U97" s="16" t="n">
        <v>2.673964</v>
      </c>
      <c r="V97" s="16" t="n">
        <v>2.661279</v>
      </c>
      <c r="W97" s="16" t="n">
        <v>2.644436</v>
      </c>
      <c r="X97" s="16" t="n">
        <v>2.63283</v>
      </c>
      <c r="Y97" s="16" t="n">
        <v>2.617745</v>
      </c>
      <c r="Z97" s="16" t="n">
        <v>2.608674</v>
      </c>
      <c r="AA97" s="16" t="n">
        <v>2.603496</v>
      </c>
      <c r="AB97" s="16" t="n">
        <v>2.604869</v>
      </c>
      <c r="AC97" s="16" t="n">
        <v>2.608663</v>
      </c>
      <c r="AD97" s="16" t="n">
        <v>2.615046</v>
      </c>
      <c r="AE97" s="16" t="n">
        <v>2.623626</v>
      </c>
      <c r="AF97" s="16" t="n">
        <v>2.631282</v>
      </c>
      <c r="AG97" s="16" t="n">
        <v>2.637054</v>
      </c>
      <c r="AH97" s="16" t="n">
        <v>2.644719</v>
      </c>
      <c r="AI97" s="16" t="n">
        <v>2.651956</v>
      </c>
      <c r="AJ97" s="16" t="n">
        <v>2.659749</v>
      </c>
      <c r="AK97" s="16" t="n">
        <v>2.668476</v>
      </c>
      <c r="AL97" s="16" t="n">
        <v>2.672121</v>
      </c>
      <c r="AM97" s="12" t="n">
        <v>0.00013</v>
      </c>
    </row>
    <row r="98" ht="15" customHeight="1">
      <c r="A98" s="11" t="inlineStr">
        <is>
          <t>RKI000:ma_Refrigeration</t>
        </is>
      </c>
      <c r="B98" s="14" t="inlineStr">
        <is>
          <t xml:space="preserve"> Refrigeration</t>
        </is>
      </c>
      <c r="C98" s="16" t="n">
        <v>1.066866</v>
      </c>
      <c r="D98" s="16" t="n">
        <v>1.03531</v>
      </c>
      <c r="E98" s="16" t="n">
        <v>1.026782</v>
      </c>
      <c r="F98" s="16" t="n">
        <v>1.010659</v>
      </c>
      <c r="G98" s="16" t="n">
        <v>1.004718</v>
      </c>
      <c r="H98" s="16" t="n">
        <v>1.001102</v>
      </c>
      <c r="I98" s="16" t="n">
        <v>0.994586</v>
      </c>
      <c r="J98" s="16" t="n">
        <v>0.98709</v>
      </c>
      <c r="K98" s="16" t="n">
        <v>0.981278</v>
      </c>
      <c r="L98" s="16" t="n">
        <v>0.973725</v>
      </c>
      <c r="M98" s="16" t="n">
        <v>0.965898</v>
      </c>
      <c r="N98" s="16" t="n">
        <v>0.957413</v>
      </c>
      <c r="O98" s="16" t="n">
        <v>0.951776</v>
      </c>
      <c r="P98" s="16" t="n">
        <v>0.946801</v>
      </c>
      <c r="Q98" s="16" t="n">
        <v>0.944132</v>
      </c>
      <c r="R98" s="16" t="n">
        <v>0.943524</v>
      </c>
      <c r="S98" s="16" t="n">
        <v>0.944748</v>
      </c>
      <c r="T98" s="16" t="n">
        <v>0.9457140000000001</v>
      </c>
      <c r="U98" s="16" t="n">
        <v>0.950103</v>
      </c>
      <c r="V98" s="16" t="n">
        <v>0.952675</v>
      </c>
      <c r="W98" s="16" t="n">
        <v>0.956005</v>
      </c>
      <c r="X98" s="16" t="n">
        <v>0.964849</v>
      </c>
      <c r="Y98" s="16" t="n">
        <v>0.970172</v>
      </c>
      <c r="Z98" s="16" t="n">
        <v>0.977582</v>
      </c>
      <c r="AA98" s="16" t="n">
        <v>0.985046</v>
      </c>
      <c r="AB98" s="16" t="n">
        <v>0.99402</v>
      </c>
      <c r="AC98" s="16" t="n">
        <v>1.001758</v>
      </c>
      <c r="AD98" s="16" t="n">
        <v>1.009633</v>
      </c>
      <c r="AE98" s="16" t="n">
        <v>1.01825</v>
      </c>
      <c r="AF98" s="16" t="n">
        <v>1.025445</v>
      </c>
      <c r="AG98" s="16" t="n">
        <v>1.030799</v>
      </c>
      <c r="AH98" s="16" t="n">
        <v>1.037295</v>
      </c>
      <c r="AI98" s="16" t="n">
        <v>1.043307</v>
      </c>
      <c r="AJ98" s="16" t="n">
        <v>1.0503</v>
      </c>
      <c r="AK98" s="16" t="n">
        <v>1.057924</v>
      </c>
      <c r="AL98" s="16" t="n">
        <v>1.061636</v>
      </c>
      <c r="AM98" s="12" t="n">
        <v>0.000739</v>
      </c>
    </row>
    <row r="99" ht="15" customHeight="1">
      <c r="A99" s="11" t="inlineStr">
        <is>
          <t>RKI000:ma_Cooking</t>
        </is>
      </c>
      <c r="B99" s="14" t="inlineStr">
        <is>
          <t xml:space="preserve"> Cooking</t>
        </is>
      </c>
      <c r="C99" s="16" t="n">
        <v>0.560779</v>
      </c>
      <c r="D99" s="16" t="n">
        <v>0.557579</v>
      </c>
      <c r="E99" s="16" t="n">
        <v>0.56206</v>
      </c>
      <c r="F99" s="16" t="n">
        <v>0.5641699999999999</v>
      </c>
      <c r="G99" s="16" t="n">
        <v>0.5693279999999999</v>
      </c>
      <c r="H99" s="16" t="n">
        <v>0.57507</v>
      </c>
      <c r="I99" s="16" t="n">
        <v>0.579614</v>
      </c>
      <c r="J99" s="16" t="n">
        <v>0.584325</v>
      </c>
      <c r="K99" s="16" t="n">
        <v>0.58933</v>
      </c>
      <c r="L99" s="16" t="n">
        <v>0.593329</v>
      </c>
      <c r="M99" s="16" t="n">
        <v>0.596674</v>
      </c>
      <c r="N99" s="16" t="n">
        <v>0.599156</v>
      </c>
      <c r="O99" s="16" t="n">
        <v>0.602201</v>
      </c>
      <c r="P99" s="16" t="n">
        <v>0.6049909999999999</v>
      </c>
      <c r="Q99" s="16" t="n">
        <v>0.608247</v>
      </c>
      <c r="R99" s="16" t="n">
        <v>0.611926</v>
      </c>
      <c r="S99" s="16" t="n">
        <v>0.615917</v>
      </c>
      <c r="T99" s="16" t="n">
        <v>0.619178</v>
      </c>
      <c r="U99" s="16" t="n">
        <v>0.623294</v>
      </c>
      <c r="V99" s="16" t="n">
        <v>0.626227</v>
      </c>
      <c r="W99" s="16" t="n">
        <v>0.628982</v>
      </c>
      <c r="X99" s="16" t="n">
        <v>0.633426</v>
      </c>
      <c r="Y99" s="16" t="n">
        <v>0.6364300000000001</v>
      </c>
      <c r="Z99" s="16" t="n">
        <v>0.640275</v>
      </c>
      <c r="AA99" s="16" t="n">
        <v>0.644123</v>
      </c>
      <c r="AB99" s="16" t="n">
        <v>0.648575</v>
      </c>
      <c r="AC99" s="16" t="n">
        <v>0.652532</v>
      </c>
      <c r="AD99" s="16" t="n">
        <v>0.656552</v>
      </c>
      <c r="AE99" s="16" t="n">
        <v>0.66091</v>
      </c>
      <c r="AF99" s="16" t="n">
        <v>0.664759</v>
      </c>
      <c r="AG99" s="16" t="n">
        <v>0.667925</v>
      </c>
      <c r="AH99" s="16" t="n">
        <v>0.671605</v>
      </c>
      <c r="AI99" s="16" t="n">
        <v>0.675134</v>
      </c>
      <c r="AJ99" s="16" t="n">
        <v>0.67907</v>
      </c>
      <c r="AK99" s="16" t="n">
        <v>0.683292</v>
      </c>
      <c r="AL99" s="16" t="n">
        <v>0.685982</v>
      </c>
      <c r="AM99" s="12" t="n">
        <v>0.006114</v>
      </c>
    </row>
    <row r="100" ht="15" customHeight="1">
      <c r="A100" s="11" t="inlineStr">
        <is>
          <t>RKI000:ma_ClothesDryers</t>
        </is>
      </c>
      <c r="B100" s="14" t="inlineStr">
        <is>
          <t xml:space="preserve"> Clothes Dryers</t>
        </is>
      </c>
      <c r="C100" s="16" t="n">
        <v>0.6657189999999999</v>
      </c>
      <c r="D100" s="16" t="n">
        <v>0.662099</v>
      </c>
      <c r="E100" s="16" t="n">
        <v>0.671298</v>
      </c>
      <c r="F100" s="16" t="n">
        <v>0.675583</v>
      </c>
      <c r="G100" s="16" t="n">
        <v>0.683272</v>
      </c>
      <c r="H100" s="16" t="n">
        <v>0.689003</v>
      </c>
      <c r="I100" s="16" t="n">
        <v>0.692084</v>
      </c>
      <c r="J100" s="16" t="n">
        <v>0.694303</v>
      </c>
      <c r="K100" s="16" t="n">
        <v>0.697485</v>
      </c>
      <c r="L100" s="16" t="n">
        <v>0.70074</v>
      </c>
      <c r="M100" s="16" t="n">
        <v>0.702981</v>
      </c>
      <c r="N100" s="16" t="n">
        <v>0.703612</v>
      </c>
      <c r="O100" s="16" t="n">
        <v>0.705698</v>
      </c>
      <c r="P100" s="16" t="n">
        <v>0.708162</v>
      </c>
      <c r="Q100" s="16" t="n">
        <v>0.711818</v>
      </c>
      <c r="R100" s="16" t="n">
        <v>0.7164430000000001</v>
      </c>
      <c r="S100" s="16" t="n">
        <v>0.721743</v>
      </c>
      <c r="T100" s="16" t="n">
        <v>0.726288</v>
      </c>
      <c r="U100" s="16" t="n">
        <v>0.732759</v>
      </c>
      <c r="V100" s="16" t="n">
        <v>0.73717</v>
      </c>
      <c r="W100" s="16" t="n">
        <v>0.740824</v>
      </c>
      <c r="X100" s="16" t="n">
        <v>0.747515</v>
      </c>
      <c r="Y100" s="16" t="n">
        <v>0.7518280000000001</v>
      </c>
      <c r="Z100" s="16" t="n">
        <v>0.757731</v>
      </c>
      <c r="AA100" s="16" t="n">
        <v>0.763706</v>
      </c>
      <c r="AB100" s="16" t="n">
        <v>0.770811</v>
      </c>
      <c r="AC100" s="16" t="n">
        <v>0.777081</v>
      </c>
      <c r="AD100" s="16" t="n">
        <v>0.783265</v>
      </c>
      <c r="AE100" s="16" t="n">
        <v>0.789703</v>
      </c>
      <c r="AF100" s="16" t="n">
        <v>0.794954</v>
      </c>
      <c r="AG100" s="16" t="n">
        <v>0.798787</v>
      </c>
      <c r="AH100" s="16" t="n">
        <v>0.803472</v>
      </c>
      <c r="AI100" s="16" t="n">
        <v>0.807818</v>
      </c>
      <c r="AJ100" s="16" t="n">
        <v>0.812746</v>
      </c>
      <c r="AK100" s="16" t="n">
        <v>0.818159</v>
      </c>
      <c r="AL100" s="16" t="n">
        <v>0.820776</v>
      </c>
      <c r="AM100" s="12" t="n">
        <v>0.006339</v>
      </c>
    </row>
    <row r="101" ht="15" customHeight="1">
      <c r="A101" s="11" t="inlineStr">
        <is>
          <t>RKI000:ma_Freezers</t>
        </is>
      </c>
      <c r="B101" s="14" t="inlineStr">
        <is>
          <t xml:space="preserve"> Freezers</t>
        </is>
      </c>
      <c r="C101" s="16" t="n">
        <v>0.226559</v>
      </c>
      <c r="D101" s="16" t="n">
        <v>0.220215</v>
      </c>
      <c r="E101" s="16" t="n">
        <v>0.218715</v>
      </c>
      <c r="F101" s="16" t="n">
        <v>0.215245</v>
      </c>
      <c r="G101" s="16" t="n">
        <v>0.213605</v>
      </c>
      <c r="H101" s="16" t="n">
        <v>0.212111</v>
      </c>
      <c r="I101" s="16" t="n">
        <v>0.209688</v>
      </c>
      <c r="J101" s="16" t="n">
        <v>0.207241</v>
      </c>
      <c r="K101" s="16" t="n">
        <v>0.205063</v>
      </c>
      <c r="L101" s="16" t="n">
        <v>0.202423</v>
      </c>
      <c r="M101" s="16" t="n">
        <v>0.199592</v>
      </c>
      <c r="N101" s="16" t="n">
        <v>0.196501</v>
      </c>
      <c r="O101" s="16" t="n">
        <v>0.193877</v>
      </c>
      <c r="P101" s="16" t="n">
        <v>0.191275</v>
      </c>
      <c r="Q101" s="16" t="n">
        <v>0.189032</v>
      </c>
      <c r="R101" s="16" t="n">
        <v>0.18713</v>
      </c>
      <c r="S101" s="16" t="n">
        <v>0.185516</v>
      </c>
      <c r="T101" s="16" t="n">
        <v>0.183781</v>
      </c>
      <c r="U101" s="16" t="n">
        <v>0.182644</v>
      </c>
      <c r="V101" s="16" t="n">
        <v>0.181079</v>
      </c>
      <c r="W101" s="16" t="n">
        <v>0.179627</v>
      </c>
      <c r="X101" s="16" t="n">
        <v>0.179177</v>
      </c>
      <c r="Y101" s="16" t="n">
        <v>0.178311</v>
      </c>
      <c r="Z101" s="16" t="n">
        <v>0.178093</v>
      </c>
      <c r="AA101" s="16" t="n">
        <v>0.178157</v>
      </c>
      <c r="AB101" s="16" t="n">
        <v>0.178765</v>
      </c>
      <c r="AC101" s="16" t="n">
        <v>0.179388</v>
      </c>
      <c r="AD101" s="16" t="n">
        <v>0.180074</v>
      </c>
      <c r="AE101" s="16" t="n">
        <v>0.180936</v>
      </c>
      <c r="AF101" s="16" t="n">
        <v>0.181593</v>
      </c>
      <c r="AG101" s="16" t="n">
        <v>0.181977</v>
      </c>
      <c r="AH101" s="16" t="n">
        <v>0.182612</v>
      </c>
      <c r="AI101" s="16" t="n">
        <v>0.183209</v>
      </c>
      <c r="AJ101" s="16" t="n">
        <v>0.184022</v>
      </c>
      <c r="AK101" s="16" t="n">
        <v>0.184983</v>
      </c>
      <c r="AL101" s="16" t="n">
        <v>0.1853</v>
      </c>
      <c r="AM101" s="12" t="n">
        <v>-0.005064</v>
      </c>
    </row>
    <row r="102" ht="15" customHeight="1">
      <c r="A102" s="11" t="inlineStr">
        <is>
          <t>RKI000:ma_Lighting</t>
        </is>
      </c>
      <c r="B102" s="14" t="inlineStr">
        <is>
          <t xml:space="preserve"> Lighting</t>
        </is>
      </c>
      <c r="C102" s="16" t="n">
        <v>1.345962</v>
      </c>
      <c r="D102" s="16" t="n">
        <v>1.303149</v>
      </c>
      <c r="E102" s="16" t="n">
        <v>1.290281</v>
      </c>
      <c r="F102" s="16" t="n">
        <v>1.276937</v>
      </c>
      <c r="G102" s="16" t="n">
        <v>1.251448</v>
      </c>
      <c r="H102" s="16" t="n">
        <v>1.10473</v>
      </c>
      <c r="I102" s="16" t="n">
        <v>1.011932</v>
      </c>
      <c r="J102" s="16" t="n">
        <v>0.941563</v>
      </c>
      <c r="K102" s="16" t="n">
        <v>0.897514</v>
      </c>
      <c r="L102" s="16" t="n">
        <v>0.8663459999999999</v>
      </c>
      <c r="M102" s="16" t="n">
        <v>0.843022</v>
      </c>
      <c r="N102" s="16" t="n">
        <v>0.82313</v>
      </c>
      <c r="O102" s="16" t="n">
        <v>0.808136</v>
      </c>
      <c r="P102" s="16" t="n">
        <v>0.7955680000000001</v>
      </c>
      <c r="Q102" s="16" t="n">
        <v>0.786188</v>
      </c>
      <c r="R102" s="16" t="n">
        <v>0.75766</v>
      </c>
      <c r="S102" s="16" t="n">
        <v>0.735483</v>
      </c>
      <c r="T102" s="16" t="n">
        <v>0.718448</v>
      </c>
      <c r="U102" s="16" t="n">
        <v>0.709869</v>
      </c>
      <c r="V102" s="16" t="n">
        <v>0.705466</v>
      </c>
      <c r="W102" s="16" t="n">
        <v>0.701277</v>
      </c>
      <c r="X102" s="16" t="n">
        <v>0.701299</v>
      </c>
      <c r="Y102" s="16" t="n">
        <v>0.6997060000000001</v>
      </c>
      <c r="Z102" s="16" t="n">
        <v>0.700195</v>
      </c>
      <c r="AA102" s="16" t="n">
        <v>0.701023</v>
      </c>
      <c r="AB102" s="16" t="n">
        <v>0.689642</v>
      </c>
      <c r="AC102" s="16" t="n">
        <v>0.679785</v>
      </c>
      <c r="AD102" s="16" t="n">
        <v>0.6717</v>
      </c>
      <c r="AE102" s="16" t="n">
        <v>0.665863</v>
      </c>
      <c r="AF102" s="16" t="n">
        <v>0.661756</v>
      </c>
      <c r="AG102" s="16" t="n">
        <v>0.658897</v>
      </c>
      <c r="AH102" s="16" t="n">
        <v>0.6574410000000001</v>
      </c>
      <c r="AI102" s="16" t="n">
        <v>0.656129</v>
      </c>
      <c r="AJ102" s="16" t="n">
        <v>0.6557269999999999</v>
      </c>
      <c r="AK102" s="16" t="n">
        <v>0.656002</v>
      </c>
      <c r="AL102" s="16" t="n">
        <v>0.6540820000000001</v>
      </c>
      <c r="AM102" s="12" t="n">
        <v>-0.02007</v>
      </c>
    </row>
    <row r="103" ht="15" customHeight="1">
      <c r="A103" s="11" t="inlineStr">
        <is>
          <t>RKI000:ma_ClothesWasher</t>
        </is>
      </c>
      <c r="B103" s="14" t="inlineStr">
        <is>
          <t xml:space="preserve"> Clothes Washers 1/</t>
        </is>
      </c>
      <c r="C103" s="16" t="n">
        <v>0.079586</v>
      </c>
      <c r="D103" s="16" t="n">
        <v>0.075749</v>
      </c>
      <c r="E103" s="16" t="n">
        <v>0.073666</v>
      </c>
      <c r="F103" s="16" t="n">
        <v>0.069921</v>
      </c>
      <c r="G103" s="16" t="n">
        <v>0.06679599999999999</v>
      </c>
      <c r="H103" s="16" t="n">
        <v>0.063401</v>
      </c>
      <c r="I103" s="16" t="n">
        <v>0.0596</v>
      </c>
      <c r="J103" s="16" t="n">
        <v>0.056357</v>
      </c>
      <c r="K103" s="16" t="n">
        <v>0.053689</v>
      </c>
      <c r="L103" s="16" t="n">
        <v>0.051373</v>
      </c>
      <c r="M103" s="16" t="n">
        <v>0.049487</v>
      </c>
      <c r="N103" s="16" t="n">
        <v>0.048019</v>
      </c>
      <c r="O103" s="16" t="n">
        <v>0.047168</v>
      </c>
      <c r="P103" s="16" t="n">
        <v>0.046835</v>
      </c>
      <c r="Q103" s="16" t="n">
        <v>0.046474</v>
      </c>
      <c r="R103" s="16" t="n">
        <v>0.046103</v>
      </c>
      <c r="S103" s="16" t="n">
        <v>0.045761</v>
      </c>
      <c r="T103" s="16" t="n">
        <v>0.045402</v>
      </c>
      <c r="U103" s="16" t="n">
        <v>0.045254</v>
      </c>
      <c r="V103" s="16" t="n">
        <v>0.045091</v>
      </c>
      <c r="W103" s="16" t="n">
        <v>0.045032</v>
      </c>
      <c r="X103" s="16" t="n">
        <v>0.045276</v>
      </c>
      <c r="Y103" s="16" t="n">
        <v>0.045422</v>
      </c>
      <c r="Z103" s="16" t="n">
        <v>0.045703</v>
      </c>
      <c r="AA103" s="16" t="n">
        <v>0.046004</v>
      </c>
      <c r="AB103" s="16" t="n">
        <v>0.04638</v>
      </c>
      <c r="AC103" s="16" t="n">
        <v>0.046702</v>
      </c>
      <c r="AD103" s="16" t="n">
        <v>0.047033</v>
      </c>
      <c r="AE103" s="16" t="n">
        <v>0.047402</v>
      </c>
      <c r="AF103" s="16" t="n">
        <v>0.047709</v>
      </c>
      <c r="AG103" s="16" t="n">
        <v>0.047933</v>
      </c>
      <c r="AH103" s="16" t="n">
        <v>0.048215</v>
      </c>
      <c r="AI103" s="16" t="n">
        <v>0.04848</v>
      </c>
      <c r="AJ103" s="16" t="n">
        <v>0.048795</v>
      </c>
      <c r="AK103" s="16" t="n">
        <v>0.049146</v>
      </c>
      <c r="AL103" s="16" t="n">
        <v>0.049319</v>
      </c>
      <c r="AM103" s="12" t="n">
        <v>-0.012542</v>
      </c>
    </row>
    <row r="104" ht="15" customHeight="1">
      <c r="A104" s="11" t="inlineStr">
        <is>
          <t>RKI000:ma_Dishwashers</t>
        </is>
      </c>
      <c r="B104" s="14" t="inlineStr">
        <is>
          <t xml:space="preserve"> Dishwashers 1/</t>
        </is>
      </c>
      <c r="C104" s="16" t="n">
        <v>0.283609</v>
      </c>
      <c r="D104" s="16" t="n">
        <v>0.278904</v>
      </c>
      <c r="E104" s="16" t="n">
        <v>0.280605</v>
      </c>
      <c r="F104" s="16" t="n">
        <v>0.280055</v>
      </c>
      <c r="G104" s="16" t="n">
        <v>0.281952</v>
      </c>
      <c r="H104" s="16" t="n">
        <v>0.284107</v>
      </c>
      <c r="I104" s="16" t="n">
        <v>0.285084</v>
      </c>
      <c r="J104" s="16" t="n">
        <v>0.286776</v>
      </c>
      <c r="K104" s="16" t="n">
        <v>0.289442</v>
      </c>
      <c r="L104" s="16" t="n">
        <v>0.29216</v>
      </c>
      <c r="M104" s="16" t="n">
        <v>0.29517</v>
      </c>
      <c r="N104" s="16" t="n">
        <v>0.298259</v>
      </c>
      <c r="O104" s="16" t="n">
        <v>0.302494</v>
      </c>
      <c r="P104" s="16" t="n">
        <v>0.307081</v>
      </c>
      <c r="Q104" s="16" t="n">
        <v>0.311607</v>
      </c>
      <c r="R104" s="16" t="n">
        <v>0.315957</v>
      </c>
      <c r="S104" s="16" t="n">
        <v>0.320104</v>
      </c>
      <c r="T104" s="16" t="n">
        <v>0.3234</v>
      </c>
      <c r="U104" s="16" t="n">
        <v>0.327288</v>
      </c>
      <c r="V104" s="16" t="n">
        <v>0.330059</v>
      </c>
      <c r="W104" s="16" t="n">
        <v>0.33261</v>
      </c>
      <c r="X104" s="16" t="n">
        <v>0.336645</v>
      </c>
      <c r="Y104" s="16" t="n">
        <v>0.339479</v>
      </c>
      <c r="Z104" s="16" t="n">
        <v>0.343082</v>
      </c>
      <c r="AA104" s="16" t="n">
        <v>0.346737</v>
      </c>
      <c r="AB104" s="16" t="n">
        <v>0.350968</v>
      </c>
      <c r="AC104" s="16" t="n">
        <v>0.354796</v>
      </c>
      <c r="AD104" s="16" t="n">
        <v>0.358689</v>
      </c>
      <c r="AE104" s="16" t="n">
        <v>0.362853</v>
      </c>
      <c r="AF104" s="16" t="n">
        <v>0.36651</v>
      </c>
      <c r="AG104" s="16" t="n">
        <v>0.369489</v>
      </c>
      <c r="AH104" s="16" t="n">
        <v>0.372859</v>
      </c>
      <c r="AI104" s="16" t="n">
        <v>0.376029</v>
      </c>
      <c r="AJ104" s="16" t="n">
        <v>0.379509</v>
      </c>
      <c r="AK104" s="16" t="n">
        <v>0.383188</v>
      </c>
      <c r="AL104" s="16" t="n">
        <v>0.385413</v>
      </c>
      <c r="AM104" s="12" t="n">
        <v>0.009559</v>
      </c>
    </row>
    <row r="105" ht="15" customHeight="1">
      <c r="A105" s="11" t="inlineStr">
        <is>
          <t>RKI000:ma_ColorTelevisi</t>
        </is>
      </c>
      <c r="B105" s="14" t="inlineStr">
        <is>
          <t xml:space="preserve"> Televisions and Related Equipment 2/</t>
        </is>
      </c>
      <c r="C105" s="16" t="n">
        <v>0.86566</v>
      </c>
      <c r="D105" s="16" t="n">
        <v>0.833697</v>
      </c>
      <c r="E105" s="16" t="n">
        <v>0.82113</v>
      </c>
      <c r="F105" s="16" t="n">
        <v>0.803328</v>
      </c>
      <c r="G105" s="16" t="n">
        <v>0.791547</v>
      </c>
      <c r="H105" s="16" t="n">
        <v>0.780401</v>
      </c>
      <c r="I105" s="16" t="n">
        <v>0.7682099999999999</v>
      </c>
      <c r="J105" s="16" t="n">
        <v>0.756681</v>
      </c>
      <c r="K105" s="16" t="n">
        <v>0.747898</v>
      </c>
      <c r="L105" s="16" t="n">
        <v>0.741526</v>
      </c>
      <c r="M105" s="16" t="n">
        <v>0.736446</v>
      </c>
      <c r="N105" s="16" t="n">
        <v>0.731695</v>
      </c>
      <c r="O105" s="16" t="n">
        <v>0.7309369999999999</v>
      </c>
      <c r="P105" s="16" t="n">
        <v>0.732862</v>
      </c>
      <c r="Q105" s="16" t="n">
        <v>0.737748</v>
      </c>
      <c r="R105" s="16" t="n">
        <v>0.74498</v>
      </c>
      <c r="S105" s="16" t="n">
        <v>0.754706</v>
      </c>
      <c r="T105" s="16" t="n">
        <v>0.764968</v>
      </c>
      <c r="U105" s="16" t="n">
        <v>0.778633</v>
      </c>
      <c r="V105" s="16" t="n">
        <v>0.790817</v>
      </c>
      <c r="W105" s="16" t="n">
        <v>0.802574</v>
      </c>
      <c r="X105" s="16" t="n">
        <v>0.818314</v>
      </c>
      <c r="Y105" s="16" t="n">
        <v>0.831239</v>
      </c>
      <c r="Z105" s="16" t="n">
        <v>0.845611</v>
      </c>
      <c r="AA105" s="16" t="n">
        <v>0.859419</v>
      </c>
      <c r="AB105" s="16" t="n">
        <v>0.873574</v>
      </c>
      <c r="AC105" s="16" t="n">
        <v>0.880352</v>
      </c>
      <c r="AD105" s="16" t="n">
        <v>0.885686</v>
      </c>
      <c r="AE105" s="16" t="n">
        <v>0.890669</v>
      </c>
      <c r="AF105" s="16" t="n">
        <v>0.89428</v>
      </c>
      <c r="AG105" s="16" t="n">
        <v>0.896225</v>
      </c>
      <c r="AH105" s="16" t="n">
        <v>0.899221</v>
      </c>
      <c r="AI105" s="16" t="n">
        <v>0.901767</v>
      </c>
      <c r="AJ105" s="16" t="n">
        <v>0.905066</v>
      </c>
      <c r="AK105" s="16" t="n">
        <v>0.908982</v>
      </c>
      <c r="AL105" s="16" t="n">
        <v>0.909485</v>
      </c>
      <c r="AM105" s="12" t="n">
        <v>0.002562</v>
      </c>
    </row>
    <row r="106" ht="15" customHeight="1">
      <c r="A106" s="11" t="inlineStr">
        <is>
          <t>RKI000:ma_PersonalCompu</t>
        </is>
      </c>
      <c r="B106" s="14" t="inlineStr">
        <is>
          <t xml:space="preserve"> Computers and Related Equipment 3/</t>
        </is>
      </c>
      <c r="C106" s="16" t="n">
        <v>0.333746</v>
      </c>
      <c r="D106" s="16" t="n">
        <v>0.318218</v>
      </c>
      <c r="E106" s="16" t="n">
        <v>0.309761</v>
      </c>
      <c r="F106" s="16" t="n">
        <v>0.299121</v>
      </c>
      <c r="G106" s="16" t="n">
        <v>0.290349</v>
      </c>
      <c r="H106" s="16" t="n">
        <v>0.281438</v>
      </c>
      <c r="I106" s="16" t="n">
        <v>0.271703</v>
      </c>
      <c r="J106" s="16" t="n">
        <v>0.261837</v>
      </c>
      <c r="K106" s="16" t="n">
        <v>0.252604</v>
      </c>
      <c r="L106" s="16" t="n">
        <v>0.243886</v>
      </c>
      <c r="M106" s="16" t="n">
        <v>0.235292</v>
      </c>
      <c r="N106" s="16" t="n">
        <v>0.226599</v>
      </c>
      <c r="O106" s="16" t="n">
        <v>0.218962</v>
      </c>
      <c r="P106" s="16" t="n">
        <v>0.21183</v>
      </c>
      <c r="Q106" s="16" t="n">
        <v>0.205392</v>
      </c>
      <c r="R106" s="16" t="n">
        <v>0.199374</v>
      </c>
      <c r="S106" s="16" t="n">
        <v>0.193787</v>
      </c>
      <c r="T106" s="16" t="n">
        <v>0.188171</v>
      </c>
      <c r="U106" s="16" t="n">
        <v>0.183174</v>
      </c>
      <c r="V106" s="16" t="n">
        <v>0.177644</v>
      </c>
      <c r="W106" s="16" t="n">
        <v>0.171935</v>
      </c>
      <c r="X106" s="16" t="n">
        <v>0.166892</v>
      </c>
      <c r="Y106" s="16" t="n">
        <v>0.161426</v>
      </c>
      <c r="Z106" s="16" t="n">
        <v>0.156465</v>
      </c>
      <c r="AA106" s="16" t="n">
        <v>0.151581</v>
      </c>
      <c r="AB106" s="16" t="n">
        <v>0.146952</v>
      </c>
      <c r="AC106" s="16" t="n">
        <v>0.142458</v>
      </c>
      <c r="AD106" s="16" t="n">
        <v>0.137936</v>
      </c>
      <c r="AE106" s="16" t="n">
        <v>0.133422</v>
      </c>
      <c r="AF106" s="16" t="n">
        <v>0.12868</v>
      </c>
      <c r="AG106" s="16" t="n">
        <v>0.123569</v>
      </c>
      <c r="AH106" s="16" t="n">
        <v>0.118485</v>
      </c>
      <c r="AI106" s="16" t="n">
        <v>0.113141</v>
      </c>
      <c r="AJ106" s="16" t="n">
        <v>0.107659</v>
      </c>
      <c r="AK106" s="16" t="n">
        <v>0.101929</v>
      </c>
      <c r="AL106" s="16" t="n">
        <v>0.095544</v>
      </c>
      <c r="AM106" s="12" t="n">
        <v>-0.034768</v>
      </c>
    </row>
    <row r="107" ht="15" customHeight="1">
      <c r="A107" s="11" t="inlineStr">
        <is>
          <t>RKI000:ma_FurnaceFans</t>
        </is>
      </c>
      <c r="B107" s="14" t="inlineStr">
        <is>
          <t xml:space="preserve"> Furnace Fans and Boiler Circulation Pumps</t>
        </is>
      </c>
      <c r="C107" s="16" t="n">
        <v>0.344798</v>
      </c>
      <c r="D107" s="16" t="n">
        <v>0.324074</v>
      </c>
      <c r="E107" s="16" t="n">
        <v>0.355184</v>
      </c>
      <c r="F107" s="16" t="n">
        <v>0.359439</v>
      </c>
      <c r="G107" s="16" t="n">
        <v>0.355071</v>
      </c>
      <c r="H107" s="16" t="n">
        <v>0.355329</v>
      </c>
      <c r="I107" s="16" t="n">
        <v>0.354697</v>
      </c>
      <c r="J107" s="16" t="n">
        <v>0.353926</v>
      </c>
      <c r="K107" s="16" t="n">
        <v>0.353063</v>
      </c>
      <c r="L107" s="16" t="n">
        <v>0.350832</v>
      </c>
      <c r="M107" s="16" t="n">
        <v>0.347489</v>
      </c>
      <c r="N107" s="16" t="n">
        <v>0.342969</v>
      </c>
      <c r="O107" s="16" t="n">
        <v>0.338371</v>
      </c>
      <c r="P107" s="16" t="n">
        <v>0.333285</v>
      </c>
      <c r="Q107" s="16" t="n">
        <v>0.328395</v>
      </c>
      <c r="R107" s="16" t="n">
        <v>0.323754</v>
      </c>
      <c r="S107" s="16" t="n">
        <v>0.319198</v>
      </c>
      <c r="T107" s="16" t="n">
        <v>0.314037</v>
      </c>
      <c r="U107" s="16" t="n">
        <v>0.30987</v>
      </c>
      <c r="V107" s="16" t="n">
        <v>0.304968</v>
      </c>
      <c r="W107" s="16" t="n">
        <v>0.299981</v>
      </c>
      <c r="X107" s="16" t="n">
        <v>0.296584</v>
      </c>
      <c r="Y107" s="16" t="n">
        <v>0.292565</v>
      </c>
      <c r="Z107" s="16" t="n">
        <v>0.289641</v>
      </c>
      <c r="AA107" s="16" t="n">
        <v>0.287105</v>
      </c>
      <c r="AB107" s="16" t="n">
        <v>0.285519</v>
      </c>
      <c r="AC107" s="16" t="n">
        <v>0.28388</v>
      </c>
      <c r="AD107" s="16" t="n">
        <v>0.282483</v>
      </c>
      <c r="AE107" s="16" t="n">
        <v>0.281514</v>
      </c>
      <c r="AF107" s="16" t="n">
        <v>0.280397</v>
      </c>
      <c r="AG107" s="16" t="n">
        <v>0.279013</v>
      </c>
      <c r="AH107" s="16" t="n">
        <v>0.27817</v>
      </c>
      <c r="AI107" s="16" t="n">
        <v>0.277431</v>
      </c>
      <c r="AJ107" s="16" t="n">
        <v>0.27706</v>
      </c>
      <c r="AK107" s="16" t="n">
        <v>0.277075</v>
      </c>
      <c r="AL107" s="16" t="n">
        <v>0.276194</v>
      </c>
      <c r="AM107" s="12" t="n">
        <v>-0.004691</v>
      </c>
    </row>
    <row r="108" ht="15" customHeight="1">
      <c r="A108" s="11" t="inlineStr">
        <is>
          <t>RKI000:ma_OtherUses</t>
        </is>
      </c>
      <c r="B108" s="14" t="inlineStr">
        <is>
          <t xml:space="preserve"> Other Uses 8/</t>
        </is>
      </c>
      <c r="C108" s="16" t="n">
        <v>4.424818</v>
      </c>
      <c r="D108" s="16" t="n">
        <v>4.375576</v>
      </c>
      <c r="E108" s="16" t="n">
        <v>4.558979</v>
      </c>
      <c r="F108" s="16" t="n">
        <v>4.589244</v>
      </c>
      <c r="G108" s="16" t="n">
        <v>4.631662</v>
      </c>
      <c r="H108" s="16" t="n">
        <v>4.674693</v>
      </c>
      <c r="I108" s="16" t="n">
        <v>4.705804</v>
      </c>
      <c r="J108" s="16" t="n">
        <v>4.73421</v>
      </c>
      <c r="K108" s="16" t="n">
        <v>4.762798</v>
      </c>
      <c r="L108" s="16" t="n">
        <v>4.785988</v>
      </c>
      <c r="M108" s="16" t="n">
        <v>4.800272</v>
      </c>
      <c r="N108" s="16" t="n">
        <v>4.799184</v>
      </c>
      <c r="O108" s="16" t="n">
        <v>4.80906</v>
      </c>
      <c r="P108" s="16" t="n">
        <v>4.823904</v>
      </c>
      <c r="Q108" s="16" t="n">
        <v>4.841763</v>
      </c>
      <c r="R108" s="16" t="n">
        <v>4.8564</v>
      </c>
      <c r="S108" s="16" t="n">
        <v>4.875441</v>
      </c>
      <c r="T108" s="16" t="n">
        <v>4.891088</v>
      </c>
      <c r="U108" s="16" t="n">
        <v>4.922568</v>
      </c>
      <c r="V108" s="16" t="n">
        <v>4.940073</v>
      </c>
      <c r="W108" s="16" t="n">
        <v>4.952077</v>
      </c>
      <c r="X108" s="16" t="n">
        <v>4.983017</v>
      </c>
      <c r="Y108" s="16" t="n">
        <v>4.996188</v>
      </c>
      <c r="Z108" s="16" t="n">
        <v>5.021081</v>
      </c>
      <c r="AA108" s="16" t="n">
        <v>5.042818</v>
      </c>
      <c r="AB108" s="16" t="n">
        <v>5.068115</v>
      </c>
      <c r="AC108" s="16" t="n">
        <v>5.078533</v>
      </c>
      <c r="AD108" s="16" t="n">
        <v>5.089143</v>
      </c>
      <c r="AE108" s="16" t="n">
        <v>5.100697</v>
      </c>
      <c r="AF108" s="16" t="n">
        <v>5.10201</v>
      </c>
      <c r="AG108" s="16" t="n">
        <v>5.092855</v>
      </c>
      <c r="AH108" s="16" t="n">
        <v>5.086171</v>
      </c>
      <c r="AI108" s="16" t="n">
        <v>5.070677</v>
      </c>
      <c r="AJ108" s="16" t="n">
        <v>5.05367</v>
      </c>
      <c r="AK108" s="16" t="n">
        <v>5.038616</v>
      </c>
      <c r="AL108" s="16" t="n">
        <v>5.002872</v>
      </c>
      <c r="AM108" s="12" t="n">
        <v>0.003948</v>
      </c>
    </row>
    <row r="109" ht="15" customHeight="1">
      <c r="A109" s="11" t="inlineStr">
        <is>
          <t>RKI000:ma_Total</t>
        </is>
      </c>
      <c r="B109" s="10" t="inlineStr">
        <is>
          <t xml:space="preserve">   Total</t>
        </is>
      </c>
      <c r="C109" s="15" t="n">
        <v>20.541992</v>
      </c>
      <c r="D109" s="15" t="n">
        <v>20.007259</v>
      </c>
      <c r="E109" s="15" t="n">
        <v>20.274094</v>
      </c>
      <c r="F109" s="15" t="n">
        <v>20.381836</v>
      </c>
      <c r="G109" s="15" t="n">
        <v>20.374641</v>
      </c>
      <c r="H109" s="15" t="n">
        <v>20.236732</v>
      </c>
      <c r="I109" s="15" t="n">
        <v>20.119856</v>
      </c>
      <c r="J109" s="15" t="n">
        <v>20.016405</v>
      </c>
      <c r="K109" s="15" t="n">
        <v>19.958256</v>
      </c>
      <c r="L109" s="15" t="n">
        <v>19.909481</v>
      </c>
      <c r="M109" s="15" t="n">
        <v>19.846622</v>
      </c>
      <c r="N109" s="15" t="n">
        <v>19.75576</v>
      </c>
      <c r="O109" s="15" t="n">
        <v>19.697224</v>
      </c>
      <c r="P109" s="15" t="n">
        <v>19.651901</v>
      </c>
      <c r="Q109" s="15" t="n">
        <v>19.630394</v>
      </c>
      <c r="R109" s="15" t="n">
        <v>19.599455</v>
      </c>
      <c r="S109" s="15" t="n">
        <v>19.591251</v>
      </c>
      <c r="T109" s="15" t="n">
        <v>19.573044</v>
      </c>
      <c r="U109" s="15" t="n">
        <v>19.602673</v>
      </c>
      <c r="V109" s="15" t="n">
        <v>19.597404</v>
      </c>
      <c r="W109" s="15" t="n">
        <v>19.575079</v>
      </c>
      <c r="X109" s="15" t="n">
        <v>19.615744</v>
      </c>
      <c r="Y109" s="15" t="n">
        <v>19.608665</v>
      </c>
      <c r="Z109" s="15" t="n">
        <v>19.639233</v>
      </c>
      <c r="AA109" s="15" t="n">
        <v>19.671001</v>
      </c>
      <c r="AB109" s="15" t="n">
        <v>19.71242</v>
      </c>
      <c r="AC109" s="15" t="n">
        <v>19.727406</v>
      </c>
      <c r="AD109" s="15" t="n">
        <v>19.743858</v>
      </c>
      <c r="AE109" s="15" t="n">
        <v>19.766838</v>
      </c>
      <c r="AF109" s="15" t="n">
        <v>19.76911</v>
      </c>
      <c r="AG109" s="15" t="n">
        <v>19.747086</v>
      </c>
      <c r="AH109" s="15" t="n">
        <v>19.739193</v>
      </c>
      <c r="AI109" s="15" t="n">
        <v>19.719263</v>
      </c>
      <c r="AJ109" s="15" t="n">
        <v>19.7015</v>
      </c>
      <c r="AK109" s="15" t="n">
        <v>19.691608</v>
      </c>
      <c r="AL109" s="15" t="n">
        <v>19.626163</v>
      </c>
      <c r="AM109" s="8" t="n">
        <v>-0.000565</v>
      </c>
    </row>
    <row r="111" ht="15" customHeight="1">
      <c r="B111" s="10" t="inlineStr">
        <is>
          <t>Nonmarketed Renewables 9/</t>
        </is>
      </c>
    </row>
    <row r="112" ht="15" customHeight="1">
      <c r="A112" s="11" t="inlineStr">
        <is>
          <t>RKI000:na_GeothermalHea</t>
        </is>
      </c>
      <c r="B112" s="14" t="inlineStr">
        <is>
          <t xml:space="preserve">  Geothermal Heat Pumps</t>
        </is>
      </c>
      <c r="C112" s="16" t="n">
        <v>0.0107</v>
      </c>
      <c r="D112" s="16" t="n">
        <v>0.011801</v>
      </c>
      <c r="E112" s="16" t="n">
        <v>0.012674</v>
      </c>
      <c r="F112" s="16" t="n">
        <v>0.013909</v>
      </c>
      <c r="G112" s="16" t="n">
        <v>0.014766</v>
      </c>
      <c r="H112" s="16" t="n">
        <v>0.0159</v>
      </c>
      <c r="I112" s="16" t="n">
        <v>0.016846</v>
      </c>
      <c r="J112" s="16" t="n">
        <v>0.017709</v>
      </c>
      <c r="K112" s="16" t="n">
        <v>0.018445</v>
      </c>
      <c r="L112" s="16" t="n">
        <v>0.019077</v>
      </c>
      <c r="M112" s="16" t="n">
        <v>0.01958</v>
      </c>
      <c r="N112" s="16" t="n">
        <v>0.019968</v>
      </c>
      <c r="O112" s="16" t="n">
        <v>0.02028</v>
      </c>
      <c r="P112" s="16" t="n">
        <v>0.020524</v>
      </c>
      <c r="Q112" s="16" t="n">
        <v>0.020727</v>
      </c>
      <c r="R112" s="16" t="n">
        <v>0.021034</v>
      </c>
      <c r="S112" s="16" t="n">
        <v>0.021287</v>
      </c>
      <c r="T112" s="16" t="n">
        <v>0.021523</v>
      </c>
      <c r="U112" s="16" t="n">
        <v>0.021759</v>
      </c>
      <c r="V112" s="16" t="n">
        <v>0.022022</v>
      </c>
      <c r="W112" s="16" t="n">
        <v>0.022328</v>
      </c>
      <c r="X112" s="16" t="n">
        <v>0.02267</v>
      </c>
      <c r="Y112" s="16" t="n">
        <v>0.023043</v>
      </c>
      <c r="Z112" s="16" t="n">
        <v>0.023446</v>
      </c>
      <c r="AA112" s="16" t="n">
        <v>0.02388</v>
      </c>
      <c r="AB112" s="16" t="n">
        <v>0.02441</v>
      </c>
      <c r="AC112" s="16" t="n">
        <v>0.024933</v>
      </c>
      <c r="AD112" s="16" t="n">
        <v>0.025467</v>
      </c>
      <c r="AE112" s="16" t="n">
        <v>0.025998</v>
      </c>
      <c r="AF112" s="16" t="n">
        <v>0.026536</v>
      </c>
      <c r="AG112" s="16" t="n">
        <v>0.027075</v>
      </c>
      <c r="AH112" s="16" t="n">
        <v>0.027609</v>
      </c>
      <c r="AI112" s="16" t="n">
        <v>0.028134</v>
      </c>
      <c r="AJ112" s="16" t="n">
        <v>0.028626</v>
      </c>
      <c r="AK112" s="16" t="n">
        <v>0.029091</v>
      </c>
      <c r="AL112" s="16" t="n">
        <v>0.029529</v>
      </c>
      <c r="AM112" s="12" t="n">
        <v>0.027343</v>
      </c>
    </row>
    <row r="113" ht="15" customHeight="1">
      <c r="A113" s="11" t="inlineStr">
        <is>
          <t>RKI000:na_SolarHotWater</t>
        </is>
      </c>
      <c r="B113" s="14" t="inlineStr">
        <is>
          <t xml:space="preserve">  Solar Hot Water Heating</t>
        </is>
      </c>
      <c r="C113" s="16" t="n">
        <v>0.009233999999999999</v>
      </c>
      <c r="D113" s="16" t="n">
        <v>0.010317</v>
      </c>
      <c r="E113" s="16" t="n">
        <v>0.011427</v>
      </c>
      <c r="F113" s="16" t="n">
        <v>0.012543</v>
      </c>
      <c r="G113" s="16" t="n">
        <v>0.01369</v>
      </c>
      <c r="H113" s="16" t="n">
        <v>0.01473</v>
      </c>
      <c r="I113" s="16" t="n">
        <v>0.015323</v>
      </c>
      <c r="J113" s="16" t="n">
        <v>0.015391</v>
      </c>
      <c r="K113" s="16" t="n">
        <v>0.01547</v>
      </c>
      <c r="L113" s="16" t="n">
        <v>0.015545</v>
      </c>
      <c r="M113" s="16" t="n">
        <v>0.015766</v>
      </c>
      <c r="N113" s="16" t="n">
        <v>0.015985</v>
      </c>
      <c r="O113" s="16" t="n">
        <v>0.01621</v>
      </c>
      <c r="P113" s="16" t="n">
        <v>0.016436</v>
      </c>
      <c r="Q113" s="16" t="n">
        <v>0.016662</v>
      </c>
      <c r="R113" s="16" t="n">
        <v>0.017135</v>
      </c>
      <c r="S113" s="16" t="n">
        <v>0.017575</v>
      </c>
      <c r="T113" s="16" t="n">
        <v>0.018</v>
      </c>
      <c r="U113" s="16" t="n">
        <v>0.018436</v>
      </c>
      <c r="V113" s="16" t="n">
        <v>0.018879</v>
      </c>
      <c r="W113" s="16" t="n">
        <v>0.019331</v>
      </c>
      <c r="X113" s="16" t="n">
        <v>0.019786</v>
      </c>
      <c r="Y113" s="16" t="n">
        <v>0.020244</v>
      </c>
      <c r="Z113" s="16" t="n">
        <v>0.020702</v>
      </c>
      <c r="AA113" s="16" t="n">
        <v>0.021161</v>
      </c>
      <c r="AB113" s="16" t="n">
        <v>0.021617</v>
      </c>
      <c r="AC113" s="16" t="n">
        <v>0.022073</v>
      </c>
      <c r="AD113" s="16" t="n">
        <v>0.022528</v>
      </c>
      <c r="AE113" s="16" t="n">
        <v>0.022985</v>
      </c>
      <c r="AF113" s="16" t="n">
        <v>0.023442</v>
      </c>
      <c r="AG113" s="16" t="n">
        <v>0.0239</v>
      </c>
      <c r="AH113" s="16" t="n">
        <v>0.02436</v>
      </c>
      <c r="AI113" s="16" t="n">
        <v>0.024822</v>
      </c>
      <c r="AJ113" s="16" t="n">
        <v>0.025287</v>
      </c>
      <c r="AK113" s="16" t="n">
        <v>0.025755</v>
      </c>
      <c r="AL113" s="16" t="n">
        <v>0.026228</v>
      </c>
      <c r="AM113" s="12" t="n">
        <v>0.027821</v>
      </c>
    </row>
    <row r="114" ht="15" customHeight="1">
      <c r="A114" s="11" t="inlineStr">
        <is>
          <t>RKI000:na_SolarPhotovol</t>
        </is>
      </c>
      <c r="B114" s="14" t="inlineStr">
        <is>
          <t xml:space="preserve">  Solar Photovoltaic</t>
        </is>
      </c>
      <c r="C114" s="16" t="n">
        <v>0.076436</v>
      </c>
      <c r="D114" s="16" t="n">
        <v>0.10585</v>
      </c>
      <c r="E114" s="16" t="n">
        <v>0.136138</v>
      </c>
      <c r="F114" s="16" t="n">
        <v>0.166805</v>
      </c>
      <c r="G114" s="16" t="n">
        <v>0.198246</v>
      </c>
      <c r="H114" s="16" t="n">
        <v>0.230523</v>
      </c>
      <c r="I114" s="16" t="n">
        <v>0.263838</v>
      </c>
      <c r="J114" s="16" t="n">
        <v>0.295013</v>
      </c>
      <c r="K114" s="16" t="n">
        <v>0.329368</v>
      </c>
      <c r="L114" s="16" t="n">
        <v>0.366031</v>
      </c>
      <c r="M114" s="16" t="n">
        <v>0.405372</v>
      </c>
      <c r="N114" s="16" t="n">
        <v>0.447283</v>
      </c>
      <c r="O114" s="16" t="n">
        <v>0.491455</v>
      </c>
      <c r="P114" s="16" t="n">
        <v>0.538065</v>
      </c>
      <c r="Q114" s="16" t="n">
        <v>0.5870880000000001</v>
      </c>
      <c r="R114" s="16" t="n">
        <v>0.638805</v>
      </c>
      <c r="S114" s="16" t="n">
        <v>0.693176</v>
      </c>
      <c r="T114" s="16" t="n">
        <v>0.750242</v>
      </c>
      <c r="U114" s="16" t="n">
        <v>0.810014</v>
      </c>
      <c r="V114" s="16" t="n">
        <v>0.872708</v>
      </c>
      <c r="W114" s="16" t="n">
        <v>0.938674</v>
      </c>
      <c r="X114" s="16" t="n">
        <v>1.00803</v>
      </c>
      <c r="Y114" s="16" t="n">
        <v>1.081105</v>
      </c>
      <c r="Z114" s="16" t="n">
        <v>1.158057</v>
      </c>
      <c r="AA114" s="16" t="n">
        <v>1.239056</v>
      </c>
      <c r="AB114" s="16" t="n">
        <v>1.3247</v>
      </c>
      <c r="AC114" s="16" t="n">
        <v>1.414997</v>
      </c>
      <c r="AD114" s="16" t="n">
        <v>1.510212</v>
      </c>
      <c r="AE114" s="16" t="n">
        <v>1.610614</v>
      </c>
      <c r="AF114" s="16" t="n">
        <v>1.716749</v>
      </c>
      <c r="AG114" s="16" t="n">
        <v>1.829163</v>
      </c>
      <c r="AH114" s="16" t="n">
        <v>1.948386</v>
      </c>
      <c r="AI114" s="16" t="n">
        <v>2.074741</v>
      </c>
      <c r="AJ114" s="16" t="n">
        <v>2.208928</v>
      </c>
      <c r="AK114" s="16" t="n">
        <v>2.351303</v>
      </c>
      <c r="AL114" s="16" t="n">
        <v>2.502433</v>
      </c>
      <c r="AM114" s="12" t="n">
        <v>0.097494</v>
      </c>
    </row>
    <row r="115" ht="15" customHeight="1">
      <c r="A115" s="11" t="inlineStr">
        <is>
          <t>RKI000:na_WindHuffPuff</t>
        </is>
      </c>
      <c r="B115" s="14" t="inlineStr">
        <is>
          <t xml:space="preserve">  Wind</t>
        </is>
      </c>
      <c r="C115" s="16" t="n">
        <v>0.019677</v>
      </c>
      <c r="D115" s="16" t="n">
        <v>0.031693</v>
      </c>
      <c r="E115" s="16" t="n">
        <v>0.031693</v>
      </c>
      <c r="F115" s="16" t="n">
        <v>0.031693</v>
      </c>
      <c r="G115" s="16" t="n">
        <v>0.031693</v>
      </c>
      <c r="H115" s="16" t="n">
        <v>0.031693</v>
      </c>
      <c r="I115" s="16" t="n">
        <v>0.031693</v>
      </c>
      <c r="J115" s="16" t="n">
        <v>0.031693</v>
      </c>
      <c r="K115" s="16" t="n">
        <v>0.03175</v>
      </c>
      <c r="L115" s="16" t="n">
        <v>0.031851</v>
      </c>
      <c r="M115" s="16" t="n">
        <v>0.031993</v>
      </c>
      <c r="N115" s="16" t="n">
        <v>0.032161</v>
      </c>
      <c r="O115" s="16" t="n">
        <v>0.032458</v>
      </c>
      <c r="P115" s="16" t="n">
        <v>0.032772</v>
      </c>
      <c r="Q115" s="16" t="n">
        <v>0.033094</v>
      </c>
      <c r="R115" s="16" t="n">
        <v>0.033435</v>
      </c>
      <c r="S115" s="16" t="n">
        <v>0.033792</v>
      </c>
      <c r="T115" s="16" t="n">
        <v>0.034159</v>
      </c>
      <c r="U115" s="16" t="n">
        <v>0.034537</v>
      </c>
      <c r="V115" s="16" t="n">
        <v>0.034932</v>
      </c>
      <c r="W115" s="16" t="n">
        <v>0.035427</v>
      </c>
      <c r="X115" s="16" t="n">
        <v>0.035928</v>
      </c>
      <c r="Y115" s="16" t="n">
        <v>0.036436</v>
      </c>
      <c r="Z115" s="16" t="n">
        <v>0.036946</v>
      </c>
      <c r="AA115" s="16" t="n">
        <v>0.037458</v>
      </c>
      <c r="AB115" s="16" t="n">
        <v>0.037976</v>
      </c>
      <c r="AC115" s="16" t="n">
        <v>0.038503</v>
      </c>
      <c r="AD115" s="16" t="n">
        <v>0.03904</v>
      </c>
      <c r="AE115" s="16" t="n">
        <v>0.039588</v>
      </c>
      <c r="AF115" s="16" t="n">
        <v>0.040152</v>
      </c>
      <c r="AG115" s="16" t="n">
        <v>0.04073</v>
      </c>
      <c r="AH115" s="16" t="n">
        <v>0.041337</v>
      </c>
      <c r="AI115" s="16" t="n">
        <v>0.041972</v>
      </c>
      <c r="AJ115" s="16" t="n">
        <v>0.042632</v>
      </c>
      <c r="AK115" s="16" t="n">
        <v>0.043321</v>
      </c>
      <c r="AL115" s="16" t="n">
        <v>0.04404</v>
      </c>
      <c r="AM115" s="12" t="n">
        <v>0.009724</v>
      </c>
    </row>
    <row r="116" ht="15" customHeight="1">
      <c r="A116" s="11" t="inlineStr">
        <is>
          <t>RKI000:na_Total</t>
        </is>
      </c>
      <c r="B116" s="10" t="inlineStr">
        <is>
          <t xml:space="preserve">    Total</t>
        </is>
      </c>
      <c r="C116" s="15" t="n">
        <v>0.116047</v>
      </c>
      <c r="D116" s="15" t="n">
        <v>0.159662</v>
      </c>
      <c r="E116" s="15" t="n">
        <v>0.191933</v>
      </c>
      <c r="F116" s="15" t="n">
        <v>0.224949</v>
      </c>
      <c r="G116" s="15" t="n">
        <v>0.258395</v>
      </c>
      <c r="H116" s="15" t="n">
        <v>0.292846</v>
      </c>
      <c r="I116" s="15" t="n">
        <v>0.327699</v>
      </c>
      <c r="J116" s="15" t="n">
        <v>0.359807</v>
      </c>
      <c r="K116" s="15" t="n">
        <v>0.395033</v>
      </c>
      <c r="L116" s="15" t="n">
        <v>0.432505</v>
      </c>
      <c r="M116" s="15" t="n">
        <v>0.472711</v>
      </c>
      <c r="N116" s="15" t="n">
        <v>0.515397</v>
      </c>
      <c r="O116" s="15" t="n">
        <v>0.560403</v>
      </c>
      <c r="P116" s="15" t="n">
        <v>0.6077979999999999</v>
      </c>
      <c r="Q116" s="15" t="n">
        <v>0.65757</v>
      </c>
      <c r="R116" s="15" t="n">
        <v>0.710409</v>
      </c>
      <c r="S116" s="15" t="n">
        <v>0.765829</v>
      </c>
      <c r="T116" s="15" t="n">
        <v>0.823925</v>
      </c>
      <c r="U116" s="15" t="n">
        <v>0.884746</v>
      </c>
      <c r="V116" s="15" t="n">
        <v>0.948541</v>
      </c>
      <c r="W116" s="15" t="n">
        <v>1.015759</v>
      </c>
      <c r="X116" s="15" t="n">
        <v>1.086414</v>
      </c>
      <c r="Y116" s="15" t="n">
        <v>1.160827</v>
      </c>
      <c r="Z116" s="15" t="n">
        <v>1.239152</v>
      </c>
      <c r="AA116" s="15" t="n">
        <v>1.321554</v>
      </c>
      <c r="AB116" s="15" t="n">
        <v>1.408703</v>
      </c>
      <c r="AC116" s="15" t="n">
        <v>1.500507</v>
      </c>
      <c r="AD116" s="15" t="n">
        <v>1.597247</v>
      </c>
      <c r="AE116" s="15" t="n">
        <v>1.699183</v>
      </c>
      <c r="AF116" s="15" t="n">
        <v>1.806878</v>
      </c>
      <c r="AG116" s="15" t="n">
        <v>1.920867</v>
      </c>
      <c r="AH116" s="15" t="n">
        <v>2.041692</v>
      </c>
      <c r="AI116" s="15" t="n">
        <v>2.169668</v>
      </c>
      <c r="AJ116" s="15" t="n">
        <v>2.305473</v>
      </c>
      <c r="AK116" s="15" t="n">
        <v>2.44947</v>
      </c>
      <c r="AL116" s="15" t="n">
        <v>2.602231</v>
      </c>
      <c r="AM116" s="8" t="n">
        <v>0.08555400000000001</v>
      </c>
    </row>
    <row r="118" ht="15" customHeight="1">
      <c r="B118" s="10" t="inlineStr">
        <is>
          <t>Heating Degree Days</t>
        </is>
      </c>
    </row>
    <row r="119" ht="15" customHeight="1">
      <c r="A119" s="11" t="inlineStr">
        <is>
          <t>RKI000:hdd_NewEngland</t>
        </is>
      </c>
      <c r="B119" s="14" t="inlineStr">
        <is>
          <t xml:space="preserve">   New England</t>
        </is>
      </c>
      <c r="C119" s="13" t="n">
        <v>6514</v>
      </c>
      <c r="D119" s="13" t="n">
        <v>5995</v>
      </c>
      <c r="E119" s="13" t="n">
        <v>6371</v>
      </c>
      <c r="F119" s="13" t="n">
        <v>6184</v>
      </c>
      <c r="G119" s="13" t="n">
        <v>6167</v>
      </c>
      <c r="H119" s="13" t="n">
        <v>6150</v>
      </c>
      <c r="I119" s="13" t="n">
        <v>6133</v>
      </c>
      <c r="J119" s="13" t="n">
        <v>6116</v>
      </c>
      <c r="K119" s="13" t="n">
        <v>6099</v>
      </c>
      <c r="L119" s="13" t="n">
        <v>6082</v>
      </c>
      <c r="M119" s="13" t="n">
        <v>6065</v>
      </c>
      <c r="N119" s="13" t="n">
        <v>6048</v>
      </c>
      <c r="O119" s="13" t="n">
        <v>6031</v>
      </c>
      <c r="P119" s="13" t="n">
        <v>6014</v>
      </c>
      <c r="Q119" s="13" t="n">
        <v>5997</v>
      </c>
      <c r="R119" s="13" t="n">
        <v>5980</v>
      </c>
      <c r="S119" s="13" t="n">
        <v>5963</v>
      </c>
      <c r="T119" s="13" t="n">
        <v>5946</v>
      </c>
      <c r="U119" s="13" t="n">
        <v>5929</v>
      </c>
      <c r="V119" s="13" t="n">
        <v>5912</v>
      </c>
      <c r="W119" s="13" t="n">
        <v>5895</v>
      </c>
      <c r="X119" s="13" t="n">
        <v>5878</v>
      </c>
      <c r="Y119" s="13" t="n">
        <v>5860</v>
      </c>
      <c r="Z119" s="13" t="n">
        <v>5843</v>
      </c>
      <c r="AA119" s="13" t="n">
        <v>5826</v>
      </c>
      <c r="AB119" s="13" t="n">
        <v>5809</v>
      </c>
      <c r="AC119" s="13" t="n">
        <v>5792</v>
      </c>
      <c r="AD119" s="13" t="n">
        <v>5774</v>
      </c>
      <c r="AE119" s="13" t="n">
        <v>5757</v>
      </c>
      <c r="AF119" s="13" t="n">
        <v>5740</v>
      </c>
      <c r="AG119" s="13" t="n">
        <v>5723</v>
      </c>
      <c r="AH119" s="13" t="n">
        <v>5706</v>
      </c>
      <c r="AI119" s="13" t="n">
        <v>5689</v>
      </c>
      <c r="AJ119" s="13" t="n">
        <v>5671</v>
      </c>
      <c r="AK119" s="13" t="n">
        <v>5654</v>
      </c>
      <c r="AL119" s="13" t="n">
        <v>5637</v>
      </c>
      <c r="AM119" s="12" t="n">
        <v>-0.001809</v>
      </c>
    </row>
    <row r="120" ht="15" customHeight="1">
      <c r="A120" s="11" t="inlineStr">
        <is>
          <t>RKI000:hdd_MiddleAtlant</t>
        </is>
      </c>
      <c r="B120" s="14" t="inlineStr">
        <is>
          <t xml:space="preserve">   Middle Atlantic</t>
        </is>
      </c>
      <c r="C120" s="13" t="n">
        <v>5774</v>
      </c>
      <c r="D120" s="13" t="n">
        <v>5442</v>
      </c>
      <c r="E120" s="13" t="n">
        <v>5663</v>
      </c>
      <c r="F120" s="13" t="n">
        <v>5582</v>
      </c>
      <c r="G120" s="13" t="n">
        <v>5568</v>
      </c>
      <c r="H120" s="13" t="n">
        <v>5554</v>
      </c>
      <c r="I120" s="13" t="n">
        <v>5540</v>
      </c>
      <c r="J120" s="13" t="n">
        <v>5526</v>
      </c>
      <c r="K120" s="13" t="n">
        <v>5511</v>
      </c>
      <c r="L120" s="13" t="n">
        <v>5497</v>
      </c>
      <c r="M120" s="13" t="n">
        <v>5483</v>
      </c>
      <c r="N120" s="13" t="n">
        <v>5469</v>
      </c>
      <c r="O120" s="13" t="n">
        <v>5455</v>
      </c>
      <c r="P120" s="13" t="n">
        <v>5440</v>
      </c>
      <c r="Q120" s="13" t="n">
        <v>5426</v>
      </c>
      <c r="R120" s="13" t="n">
        <v>5412</v>
      </c>
      <c r="S120" s="13" t="n">
        <v>5398</v>
      </c>
      <c r="T120" s="13" t="n">
        <v>5384</v>
      </c>
      <c r="U120" s="13" t="n">
        <v>5369</v>
      </c>
      <c r="V120" s="13" t="n">
        <v>5355</v>
      </c>
      <c r="W120" s="13" t="n">
        <v>5341</v>
      </c>
      <c r="X120" s="13" t="n">
        <v>5327</v>
      </c>
      <c r="Y120" s="13" t="n">
        <v>5313</v>
      </c>
      <c r="Z120" s="13" t="n">
        <v>5299</v>
      </c>
      <c r="AA120" s="13" t="n">
        <v>5285</v>
      </c>
      <c r="AB120" s="13" t="n">
        <v>5271</v>
      </c>
      <c r="AC120" s="13" t="n">
        <v>5257</v>
      </c>
      <c r="AD120" s="13" t="n">
        <v>5243</v>
      </c>
      <c r="AE120" s="13" t="n">
        <v>5229</v>
      </c>
      <c r="AF120" s="13" t="n">
        <v>5215</v>
      </c>
      <c r="AG120" s="13" t="n">
        <v>5202</v>
      </c>
      <c r="AH120" s="13" t="n">
        <v>5188</v>
      </c>
      <c r="AI120" s="13" t="n">
        <v>5174</v>
      </c>
      <c r="AJ120" s="13" t="n">
        <v>5160</v>
      </c>
      <c r="AK120" s="13" t="n">
        <v>5146</v>
      </c>
      <c r="AL120" s="13" t="n">
        <v>5132</v>
      </c>
      <c r="AM120" s="12" t="n">
        <v>-0.001724</v>
      </c>
    </row>
    <row r="121" ht="15" customHeight="1">
      <c r="A121" s="11" t="inlineStr">
        <is>
          <t>RKI000:hdd_EastNorthCen</t>
        </is>
      </c>
      <c r="B121" s="14" t="inlineStr">
        <is>
          <t xml:space="preserve">   East North Central</t>
        </is>
      </c>
      <c r="C121" s="13" t="n">
        <v>6169</v>
      </c>
      <c r="D121" s="13" t="n">
        <v>5913</v>
      </c>
      <c r="E121" s="13" t="n">
        <v>6192</v>
      </c>
      <c r="F121" s="13" t="n">
        <v>6233</v>
      </c>
      <c r="G121" s="13" t="n">
        <v>6230</v>
      </c>
      <c r="H121" s="13" t="n">
        <v>6226</v>
      </c>
      <c r="I121" s="13" t="n">
        <v>6223</v>
      </c>
      <c r="J121" s="13" t="n">
        <v>6220</v>
      </c>
      <c r="K121" s="13" t="n">
        <v>6216</v>
      </c>
      <c r="L121" s="13" t="n">
        <v>6213</v>
      </c>
      <c r="M121" s="13" t="n">
        <v>6210</v>
      </c>
      <c r="N121" s="13" t="n">
        <v>6206</v>
      </c>
      <c r="O121" s="13" t="n">
        <v>6203</v>
      </c>
      <c r="P121" s="13" t="n">
        <v>6200</v>
      </c>
      <c r="Q121" s="13" t="n">
        <v>6196</v>
      </c>
      <c r="R121" s="13" t="n">
        <v>6193</v>
      </c>
      <c r="S121" s="13" t="n">
        <v>6190</v>
      </c>
      <c r="T121" s="13" t="n">
        <v>6186</v>
      </c>
      <c r="U121" s="13" t="n">
        <v>6183</v>
      </c>
      <c r="V121" s="13" t="n">
        <v>6180</v>
      </c>
      <c r="W121" s="13" t="n">
        <v>6177</v>
      </c>
      <c r="X121" s="13" t="n">
        <v>6173</v>
      </c>
      <c r="Y121" s="13" t="n">
        <v>6170</v>
      </c>
      <c r="Z121" s="13" t="n">
        <v>6167</v>
      </c>
      <c r="AA121" s="13" t="n">
        <v>6163</v>
      </c>
      <c r="AB121" s="13" t="n">
        <v>6160</v>
      </c>
      <c r="AC121" s="13" t="n">
        <v>6157</v>
      </c>
      <c r="AD121" s="13" t="n">
        <v>6153</v>
      </c>
      <c r="AE121" s="13" t="n">
        <v>6150</v>
      </c>
      <c r="AF121" s="13" t="n">
        <v>6147</v>
      </c>
      <c r="AG121" s="13" t="n">
        <v>6143</v>
      </c>
      <c r="AH121" s="13" t="n">
        <v>6140</v>
      </c>
      <c r="AI121" s="13" t="n">
        <v>6137</v>
      </c>
      <c r="AJ121" s="13" t="n">
        <v>6133</v>
      </c>
      <c r="AK121" s="13" t="n">
        <v>6130</v>
      </c>
      <c r="AL121" s="13" t="n">
        <v>6127</v>
      </c>
      <c r="AM121" s="12" t="n">
        <v>0.001046</v>
      </c>
    </row>
    <row r="122" ht="15" customHeight="1">
      <c r="A122" s="11" t="inlineStr">
        <is>
          <t>RKI000:hdd_WestNorthCen</t>
        </is>
      </c>
      <c r="B122" s="14" t="inlineStr">
        <is>
          <t xml:space="preserve">   West North Central</t>
        </is>
      </c>
      <c r="C122" s="13" t="n">
        <v>6093</v>
      </c>
      <c r="D122" s="13" t="n">
        <v>6067</v>
      </c>
      <c r="E122" s="13" t="n">
        <v>6429</v>
      </c>
      <c r="F122" s="13" t="n">
        <v>6521</v>
      </c>
      <c r="G122" s="13" t="n">
        <v>6521</v>
      </c>
      <c r="H122" s="13" t="n">
        <v>6520</v>
      </c>
      <c r="I122" s="13" t="n">
        <v>6520</v>
      </c>
      <c r="J122" s="13" t="n">
        <v>6519</v>
      </c>
      <c r="K122" s="13" t="n">
        <v>6518</v>
      </c>
      <c r="L122" s="13" t="n">
        <v>6518</v>
      </c>
      <c r="M122" s="13" t="n">
        <v>6517</v>
      </c>
      <c r="N122" s="13" t="n">
        <v>6515</v>
      </c>
      <c r="O122" s="13" t="n">
        <v>6514</v>
      </c>
      <c r="P122" s="13" t="n">
        <v>6513</v>
      </c>
      <c r="Q122" s="13" t="n">
        <v>6512</v>
      </c>
      <c r="R122" s="13" t="n">
        <v>6510</v>
      </c>
      <c r="S122" s="13" t="n">
        <v>6509</v>
      </c>
      <c r="T122" s="13" t="n">
        <v>6508</v>
      </c>
      <c r="U122" s="13" t="n">
        <v>6506</v>
      </c>
      <c r="V122" s="13" t="n">
        <v>6505</v>
      </c>
      <c r="W122" s="13" t="n">
        <v>6504</v>
      </c>
      <c r="X122" s="13" t="n">
        <v>6502</v>
      </c>
      <c r="Y122" s="13" t="n">
        <v>6501</v>
      </c>
      <c r="Z122" s="13" t="n">
        <v>6499</v>
      </c>
      <c r="AA122" s="13" t="n">
        <v>6498</v>
      </c>
      <c r="AB122" s="13" t="n">
        <v>6496</v>
      </c>
      <c r="AC122" s="13" t="n">
        <v>6494</v>
      </c>
      <c r="AD122" s="13" t="n">
        <v>6493</v>
      </c>
      <c r="AE122" s="13" t="n">
        <v>6491</v>
      </c>
      <c r="AF122" s="13" t="n">
        <v>6490</v>
      </c>
      <c r="AG122" s="13" t="n">
        <v>6488</v>
      </c>
      <c r="AH122" s="13" t="n">
        <v>6486</v>
      </c>
      <c r="AI122" s="13" t="n">
        <v>6484</v>
      </c>
      <c r="AJ122" s="13" t="n">
        <v>6483</v>
      </c>
      <c r="AK122" s="13" t="n">
        <v>6481</v>
      </c>
      <c r="AL122" s="13" t="n">
        <v>6479</v>
      </c>
      <c r="AM122" s="12" t="n">
        <v>0.001934</v>
      </c>
    </row>
    <row r="123" ht="15" customHeight="1">
      <c r="A123" s="11" t="inlineStr">
        <is>
          <t>RKI000:hdd_SouthAtlantc</t>
        </is>
      </c>
      <c r="B123" s="14" t="inlineStr">
        <is>
          <t xml:space="preserve">   South Atlantic</t>
        </is>
      </c>
      <c r="C123" s="13" t="n">
        <v>2487</v>
      </c>
      <c r="D123" s="13" t="n">
        <v>2591</v>
      </c>
      <c r="E123" s="13" t="n">
        <v>2619</v>
      </c>
      <c r="F123" s="13" t="n">
        <v>2605</v>
      </c>
      <c r="G123" s="13" t="n">
        <v>2597</v>
      </c>
      <c r="H123" s="13" t="n">
        <v>2589</v>
      </c>
      <c r="I123" s="13" t="n">
        <v>2582</v>
      </c>
      <c r="J123" s="13" t="n">
        <v>2574</v>
      </c>
      <c r="K123" s="13" t="n">
        <v>2566</v>
      </c>
      <c r="L123" s="13" t="n">
        <v>2559</v>
      </c>
      <c r="M123" s="13" t="n">
        <v>2551</v>
      </c>
      <c r="N123" s="13" t="n">
        <v>2543</v>
      </c>
      <c r="O123" s="13" t="n">
        <v>2536</v>
      </c>
      <c r="P123" s="13" t="n">
        <v>2528</v>
      </c>
      <c r="Q123" s="13" t="n">
        <v>2521</v>
      </c>
      <c r="R123" s="13" t="n">
        <v>2513</v>
      </c>
      <c r="S123" s="13" t="n">
        <v>2505</v>
      </c>
      <c r="T123" s="13" t="n">
        <v>2498</v>
      </c>
      <c r="U123" s="13" t="n">
        <v>2490</v>
      </c>
      <c r="V123" s="13" t="n">
        <v>2483</v>
      </c>
      <c r="W123" s="13" t="n">
        <v>2475</v>
      </c>
      <c r="X123" s="13" t="n">
        <v>2468</v>
      </c>
      <c r="Y123" s="13" t="n">
        <v>2461</v>
      </c>
      <c r="Z123" s="13" t="n">
        <v>2453</v>
      </c>
      <c r="AA123" s="13" t="n">
        <v>2446</v>
      </c>
      <c r="AB123" s="13" t="n">
        <v>2439</v>
      </c>
      <c r="AC123" s="13" t="n">
        <v>2432</v>
      </c>
      <c r="AD123" s="13" t="n">
        <v>2424</v>
      </c>
      <c r="AE123" s="13" t="n">
        <v>2417</v>
      </c>
      <c r="AF123" s="13" t="n">
        <v>2410</v>
      </c>
      <c r="AG123" s="13" t="n">
        <v>2404</v>
      </c>
      <c r="AH123" s="13" t="n">
        <v>2397</v>
      </c>
      <c r="AI123" s="13" t="n">
        <v>2390</v>
      </c>
      <c r="AJ123" s="13" t="n">
        <v>2383</v>
      </c>
      <c r="AK123" s="13" t="n">
        <v>2376</v>
      </c>
      <c r="AL123" s="13" t="n">
        <v>2369</v>
      </c>
      <c r="AM123" s="12" t="n">
        <v>-0.002631</v>
      </c>
    </row>
    <row r="124" ht="15" customHeight="1">
      <c r="A124" s="11" t="inlineStr">
        <is>
          <t>RKI000:hdd_EastSouthCen</t>
        </is>
      </c>
      <c r="B124" s="14" t="inlineStr">
        <is>
          <t xml:space="preserve">   East South Central</t>
        </is>
      </c>
      <c r="C124" s="13" t="n">
        <v>3217</v>
      </c>
      <c r="D124" s="13" t="n">
        <v>3316</v>
      </c>
      <c r="E124" s="13" t="n">
        <v>3393</v>
      </c>
      <c r="F124" s="13" t="n">
        <v>3425</v>
      </c>
      <c r="G124" s="13" t="n">
        <v>3423</v>
      </c>
      <c r="H124" s="13" t="n">
        <v>3421</v>
      </c>
      <c r="I124" s="13" t="n">
        <v>3419</v>
      </c>
      <c r="J124" s="13" t="n">
        <v>3418</v>
      </c>
      <c r="K124" s="13" t="n">
        <v>3416</v>
      </c>
      <c r="L124" s="13" t="n">
        <v>3414</v>
      </c>
      <c r="M124" s="13" t="n">
        <v>3413</v>
      </c>
      <c r="N124" s="13" t="n">
        <v>3411</v>
      </c>
      <c r="O124" s="13" t="n">
        <v>3409</v>
      </c>
      <c r="P124" s="13" t="n">
        <v>3408</v>
      </c>
      <c r="Q124" s="13" t="n">
        <v>3406</v>
      </c>
      <c r="R124" s="13" t="n">
        <v>3404</v>
      </c>
      <c r="S124" s="13" t="n">
        <v>3403</v>
      </c>
      <c r="T124" s="13" t="n">
        <v>3401</v>
      </c>
      <c r="U124" s="13" t="n">
        <v>3399</v>
      </c>
      <c r="V124" s="13" t="n">
        <v>3397</v>
      </c>
      <c r="W124" s="13" t="n">
        <v>3395</v>
      </c>
      <c r="X124" s="13" t="n">
        <v>3394</v>
      </c>
      <c r="Y124" s="13" t="n">
        <v>3392</v>
      </c>
      <c r="Z124" s="13" t="n">
        <v>3390</v>
      </c>
      <c r="AA124" s="13" t="n">
        <v>3388</v>
      </c>
      <c r="AB124" s="13" t="n">
        <v>3386</v>
      </c>
      <c r="AC124" s="13" t="n">
        <v>3384</v>
      </c>
      <c r="AD124" s="13" t="n">
        <v>3383</v>
      </c>
      <c r="AE124" s="13" t="n">
        <v>3381</v>
      </c>
      <c r="AF124" s="13" t="n">
        <v>3379</v>
      </c>
      <c r="AG124" s="13" t="n">
        <v>3377</v>
      </c>
      <c r="AH124" s="13" t="n">
        <v>3375</v>
      </c>
      <c r="AI124" s="13" t="n">
        <v>3374</v>
      </c>
      <c r="AJ124" s="13" t="n">
        <v>3372</v>
      </c>
      <c r="AK124" s="13" t="n">
        <v>3370</v>
      </c>
      <c r="AL124" s="13" t="n">
        <v>3368</v>
      </c>
      <c r="AM124" s="12" t="n">
        <v>0.000458</v>
      </c>
    </row>
    <row r="125" ht="15" customHeight="1">
      <c r="A125" s="11" t="inlineStr">
        <is>
          <t>RKI000:hdd_WestSouthCen</t>
        </is>
      </c>
      <c r="B125" s="14" t="inlineStr">
        <is>
          <t xml:space="preserve">   West South Central</t>
        </is>
      </c>
      <c r="C125" s="13" t="n">
        <v>2089</v>
      </c>
      <c r="D125" s="13" t="n">
        <v>1903</v>
      </c>
      <c r="E125" s="13" t="n">
        <v>2019</v>
      </c>
      <c r="F125" s="13" t="n">
        <v>2071</v>
      </c>
      <c r="G125" s="13" t="n">
        <v>2065</v>
      </c>
      <c r="H125" s="13" t="n">
        <v>2059</v>
      </c>
      <c r="I125" s="13" t="n">
        <v>2054</v>
      </c>
      <c r="J125" s="13" t="n">
        <v>2049</v>
      </c>
      <c r="K125" s="13" t="n">
        <v>2043</v>
      </c>
      <c r="L125" s="13" t="n">
        <v>2038</v>
      </c>
      <c r="M125" s="13" t="n">
        <v>2033</v>
      </c>
      <c r="N125" s="13" t="n">
        <v>2027</v>
      </c>
      <c r="O125" s="13" t="n">
        <v>2022</v>
      </c>
      <c r="P125" s="13" t="n">
        <v>2017</v>
      </c>
      <c r="Q125" s="13" t="n">
        <v>2011</v>
      </c>
      <c r="R125" s="13" t="n">
        <v>2006</v>
      </c>
      <c r="S125" s="13" t="n">
        <v>2001</v>
      </c>
      <c r="T125" s="13" t="n">
        <v>1996</v>
      </c>
      <c r="U125" s="13" t="n">
        <v>1991</v>
      </c>
      <c r="V125" s="13" t="n">
        <v>1986</v>
      </c>
      <c r="W125" s="13" t="n">
        <v>1980</v>
      </c>
      <c r="X125" s="13" t="n">
        <v>1975</v>
      </c>
      <c r="Y125" s="13" t="n">
        <v>1970</v>
      </c>
      <c r="Z125" s="13" t="n">
        <v>1965</v>
      </c>
      <c r="AA125" s="13" t="n">
        <v>1960</v>
      </c>
      <c r="AB125" s="13" t="n">
        <v>1955</v>
      </c>
      <c r="AC125" s="13" t="n">
        <v>1950</v>
      </c>
      <c r="AD125" s="13" t="n">
        <v>1945</v>
      </c>
      <c r="AE125" s="13" t="n">
        <v>1940</v>
      </c>
      <c r="AF125" s="13" t="n">
        <v>1935</v>
      </c>
      <c r="AG125" s="13" t="n">
        <v>1930</v>
      </c>
      <c r="AH125" s="13" t="n">
        <v>1924</v>
      </c>
      <c r="AI125" s="13" t="n">
        <v>1919</v>
      </c>
      <c r="AJ125" s="13" t="n">
        <v>1914</v>
      </c>
      <c r="AK125" s="13" t="n">
        <v>1909</v>
      </c>
      <c r="AL125" s="13" t="n">
        <v>1904</v>
      </c>
      <c r="AM125" s="12" t="n">
        <v>1.5e-05</v>
      </c>
    </row>
    <row r="126" ht="15" customHeight="1">
      <c r="A126" s="11" t="inlineStr">
        <is>
          <t>RKI000:hdd_Mountain</t>
        </is>
      </c>
      <c r="B126" s="14" t="inlineStr">
        <is>
          <t xml:space="preserve">   Mountain</t>
        </is>
      </c>
      <c r="C126" s="13" t="n">
        <v>4602</v>
      </c>
      <c r="D126" s="13" t="n">
        <v>4670</v>
      </c>
      <c r="E126" s="13" t="n">
        <v>4743</v>
      </c>
      <c r="F126" s="13" t="n">
        <v>4897</v>
      </c>
      <c r="G126" s="13" t="n">
        <v>4888</v>
      </c>
      <c r="H126" s="13" t="n">
        <v>4878</v>
      </c>
      <c r="I126" s="13" t="n">
        <v>4868</v>
      </c>
      <c r="J126" s="13" t="n">
        <v>4858</v>
      </c>
      <c r="K126" s="13" t="n">
        <v>4847</v>
      </c>
      <c r="L126" s="13" t="n">
        <v>4836</v>
      </c>
      <c r="M126" s="13" t="n">
        <v>4826</v>
      </c>
      <c r="N126" s="13" t="n">
        <v>4815</v>
      </c>
      <c r="O126" s="13" t="n">
        <v>4804</v>
      </c>
      <c r="P126" s="13" t="n">
        <v>4793</v>
      </c>
      <c r="Q126" s="13" t="n">
        <v>4781</v>
      </c>
      <c r="R126" s="13" t="n">
        <v>4770</v>
      </c>
      <c r="S126" s="13" t="n">
        <v>4758</v>
      </c>
      <c r="T126" s="13" t="n">
        <v>4746</v>
      </c>
      <c r="U126" s="13" t="n">
        <v>4734</v>
      </c>
      <c r="V126" s="13" t="n">
        <v>4722</v>
      </c>
      <c r="W126" s="13" t="n">
        <v>4709</v>
      </c>
      <c r="X126" s="13" t="n">
        <v>4697</v>
      </c>
      <c r="Y126" s="13" t="n">
        <v>4684</v>
      </c>
      <c r="Z126" s="13" t="n">
        <v>4672</v>
      </c>
      <c r="AA126" s="13" t="n">
        <v>4659</v>
      </c>
      <c r="AB126" s="13" t="n">
        <v>4647</v>
      </c>
      <c r="AC126" s="13" t="n">
        <v>4634</v>
      </c>
      <c r="AD126" s="13" t="n">
        <v>4622</v>
      </c>
      <c r="AE126" s="13" t="n">
        <v>4609</v>
      </c>
      <c r="AF126" s="13" t="n">
        <v>4597</v>
      </c>
      <c r="AG126" s="13" t="n">
        <v>4584</v>
      </c>
      <c r="AH126" s="13" t="n">
        <v>4572</v>
      </c>
      <c r="AI126" s="13" t="n">
        <v>4559</v>
      </c>
      <c r="AJ126" s="13" t="n">
        <v>4547</v>
      </c>
      <c r="AK126" s="13" t="n">
        <v>4534</v>
      </c>
      <c r="AL126" s="13" t="n">
        <v>4522</v>
      </c>
      <c r="AM126" s="12" t="n">
        <v>-0.000947</v>
      </c>
    </row>
    <row r="127" ht="15" customHeight="1">
      <c r="A127" s="11" t="inlineStr">
        <is>
          <t>RKI000:hdd_Pacific</t>
        </is>
      </c>
      <c r="B127" s="14" t="inlineStr">
        <is>
          <t xml:space="preserve">   Pacific</t>
        </is>
      </c>
      <c r="C127" s="13" t="n">
        <v>2889</v>
      </c>
      <c r="D127" s="13" t="n">
        <v>2941</v>
      </c>
      <c r="E127" s="13" t="n">
        <v>3057</v>
      </c>
      <c r="F127" s="13" t="n">
        <v>3342</v>
      </c>
      <c r="G127" s="13" t="n">
        <v>3336</v>
      </c>
      <c r="H127" s="13" t="n">
        <v>3329</v>
      </c>
      <c r="I127" s="13" t="n">
        <v>3322</v>
      </c>
      <c r="J127" s="13" t="n">
        <v>3315</v>
      </c>
      <c r="K127" s="13" t="n">
        <v>3308</v>
      </c>
      <c r="L127" s="13" t="n">
        <v>3301</v>
      </c>
      <c r="M127" s="13" t="n">
        <v>3294</v>
      </c>
      <c r="N127" s="13" t="n">
        <v>3287</v>
      </c>
      <c r="O127" s="13" t="n">
        <v>3280</v>
      </c>
      <c r="P127" s="13" t="n">
        <v>3273</v>
      </c>
      <c r="Q127" s="13" t="n">
        <v>3266</v>
      </c>
      <c r="R127" s="13" t="n">
        <v>3260</v>
      </c>
      <c r="S127" s="13" t="n">
        <v>3253</v>
      </c>
      <c r="T127" s="13" t="n">
        <v>3246</v>
      </c>
      <c r="U127" s="13" t="n">
        <v>3239</v>
      </c>
      <c r="V127" s="13" t="n">
        <v>3233</v>
      </c>
      <c r="W127" s="13" t="n">
        <v>3226</v>
      </c>
      <c r="X127" s="13" t="n">
        <v>3219</v>
      </c>
      <c r="Y127" s="13" t="n">
        <v>3213</v>
      </c>
      <c r="Z127" s="13" t="n">
        <v>3206</v>
      </c>
      <c r="AA127" s="13" t="n">
        <v>3200</v>
      </c>
      <c r="AB127" s="13" t="n">
        <v>3193</v>
      </c>
      <c r="AC127" s="13" t="n">
        <v>3186</v>
      </c>
      <c r="AD127" s="13" t="n">
        <v>3179</v>
      </c>
      <c r="AE127" s="13" t="n">
        <v>3173</v>
      </c>
      <c r="AF127" s="13" t="n">
        <v>3166</v>
      </c>
      <c r="AG127" s="13" t="n">
        <v>3159</v>
      </c>
      <c r="AH127" s="13" t="n">
        <v>3152</v>
      </c>
      <c r="AI127" s="13" t="n">
        <v>3145</v>
      </c>
      <c r="AJ127" s="13" t="n">
        <v>3138</v>
      </c>
      <c r="AK127" s="13" t="n">
        <v>3131</v>
      </c>
      <c r="AL127" s="13" t="n">
        <v>3124</v>
      </c>
      <c r="AM127" s="12" t="n">
        <v>0.001777</v>
      </c>
    </row>
    <row r="128" ht="15" customHeight="1">
      <c r="A128" s="11" t="inlineStr">
        <is>
          <t>RKI000:hdd_UnitedStates</t>
        </is>
      </c>
      <c r="B128" s="10" t="inlineStr">
        <is>
          <t xml:space="preserve">      United States</t>
        </is>
      </c>
      <c r="C128" s="9" t="n">
        <v>4083.599609</v>
      </c>
      <c r="D128" s="9" t="n">
        <v>3988.969727</v>
      </c>
      <c r="E128" s="9" t="n">
        <v>4140.887695</v>
      </c>
      <c r="F128" s="9" t="n">
        <v>4191.869629</v>
      </c>
      <c r="G128" s="9" t="n">
        <v>4179.255859</v>
      </c>
      <c r="H128" s="9" t="n">
        <v>4166.383301</v>
      </c>
      <c r="I128" s="9" t="n">
        <v>4154.191895</v>
      </c>
      <c r="J128" s="9" t="n">
        <v>4141.889648</v>
      </c>
      <c r="K128" s="9" t="n">
        <v>4129.13916</v>
      </c>
      <c r="L128" s="9" t="n">
        <v>4117.100098</v>
      </c>
      <c r="M128" s="9" t="n">
        <v>4104.975586</v>
      </c>
      <c r="N128" s="9" t="n">
        <v>4092.428711</v>
      </c>
      <c r="O128" s="9" t="n">
        <v>4080.460449</v>
      </c>
      <c r="P128" s="9" t="n">
        <v>4068.263428</v>
      </c>
      <c r="Q128" s="9" t="n">
        <v>4056.018311</v>
      </c>
      <c r="R128" s="9" t="n">
        <v>4044.03418</v>
      </c>
      <c r="S128" s="9" t="n">
        <v>4031.935059</v>
      </c>
      <c r="T128" s="9" t="n">
        <v>4019.865234</v>
      </c>
      <c r="U128" s="9" t="n">
        <v>4007.560303</v>
      </c>
      <c r="V128" s="9" t="n">
        <v>3995.82666</v>
      </c>
      <c r="W128" s="9" t="n">
        <v>3983.509521</v>
      </c>
      <c r="X128" s="9" t="n">
        <v>3971.474854</v>
      </c>
      <c r="Y128" s="9" t="n">
        <v>3959.614746</v>
      </c>
      <c r="Z128" s="9" t="n">
        <v>3947.433105</v>
      </c>
      <c r="AA128" s="9" t="n">
        <v>3935.464844</v>
      </c>
      <c r="AB128" s="9" t="n">
        <v>3923.461914</v>
      </c>
      <c r="AC128" s="9" t="n">
        <v>3911.358887</v>
      </c>
      <c r="AD128" s="9" t="n">
        <v>3899.059326</v>
      </c>
      <c r="AE128" s="9" t="n">
        <v>3887.088135</v>
      </c>
      <c r="AF128" s="9" t="n">
        <v>3875.08374</v>
      </c>
      <c r="AG128" s="9" t="n">
        <v>3863.120117</v>
      </c>
      <c r="AH128" s="9" t="n">
        <v>3850.936768</v>
      </c>
      <c r="AI128" s="9" t="n">
        <v>3838.92334</v>
      </c>
      <c r="AJ128" s="9" t="n">
        <v>3826.952881</v>
      </c>
      <c r="AK128" s="9" t="n">
        <v>3815.161621</v>
      </c>
      <c r="AL128" s="9" t="n">
        <v>3803.554199</v>
      </c>
      <c r="AM128" s="8" t="n">
        <v>-0.001399</v>
      </c>
    </row>
    <row r="130" ht="15" customHeight="1">
      <c r="B130" s="10" t="inlineStr">
        <is>
          <t>Cooling Degree Days</t>
        </is>
      </c>
    </row>
    <row r="131" ht="15" customHeight="1">
      <c r="A131" s="11" t="inlineStr">
        <is>
          <t>RKI000:cdd_NewEngland</t>
        </is>
      </c>
      <c r="B131" s="14" t="inlineStr">
        <is>
          <t xml:space="preserve">   New England</t>
        </is>
      </c>
      <c r="C131" s="13" t="n">
        <v>558</v>
      </c>
      <c r="D131" s="13" t="n">
        <v>631</v>
      </c>
      <c r="E131" s="13" t="n">
        <v>499</v>
      </c>
      <c r="F131" s="13" t="n">
        <v>550</v>
      </c>
      <c r="G131" s="13" t="n">
        <v>556</v>
      </c>
      <c r="H131" s="13" t="n">
        <v>562</v>
      </c>
      <c r="I131" s="13" t="n">
        <v>567</v>
      </c>
      <c r="J131" s="13" t="n">
        <v>573</v>
      </c>
      <c r="K131" s="13" t="n">
        <v>579</v>
      </c>
      <c r="L131" s="13" t="n">
        <v>585</v>
      </c>
      <c r="M131" s="13" t="n">
        <v>591</v>
      </c>
      <c r="N131" s="13" t="n">
        <v>596</v>
      </c>
      <c r="O131" s="13" t="n">
        <v>602</v>
      </c>
      <c r="P131" s="13" t="n">
        <v>608</v>
      </c>
      <c r="Q131" s="13" t="n">
        <v>614</v>
      </c>
      <c r="R131" s="13" t="n">
        <v>620</v>
      </c>
      <c r="S131" s="13" t="n">
        <v>625</v>
      </c>
      <c r="T131" s="13" t="n">
        <v>631</v>
      </c>
      <c r="U131" s="13" t="n">
        <v>637</v>
      </c>
      <c r="V131" s="13" t="n">
        <v>643</v>
      </c>
      <c r="W131" s="13" t="n">
        <v>649</v>
      </c>
      <c r="X131" s="13" t="n">
        <v>654</v>
      </c>
      <c r="Y131" s="13" t="n">
        <v>660</v>
      </c>
      <c r="Z131" s="13" t="n">
        <v>666</v>
      </c>
      <c r="AA131" s="13" t="n">
        <v>672</v>
      </c>
      <c r="AB131" s="13" t="n">
        <v>678</v>
      </c>
      <c r="AC131" s="13" t="n">
        <v>684</v>
      </c>
      <c r="AD131" s="13" t="n">
        <v>690</v>
      </c>
      <c r="AE131" s="13" t="n">
        <v>695</v>
      </c>
      <c r="AF131" s="13" t="n">
        <v>701</v>
      </c>
      <c r="AG131" s="13" t="n">
        <v>707</v>
      </c>
      <c r="AH131" s="13" t="n">
        <v>713</v>
      </c>
      <c r="AI131" s="13" t="n">
        <v>719</v>
      </c>
      <c r="AJ131" s="13" t="n">
        <v>725</v>
      </c>
      <c r="AK131" s="13" t="n">
        <v>731</v>
      </c>
      <c r="AL131" s="13" t="n">
        <v>737</v>
      </c>
      <c r="AM131" s="12" t="n">
        <v>0.004578</v>
      </c>
    </row>
    <row r="132" ht="15" customHeight="1">
      <c r="A132" s="11" t="inlineStr">
        <is>
          <t>RKI000:cdd_MiddleAtlant</t>
        </is>
      </c>
      <c r="B132" s="14" t="inlineStr">
        <is>
          <t xml:space="preserve">   Middle Atlantic</t>
        </is>
      </c>
      <c r="C132" s="13" t="n">
        <v>804</v>
      </c>
      <c r="D132" s="13" t="n">
        <v>898</v>
      </c>
      <c r="E132" s="13" t="n">
        <v>735</v>
      </c>
      <c r="F132" s="13" t="n">
        <v>769</v>
      </c>
      <c r="G132" s="13" t="n">
        <v>776</v>
      </c>
      <c r="H132" s="13" t="n">
        <v>782</v>
      </c>
      <c r="I132" s="13" t="n">
        <v>789</v>
      </c>
      <c r="J132" s="13" t="n">
        <v>795</v>
      </c>
      <c r="K132" s="13" t="n">
        <v>802</v>
      </c>
      <c r="L132" s="13" t="n">
        <v>808</v>
      </c>
      <c r="M132" s="13" t="n">
        <v>815</v>
      </c>
      <c r="N132" s="13" t="n">
        <v>821</v>
      </c>
      <c r="O132" s="13" t="n">
        <v>828</v>
      </c>
      <c r="P132" s="13" t="n">
        <v>834</v>
      </c>
      <c r="Q132" s="13" t="n">
        <v>841</v>
      </c>
      <c r="R132" s="13" t="n">
        <v>847</v>
      </c>
      <c r="S132" s="13" t="n">
        <v>854</v>
      </c>
      <c r="T132" s="13" t="n">
        <v>860</v>
      </c>
      <c r="U132" s="13" t="n">
        <v>867</v>
      </c>
      <c r="V132" s="13" t="n">
        <v>873</v>
      </c>
      <c r="W132" s="13" t="n">
        <v>880</v>
      </c>
      <c r="X132" s="13" t="n">
        <v>886</v>
      </c>
      <c r="Y132" s="13" t="n">
        <v>892</v>
      </c>
      <c r="Z132" s="13" t="n">
        <v>899</v>
      </c>
      <c r="AA132" s="13" t="n">
        <v>905</v>
      </c>
      <c r="AB132" s="13" t="n">
        <v>912</v>
      </c>
      <c r="AC132" s="13" t="n">
        <v>918</v>
      </c>
      <c r="AD132" s="13" t="n">
        <v>925</v>
      </c>
      <c r="AE132" s="13" t="n">
        <v>931</v>
      </c>
      <c r="AF132" s="13" t="n">
        <v>937</v>
      </c>
      <c r="AG132" s="13" t="n">
        <v>944</v>
      </c>
      <c r="AH132" s="13" t="n">
        <v>950</v>
      </c>
      <c r="AI132" s="13" t="n">
        <v>957</v>
      </c>
      <c r="AJ132" s="13" t="n">
        <v>963</v>
      </c>
      <c r="AK132" s="13" t="n">
        <v>969</v>
      </c>
      <c r="AL132" s="13" t="n">
        <v>976</v>
      </c>
      <c r="AM132" s="12" t="n">
        <v>0.002453</v>
      </c>
    </row>
    <row r="133" ht="15" customHeight="1">
      <c r="A133" s="11" t="inlineStr">
        <is>
          <t>RKI000:cdd_EastNorthCen</t>
        </is>
      </c>
      <c r="B133" s="14" t="inlineStr">
        <is>
          <t xml:space="preserve">   East North Central</t>
        </is>
      </c>
      <c r="C133" s="13" t="n">
        <v>728</v>
      </c>
      <c r="D133" s="13" t="n">
        <v>947</v>
      </c>
      <c r="E133" s="13" t="n">
        <v>797</v>
      </c>
      <c r="F133" s="13" t="n">
        <v>770</v>
      </c>
      <c r="G133" s="13" t="n">
        <v>772</v>
      </c>
      <c r="H133" s="13" t="n">
        <v>773</v>
      </c>
      <c r="I133" s="13" t="n">
        <v>775</v>
      </c>
      <c r="J133" s="13" t="n">
        <v>777</v>
      </c>
      <c r="K133" s="13" t="n">
        <v>779</v>
      </c>
      <c r="L133" s="13" t="n">
        <v>781</v>
      </c>
      <c r="M133" s="13" t="n">
        <v>782</v>
      </c>
      <c r="N133" s="13" t="n">
        <v>784</v>
      </c>
      <c r="O133" s="13" t="n">
        <v>786</v>
      </c>
      <c r="P133" s="13" t="n">
        <v>788</v>
      </c>
      <c r="Q133" s="13" t="n">
        <v>790</v>
      </c>
      <c r="R133" s="13" t="n">
        <v>792</v>
      </c>
      <c r="S133" s="13" t="n">
        <v>793</v>
      </c>
      <c r="T133" s="13" t="n">
        <v>795</v>
      </c>
      <c r="U133" s="13" t="n">
        <v>797</v>
      </c>
      <c r="V133" s="13" t="n">
        <v>799</v>
      </c>
      <c r="W133" s="13" t="n">
        <v>801</v>
      </c>
      <c r="X133" s="13" t="n">
        <v>803</v>
      </c>
      <c r="Y133" s="13" t="n">
        <v>805</v>
      </c>
      <c r="Z133" s="13" t="n">
        <v>806</v>
      </c>
      <c r="AA133" s="13" t="n">
        <v>808</v>
      </c>
      <c r="AB133" s="13" t="n">
        <v>810</v>
      </c>
      <c r="AC133" s="13" t="n">
        <v>812</v>
      </c>
      <c r="AD133" s="13" t="n">
        <v>814</v>
      </c>
      <c r="AE133" s="13" t="n">
        <v>816</v>
      </c>
      <c r="AF133" s="13" t="n">
        <v>818</v>
      </c>
      <c r="AG133" s="13" t="n">
        <v>819</v>
      </c>
      <c r="AH133" s="13" t="n">
        <v>821</v>
      </c>
      <c r="AI133" s="13" t="n">
        <v>823</v>
      </c>
      <c r="AJ133" s="13" t="n">
        <v>825</v>
      </c>
      <c r="AK133" s="13" t="n">
        <v>827</v>
      </c>
      <c r="AL133" s="13" t="n">
        <v>829</v>
      </c>
      <c r="AM133" s="12" t="n">
        <v>-0.003906</v>
      </c>
    </row>
    <row r="134" ht="15" customHeight="1">
      <c r="A134" s="11" t="inlineStr">
        <is>
          <t>RKI000:cdd_WestNorthCen</t>
        </is>
      </c>
      <c r="B134" s="14" t="inlineStr">
        <is>
          <t xml:space="preserve">   West North Central</t>
        </is>
      </c>
      <c r="C134" s="13" t="n">
        <v>940</v>
      </c>
      <c r="D134" s="13" t="n">
        <v>1056</v>
      </c>
      <c r="E134" s="13" t="n">
        <v>996</v>
      </c>
      <c r="F134" s="13" t="n">
        <v>965</v>
      </c>
      <c r="G134" s="13" t="n">
        <v>967</v>
      </c>
      <c r="H134" s="13" t="n">
        <v>969</v>
      </c>
      <c r="I134" s="13" t="n">
        <v>970</v>
      </c>
      <c r="J134" s="13" t="n">
        <v>972</v>
      </c>
      <c r="K134" s="13" t="n">
        <v>974</v>
      </c>
      <c r="L134" s="13" t="n">
        <v>976</v>
      </c>
      <c r="M134" s="13" t="n">
        <v>978</v>
      </c>
      <c r="N134" s="13" t="n">
        <v>980</v>
      </c>
      <c r="O134" s="13" t="n">
        <v>981</v>
      </c>
      <c r="P134" s="13" t="n">
        <v>983</v>
      </c>
      <c r="Q134" s="13" t="n">
        <v>985</v>
      </c>
      <c r="R134" s="13" t="n">
        <v>987</v>
      </c>
      <c r="S134" s="13" t="n">
        <v>989</v>
      </c>
      <c r="T134" s="13" t="n">
        <v>991</v>
      </c>
      <c r="U134" s="13" t="n">
        <v>993</v>
      </c>
      <c r="V134" s="13" t="n">
        <v>995</v>
      </c>
      <c r="W134" s="13" t="n">
        <v>997</v>
      </c>
      <c r="X134" s="13" t="n">
        <v>999</v>
      </c>
      <c r="Y134" s="13" t="n">
        <v>1001</v>
      </c>
      <c r="Z134" s="13" t="n">
        <v>1003</v>
      </c>
      <c r="AA134" s="13" t="n">
        <v>1005</v>
      </c>
      <c r="AB134" s="13" t="n">
        <v>1007</v>
      </c>
      <c r="AC134" s="13" t="n">
        <v>1009</v>
      </c>
      <c r="AD134" s="13" t="n">
        <v>1011</v>
      </c>
      <c r="AE134" s="13" t="n">
        <v>1013</v>
      </c>
      <c r="AF134" s="13" t="n">
        <v>1015</v>
      </c>
      <c r="AG134" s="13" t="n">
        <v>1017</v>
      </c>
      <c r="AH134" s="13" t="n">
        <v>1019</v>
      </c>
      <c r="AI134" s="13" t="n">
        <v>1021</v>
      </c>
      <c r="AJ134" s="13" t="n">
        <v>1023</v>
      </c>
      <c r="AK134" s="13" t="n">
        <v>1025</v>
      </c>
      <c r="AL134" s="13" t="n">
        <v>1027</v>
      </c>
      <c r="AM134" s="12" t="n">
        <v>-0.000819</v>
      </c>
    </row>
    <row r="135" ht="15" customHeight="1">
      <c r="A135" s="11" t="inlineStr">
        <is>
          <t>RKI000:cdd_SouthAtlantc</t>
        </is>
      </c>
      <c r="B135" s="14" t="inlineStr">
        <is>
          <t xml:space="preserve">   South Atlantic</t>
        </is>
      </c>
      <c r="C135" s="13" t="n">
        <v>2403</v>
      </c>
      <c r="D135" s="13" t="n">
        <v>2367</v>
      </c>
      <c r="E135" s="13" t="n">
        <v>2141</v>
      </c>
      <c r="F135" s="13" t="n">
        <v>2200</v>
      </c>
      <c r="G135" s="13" t="n">
        <v>2209</v>
      </c>
      <c r="H135" s="13" t="n">
        <v>2218</v>
      </c>
      <c r="I135" s="13" t="n">
        <v>2226</v>
      </c>
      <c r="J135" s="13" t="n">
        <v>2235</v>
      </c>
      <c r="K135" s="13" t="n">
        <v>2244</v>
      </c>
      <c r="L135" s="13" t="n">
        <v>2253</v>
      </c>
      <c r="M135" s="13" t="n">
        <v>2261</v>
      </c>
      <c r="N135" s="13" t="n">
        <v>2270</v>
      </c>
      <c r="O135" s="13" t="n">
        <v>2279</v>
      </c>
      <c r="P135" s="13" t="n">
        <v>2288</v>
      </c>
      <c r="Q135" s="13" t="n">
        <v>2297</v>
      </c>
      <c r="R135" s="13" t="n">
        <v>2305</v>
      </c>
      <c r="S135" s="13" t="n">
        <v>2314</v>
      </c>
      <c r="T135" s="13" t="n">
        <v>2323</v>
      </c>
      <c r="U135" s="13" t="n">
        <v>2332</v>
      </c>
      <c r="V135" s="13" t="n">
        <v>2341</v>
      </c>
      <c r="W135" s="13" t="n">
        <v>2350</v>
      </c>
      <c r="X135" s="13" t="n">
        <v>2359</v>
      </c>
      <c r="Y135" s="13" t="n">
        <v>2367</v>
      </c>
      <c r="Z135" s="13" t="n">
        <v>2376</v>
      </c>
      <c r="AA135" s="13" t="n">
        <v>2385</v>
      </c>
      <c r="AB135" s="13" t="n">
        <v>2394</v>
      </c>
      <c r="AC135" s="13" t="n">
        <v>2403</v>
      </c>
      <c r="AD135" s="13" t="n">
        <v>2411</v>
      </c>
      <c r="AE135" s="13" t="n">
        <v>2420</v>
      </c>
      <c r="AF135" s="13" t="n">
        <v>2429</v>
      </c>
      <c r="AG135" s="13" t="n">
        <v>2437</v>
      </c>
      <c r="AH135" s="13" t="n">
        <v>2446</v>
      </c>
      <c r="AI135" s="13" t="n">
        <v>2455</v>
      </c>
      <c r="AJ135" s="13" t="n">
        <v>2463</v>
      </c>
      <c r="AK135" s="13" t="n">
        <v>2472</v>
      </c>
      <c r="AL135" s="13" t="n">
        <v>2481</v>
      </c>
      <c r="AM135" s="12" t="n">
        <v>0.001384</v>
      </c>
    </row>
    <row r="136" ht="15" customHeight="1">
      <c r="A136" s="11" t="inlineStr">
        <is>
          <t>RKI000:cdd_EastSouthCen</t>
        </is>
      </c>
      <c r="B136" s="14" t="inlineStr">
        <is>
          <t xml:space="preserve">   East South Central</t>
        </is>
      </c>
      <c r="C136" s="13" t="n">
        <v>1723</v>
      </c>
      <c r="D136" s="13" t="n">
        <v>1902</v>
      </c>
      <c r="E136" s="13" t="n">
        <v>1677</v>
      </c>
      <c r="F136" s="13" t="n">
        <v>1685</v>
      </c>
      <c r="G136" s="13" t="n">
        <v>1690</v>
      </c>
      <c r="H136" s="13" t="n">
        <v>1695</v>
      </c>
      <c r="I136" s="13" t="n">
        <v>1699</v>
      </c>
      <c r="J136" s="13" t="n">
        <v>1704</v>
      </c>
      <c r="K136" s="13" t="n">
        <v>1709</v>
      </c>
      <c r="L136" s="13" t="n">
        <v>1714</v>
      </c>
      <c r="M136" s="13" t="n">
        <v>1719</v>
      </c>
      <c r="N136" s="13" t="n">
        <v>1724</v>
      </c>
      <c r="O136" s="13" t="n">
        <v>1729</v>
      </c>
      <c r="P136" s="13" t="n">
        <v>1734</v>
      </c>
      <c r="Q136" s="13" t="n">
        <v>1738</v>
      </c>
      <c r="R136" s="13" t="n">
        <v>1743</v>
      </c>
      <c r="S136" s="13" t="n">
        <v>1748</v>
      </c>
      <c r="T136" s="13" t="n">
        <v>1753</v>
      </c>
      <c r="U136" s="13" t="n">
        <v>1758</v>
      </c>
      <c r="V136" s="13" t="n">
        <v>1763</v>
      </c>
      <c r="W136" s="13" t="n">
        <v>1768</v>
      </c>
      <c r="X136" s="13" t="n">
        <v>1772</v>
      </c>
      <c r="Y136" s="13" t="n">
        <v>1777</v>
      </c>
      <c r="Z136" s="13" t="n">
        <v>1782</v>
      </c>
      <c r="AA136" s="13" t="n">
        <v>1787</v>
      </c>
      <c r="AB136" s="13" t="n">
        <v>1792</v>
      </c>
      <c r="AC136" s="13" t="n">
        <v>1797</v>
      </c>
      <c r="AD136" s="13" t="n">
        <v>1802</v>
      </c>
      <c r="AE136" s="13" t="n">
        <v>1806</v>
      </c>
      <c r="AF136" s="13" t="n">
        <v>1811</v>
      </c>
      <c r="AG136" s="13" t="n">
        <v>1816</v>
      </c>
      <c r="AH136" s="13" t="n">
        <v>1821</v>
      </c>
      <c r="AI136" s="13" t="n">
        <v>1826</v>
      </c>
      <c r="AJ136" s="13" t="n">
        <v>1830</v>
      </c>
      <c r="AK136" s="13" t="n">
        <v>1835</v>
      </c>
      <c r="AL136" s="13" t="n">
        <v>1840</v>
      </c>
      <c r="AM136" s="12" t="n">
        <v>-0.000974</v>
      </c>
    </row>
    <row r="137" ht="15" customHeight="1">
      <c r="A137" s="11" t="inlineStr">
        <is>
          <t>RKI000:cdd_WestSouthCen</t>
        </is>
      </c>
      <c r="B137" s="14" t="inlineStr">
        <is>
          <t xml:space="preserve">   West South Central</t>
        </is>
      </c>
      <c r="C137" s="13" t="n">
        <v>2745</v>
      </c>
      <c r="D137" s="13" t="n">
        <v>2769</v>
      </c>
      <c r="E137" s="13" t="n">
        <v>2671</v>
      </c>
      <c r="F137" s="13" t="n">
        <v>2798</v>
      </c>
      <c r="G137" s="13" t="n">
        <v>2812</v>
      </c>
      <c r="H137" s="13" t="n">
        <v>2827</v>
      </c>
      <c r="I137" s="13" t="n">
        <v>2841</v>
      </c>
      <c r="J137" s="13" t="n">
        <v>2855</v>
      </c>
      <c r="K137" s="13" t="n">
        <v>2870</v>
      </c>
      <c r="L137" s="13" t="n">
        <v>2884</v>
      </c>
      <c r="M137" s="13" t="n">
        <v>2898</v>
      </c>
      <c r="N137" s="13" t="n">
        <v>2913</v>
      </c>
      <c r="O137" s="13" t="n">
        <v>2927</v>
      </c>
      <c r="P137" s="13" t="n">
        <v>2941</v>
      </c>
      <c r="Q137" s="13" t="n">
        <v>2955</v>
      </c>
      <c r="R137" s="13" t="n">
        <v>2970</v>
      </c>
      <c r="S137" s="13" t="n">
        <v>2984</v>
      </c>
      <c r="T137" s="13" t="n">
        <v>2998</v>
      </c>
      <c r="U137" s="13" t="n">
        <v>3013</v>
      </c>
      <c r="V137" s="13" t="n">
        <v>3027</v>
      </c>
      <c r="W137" s="13" t="n">
        <v>3041</v>
      </c>
      <c r="X137" s="13" t="n">
        <v>3056</v>
      </c>
      <c r="Y137" s="13" t="n">
        <v>3070</v>
      </c>
      <c r="Z137" s="13" t="n">
        <v>3084</v>
      </c>
      <c r="AA137" s="13" t="n">
        <v>3099</v>
      </c>
      <c r="AB137" s="13" t="n">
        <v>3113</v>
      </c>
      <c r="AC137" s="13" t="n">
        <v>3127</v>
      </c>
      <c r="AD137" s="13" t="n">
        <v>3142</v>
      </c>
      <c r="AE137" s="13" t="n">
        <v>3156</v>
      </c>
      <c r="AF137" s="13" t="n">
        <v>3170</v>
      </c>
      <c r="AG137" s="13" t="n">
        <v>3185</v>
      </c>
      <c r="AH137" s="13" t="n">
        <v>3199</v>
      </c>
      <c r="AI137" s="13" t="n">
        <v>3213</v>
      </c>
      <c r="AJ137" s="13" t="n">
        <v>3228</v>
      </c>
      <c r="AK137" s="13" t="n">
        <v>3242</v>
      </c>
      <c r="AL137" s="13" t="n">
        <v>3257</v>
      </c>
      <c r="AM137" s="12" t="n">
        <v>0.004786</v>
      </c>
    </row>
    <row r="138" ht="15" customHeight="1">
      <c r="A138" s="11" t="inlineStr">
        <is>
          <t>RKI000:cdd_Mountain</t>
        </is>
      </c>
      <c r="B138" s="14" t="inlineStr">
        <is>
          <t xml:space="preserve">   Mountain</t>
        </is>
      </c>
      <c r="C138" s="13" t="n">
        <v>1480</v>
      </c>
      <c r="D138" s="13" t="n">
        <v>1477</v>
      </c>
      <c r="E138" s="13" t="n">
        <v>1523</v>
      </c>
      <c r="F138" s="13" t="n">
        <v>1523</v>
      </c>
      <c r="G138" s="13" t="n">
        <v>1532</v>
      </c>
      <c r="H138" s="13" t="n">
        <v>1540</v>
      </c>
      <c r="I138" s="13" t="n">
        <v>1550</v>
      </c>
      <c r="J138" s="13" t="n">
        <v>1559</v>
      </c>
      <c r="K138" s="13" t="n">
        <v>1568</v>
      </c>
      <c r="L138" s="13" t="n">
        <v>1577</v>
      </c>
      <c r="M138" s="13" t="n">
        <v>1587</v>
      </c>
      <c r="N138" s="13" t="n">
        <v>1596</v>
      </c>
      <c r="O138" s="13" t="n">
        <v>1606</v>
      </c>
      <c r="P138" s="13" t="n">
        <v>1615</v>
      </c>
      <c r="Q138" s="13" t="n">
        <v>1625</v>
      </c>
      <c r="R138" s="13" t="n">
        <v>1635</v>
      </c>
      <c r="S138" s="13" t="n">
        <v>1645</v>
      </c>
      <c r="T138" s="13" t="n">
        <v>1655</v>
      </c>
      <c r="U138" s="13" t="n">
        <v>1665</v>
      </c>
      <c r="V138" s="13" t="n">
        <v>1676</v>
      </c>
      <c r="W138" s="13" t="n">
        <v>1686</v>
      </c>
      <c r="X138" s="13" t="n">
        <v>1697</v>
      </c>
      <c r="Y138" s="13" t="n">
        <v>1707</v>
      </c>
      <c r="Z138" s="13" t="n">
        <v>1718</v>
      </c>
      <c r="AA138" s="13" t="n">
        <v>1728</v>
      </c>
      <c r="AB138" s="13" t="n">
        <v>1739</v>
      </c>
      <c r="AC138" s="13" t="n">
        <v>1749</v>
      </c>
      <c r="AD138" s="13" t="n">
        <v>1760</v>
      </c>
      <c r="AE138" s="13" t="n">
        <v>1771</v>
      </c>
      <c r="AF138" s="13" t="n">
        <v>1781</v>
      </c>
      <c r="AG138" s="13" t="n">
        <v>1792</v>
      </c>
      <c r="AH138" s="13" t="n">
        <v>1803</v>
      </c>
      <c r="AI138" s="13" t="n">
        <v>1813</v>
      </c>
      <c r="AJ138" s="13" t="n">
        <v>1824</v>
      </c>
      <c r="AK138" s="13" t="n">
        <v>1835</v>
      </c>
      <c r="AL138" s="13" t="n">
        <v>1845</v>
      </c>
      <c r="AM138" s="12" t="n">
        <v>0.006565</v>
      </c>
    </row>
    <row r="139" ht="15" customHeight="1">
      <c r="A139" s="11" t="inlineStr">
        <is>
          <t>RKI000:cdd_Pacific</t>
        </is>
      </c>
      <c r="B139" s="14" t="inlineStr">
        <is>
          <t xml:space="preserve">   Pacific</t>
        </is>
      </c>
      <c r="C139" s="13" t="n">
        <v>1074</v>
      </c>
      <c r="D139" s="13" t="n">
        <v>926</v>
      </c>
      <c r="E139" s="13" t="n">
        <v>873</v>
      </c>
      <c r="F139" s="13" t="n">
        <v>965</v>
      </c>
      <c r="G139" s="13" t="n">
        <v>974</v>
      </c>
      <c r="H139" s="13" t="n">
        <v>983</v>
      </c>
      <c r="I139" s="13" t="n">
        <v>992</v>
      </c>
      <c r="J139" s="13" t="n">
        <v>1001</v>
      </c>
      <c r="K139" s="13" t="n">
        <v>1010</v>
      </c>
      <c r="L139" s="13" t="n">
        <v>1019</v>
      </c>
      <c r="M139" s="13" t="n">
        <v>1027</v>
      </c>
      <c r="N139" s="13" t="n">
        <v>1036</v>
      </c>
      <c r="O139" s="13" t="n">
        <v>1045</v>
      </c>
      <c r="P139" s="13" t="n">
        <v>1054</v>
      </c>
      <c r="Q139" s="13" t="n">
        <v>1063</v>
      </c>
      <c r="R139" s="13" t="n">
        <v>1071</v>
      </c>
      <c r="S139" s="13" t="n">
        <v>1080</v>
      </c>
      <c r="T139" s="13" t="n">
        <v>1089</v>
      </c>
      <c r="U139" s="13" t="n">
        <v>1098</v>
      </c>
      <c r="V139" s="13" t="n">
        <v>1106</v>
      </c>
      <c r="W139" s="13" t="n">
        <v>1115</v>
      </c>
      <c r="X139" s="13" t="n">
        <v>1124</v>
      </c>
      <c r="Y139" s="13" t="n">
        <v>1132</v>
      </c>
      <c r="Z139" s="13" t="n">
        <v>1141</v>
      </c>
      <c r="AA139" s="13" t="n">
        <v>1150</v>
      </c>
      <c r="AB139" s="13" t="n">
        <v>1158</v>
      </c>
      <c r="AC139" s="13" t="n">
        <v>1167</v>
      </c>
      <c r="AD139" s="13" t="n">
        <v>1176</v>
      </c>
      <c r="AE139" s="13" t="n">
        <v>1184</v>
      </c>
      <c r="AF139" s="13" t="n">
        <v>1193</v>
      </c>
      <c r="AG139" s="13" t="n">
        <v>1202</v>
      </c>
      <c r="AH139" s="13" t="n">
        <v>1210</v>
      </c>
      <c r="AI139" s="13" t="n">
        <v>1219</v>
      </c>
      <c r="AJ139" s="13" t="n">
        <v>1227</v>
      </c>
      <c r="AK139" s="13" t="n">
        <v>1236</v>
      </c>
      <c r="AL139" s="13" t="n">
        <v>1245</v>
      </c>
      <c r="AM139" s="12" t="n">
        <v>0.008744</v>
      </c>
    </row>
    <row r="140" ht="15" customHeight="1">
      <c r="A140" s="11" t="inlineStr">
        <is>
          <t>RKI000:cdd_UnitedStates</t>
        </is>
      </c>
      <c r="B140" s="10" t="inlineStr">
        <is>
          <t xml:space="preserve">      United States</t>
        </is>
      </c>
      <c r="C140" s="9" t="n">
        <v>1489.03833</v>
      </c>
      <c r="D140" s="9" t="n">
        <v>1528.476929</v>
      </c>
      <c r="E140" s="9" t="n">
        <v>1403.334595</v>
      </c>
      <c r="F140" s="9" t="n">
        <v>1449.539917</v>
      </c>
      <c r="G140" s="9" t="n">
        <v>1459.570557</v>
      </c>
      <c r="H140" s="9" t="n">
        <v>1469.341919</v>
      </c>
      <c r="I140" s="9" t="n">
        <v>1479.024048</v>
      </c>
      <c r="J140" s="9" t="n">
        <v>1488.880127</v>
      </c>
      <c r="K140" s="9" t="n">
        <v>1498.99646</v>
      </c>
      <c r="L140" s="9" t="n">
        <v>1508.877441</v>
      </c>
      <c r="M140" s="9" t="n">
        <v>1518.466309</v>
      </c>
      <c r="N140" s="9" t="n">
        <v>1528.460327</v>
      </c>
      <c r="O140" s="9" t="n">
        <v>1538.516846</v>
      </c>
      <c r="P140" s="9" t="n">
        <v>1548.451294</v>
      </c>
      <c r="Q140" s="9" t="n">
        <v>1558.54248</v>
      </c>
      <c r="R140" s="9" t="n">
        <v>1568.3479</v>
      </c>
      <c r="S140" s="9" t="n">
        <v>1578.361816</v>
      </c>
      <c r="T140" s="9" t="n">
        <v>1588.459961</v>
      </c>
      <c r="U140" s="9" t="n">
        <v>1598.82959</v>
      </c>
      <c r="V140" s="9" t="n">
        <v>1608.890137</v>
      </c>
      <c r="W140" s="9" t="n">
        <v>1619.177368</v>
      </c>
      <c r="X140" s="9" t="n">
        <v>1629.497803</v>
      </c>
      <c r="Y140" s="9" t="n">
        <v>1639.346069</v>
      </c>
      <c r="Z140" s="9" t="n">
        <v>1649.663696</v>
      </c>
      <c r="AA140" s="9" t="n">
        <v>1660.075317</v>
      </c>
      <c r="AB140" s="9" t="n">
        <v>1670.406738</v>
      </c>
      <c r="AC140" s="9" t="n">
        <v>1680.733521</v>
      </c>
      <c r="AD140" s="9" t="n">
        <v>1691.206055</v>
      </c>
      <c r="AE140" s="9" t="n">
        <v>1701.408569</v>
      </c>
      <c r="AF140" s="9" t="n">
        <v>1711.813354</v>
      </c>
      <c r="AG140" s="9" t="n">
        <v>1722.235718</v>
      </c>
      <c r="AH140" s="9" t="n">
        <v>1732.598267</v>
      </c>
      <c r="AI140" s="9" t="n">
        <v>1743.162842</v>
      </c>
      <c r="AJ140" s="9" t="n">
        <v>1753.391846</v>
      </c>
      <c r="AK140" s="9" t="n">
        <v>1763.827515</v>
      </c>
      <c r="AL140" s="9" t="n">
        <v>1774.346069</v>
      </c>
      <c r="AM140" s="8" t="n">
        <v>0.004397</v>
      </c>
    </row>
    <row r="141" ht="15" customHeight="1" thickBot="1"/>
    <row r="142" ht="15" customHeight="1">
      <c r="B142" s="39" t="inlineStr">
        <is>
          <t xml:space="preserve">   1/ Does not include water heating portion of load.</t>
        </is>
      </c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</row>
    <row r="143" ht="15" customHeight="1">
      <c r="B143" s="7" t="inlineStr">
        <is>
          <t xml:space="preserve">   2/ Includes televisions, set-top boxes, home theater systems, DVD players, and video game consoles.</t>
        </is>
      </c>
    </row>
    <row r="144" ht="15" customHeight="1">
      <c r="B144" s="7" t="inlineStr">
        <is>
          <t xml:space="preserve">   3/ Includes desktop and laptop computers, monitors, and networking equipment.</t>
        </is>
      </c>
    </row>
    <row r="145" ht="15" customHeight="1">
      <c r="B145" s="7" t="inlineStr">
        <is>
          <t xml:space="preserve">   4/ Includes small electric devices, heating elements, and motors not listed above.  Electric vehicles are included in the</t>
        </is>
      </c>
    </row>
    <row r="146" ht="15" customHeight="1">
      <c r="B146" s="7" t="inlineStr">
        <is>
          <t>transportation sector.</t>
        </is>
      </c>
    </row>
    <row r="147" ht="15" customHeight="1">
      <c r="B147" s="7" t="inlineStr">
        <is>
          <t xml:space="preserve">   5/ Includes such appliances as outdoor grills, exterior lights, pool heaters, spa heaters, and backup electricity generators.</t>
        </is>
      </c>
    </row>
    <row r="148" ht="15" customHeight="1">
      <c r="B148" s="7" t="inlineStr">
        <is>
          <t xml:space="preserve">   6/ Includes such appliances as pool heaters, spa heaters, and backup electricity generators.</t>
        </is>
      </c>
    </row>
    <row r="149" ht="15" customHeight="1">
      <c r="B149" s="7" t="inlineStr">
        <is>
          <t xml:space="preserve">   7/ Includes wood used for primary and secondary heating in wood stoves or fireplaces as reported in the Residential Energy Consumption</t>
        </is>
      </c>
    </row>
    <row r="150" ht="15" customHeight="1">
      <c r="B150" s="7" t="inlineStr">
        <is>
          <t>Survey 2009.</t>
        </is>
      </c>
    </row>
    <row r="151" ht="15" customHeight="1">
      <c r="B151" s="7" t="inlineStr">
        <is>
          <t xml:space="preserve">   8/ Includes small electric devices, heating elements, outdoor grills, exterior lights, pool heaters, spa heaters, backup electricity</t>
        </is>
      </c>
    </row>
    <row r="152" ht="15" customHeight="1">
      <c r="B152" s="7" t="inlineStr">
        <is>
          <t>generators, and motors not listed above.  Electric vehicles are included in the transportation sector.</t>
        </is>
      </c>
    </row>
    <row r="153" ht="15" customHeight="1">
      <c r="B153" s="7" t="inlineStr">
        <is>
          <t xml:space="preserve">   9/ Consumption determined by using the fossil fuel equivalent of 9,510 Btu per kilowatthour.</t>
        </is>
      </c>
    </row>
    <row r="154" ht="15" customHeight="1">
      <c r="B154" s="7" t="inlineStr">
        <is>
          <t xml:space="preserve">   Btu = British thermal unit.</t>
        </is>
      </c>
    </row>
    <row r="155" ht="15" customHeight="1">
      <c r="B155" s="7" t="inlineStr">
        <is>
          <t xml:space="preserve">   - - = Not applicable.</t>
        </is>
      </c>
    </row>
    <row r="156" ht="15" customHeight="1">
      <c r="B156" s="7" t="inlineStr">
        <is>
          <t xml:space="preserve">   Note:  Totals may not equal sum of components due to independent rounding.  Data for 2015</t>
        </is>
      </c>
    </row>
    <row r="157" ht="15" customHeight="1">
      <c r="B157" s="7" t="inlineStr">
        <is>
          <t>are model results and may differ from official EIA data reports.</t>
        </is>
      </c>
    </row>
    <row r="158" ht="15" customHeight="1">
      <c r="B158" s="7" t="inlineStr">
        <is>
          <t xml:space="preserve">   Source:  2015 consumption based on:  U.S. Energy Information Administration (EIA), Monthly Energy Review,</t>
        </is>
      </c>
    </row>
    <row r="159" ht="15" customHeight="1">
      <c r="B159" s="7" t="inlineStr">
        <is>
          <t>October 2016.  2015 degree days based on state-level data from the National Oceanic and Atmospheric</t>
        </is>
      </c>
    </row>
    <row r="160" ht="15" customHeight="1">
      <c r="B160" s="7" t="inlineStr">
        <is>
          <t>Administration's Climatic Data Center and Climate Prediction Center.</t>
        </is>
      </c>
    </row>
    <row r="161" ht="15" customHeight="1">
      <c r="B161" s="7" t="inlineStr">
        <is>
          <t>2016:  EIA, Short-Term Energy Outlook, October 2016 and EIA, AEO2017 National Energy Modeling System run ref2017.d120816a.</t>
        </is>
      </c>
    </row>
    <row r="162" ht="15" customHeight="1">
      <c r="B162" s="7" t="inlineStr">
        <is>
          <t>Projections:  EIA, AEO2017 National Energy Modeling System run ref2017.d120816a.</t>
        </is>
      </c>
    </row>
  </sheetData>
  <mergeCells count="1">
    <mergeCell ref="B142:AM142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CKI000</t>
        </is>
      </c>
      <c r="B10" s="22" t="inlineStr">
        <is>
          <t>5. Commercial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7" ht="15" customHeight="1">
      <c r="B17" s="10" t="inlineStr">
        <is>
          <t xml:space="preserve"> Total Floorspace (billion square feet)</t>
        </is>
      </c>
    </row>
    <row r="18" ht="15" customHeight="1">
      <c r="A18" s="11" t="inlineStr">
        <is>
          <t>CKI000:da_Surviving</t>
        </is>
      </c>
      <c r="B18" s="14" t="inlineStr">
        <is>
          <t xml:space="preserve">   Surviving</t>
        </is>
      </c>
      <c r="C18" s="17" t="n">
        <v>87.052673</v>
      </c>
      <c r="D18" s="17" t="n">
        <v>87.748482</v>
      </c>
      <c r="E18" s="17" t="n">
        <v>88.624725</v>
      </c>
      <c r="F18" s="17" t="n">
        <v>89.572952</v>
      </c>
      <c r="G18" s="17" t="n">
        <v>90.59534499999999</v>
      </c>
      <c r="H18" s="17" t="n">
        <v>91.66527600000001</v>
      </c>
      <c r="I18" s="17" t="n">
        <v>92.73690000000001</v>
      </c>
      <c r="J18" s="17" t="n">
        <v>93.823814</v>
      </c>
      <c r="K18" s="17" t="n">
        <v>94.90604399999999</v>
      </c>
      <c r="L18" s="17" t="n">
        <v>95.986115</v>
      </c>
      <c r="M18" s="17" t="n">
        <v>97.062828</v>
      </c>
      <c r="N18" s="17" t="n">
        <v>98.128677</v>
      </c>
      <c r="O18" s="17" t="n">
        <v>99.18222</v>
      </c>
      <c r="P18" s="17" t="n">
        <v>100.230461</v>
      </c>
      <c r="Q18" s="17" t="n">
        <v>101.286148</v>
      </c>
      <c r="R18" s="17" t="n">
        <v>102.349113</v>
      </c>
      <c r="S18" s="17" t="n">
        <v>103.414375</v>
      </c>
      <c r="T18" s="17" t="n">
        <v>104.48439</v>
      </c>
      <c r="U18" s="17" t="n">
        <v>105.55275</v>
      </c>
      <c r="V18" s="17" t="n">
        <v>106.626472</v>
      </c>
      <c r="W18" s="17" t="n">
        <v>107.707497</v>
      </c>
      <c r="X18" s="17" t="n">
        <v>108.784874</v>
      </c>
      <c r="Y18" s="17" t="n">
        <v>109.856972</v>
      </c>
      <c r="Z18" s="17" t="n">
        <v>110.924553</v>
      </c>
      <c r="AA18" s="17" t="n">
        <v>111.998299</v>
      </c>
      <c r="AB18" s="17" t="n">
        <v>113.075142</v>
      </c>
      <c r="AC18" s="17" t="n">
        <v>114.154655</v>
      </c>
      <c r="AD18" s="17" t="n">
        <v>115.233337</v>
      </c>
      <c r="AE18" s="17" t="n">
        <v>116.313423</v>
      </c>
      <c r="AF18" s="17" t="n">
        <v>117.395775</v>
      </c>
      <c r="AG18" s="17" t="n">
        <v>118.482185</v>
      </c>
      <c r="AH18" s="17" t="n">
        <v>119.573524</v>
      </c>
      <c r="AI18" s="17" t="n">
        <v>120.668968</v>
      </c>
      <c r="AJ18" s="17" t="n">
        <v>121.760483</v>
      </c>
      <c r="AK18" s="17" t="n">
        <v>122.848022</v>
      </c>
      <c r="AL18" s="17" t="n">
        <v>123.93219</v>
      </c>
      <c r="AM18" s="12" t="n">
        <v>0.010206</v>
      </c>
    </row>
    <row r="19" ht="15" customHeight="1">
      <c r="A19" s="11" t="inlineStr">
        <is>
          <t>CKI000:da_NewAdditions</t>
        </is>
      </c>
      <c r="B19" s="14" t="inlineStr">
        <is>
          <t xml:space="preserve">   New Additions</t>
        </is>
      </c>
      <c r="C19" s="17" t="n">
        <v>1.806707</v>
      </c>
      <c r="D19" s="17" t="n">
        <v>1.995486</v>
      </c>
      <c r="E19" s="17" t="n">
        <v>2.075766</v>
      </c>
      <c r="F19" s="17" t="n">
        <v>2.158288</v>
      </c>
      <c r="G19" s="17" t="n">
        <v>2.214259</v>
      </c>
      <c r="H19" s="17" t="n">
        <v>2.224493</v>
      </c>
      <c r="I19" s="17" t="n">
        <v>2.248463</v>
      </c>
      <c r="J19" s="17" t="n">
        <v>2.25259</v>
      </c>
      <c r="K19" s="17" t="n">
        <v>2.259454</v>
      </c>
      <c r="L19" s="17" t="n">
        <v>2.265276</v>
      </c>
      <c r="M19" s="17" t="n">
        <v>2.263771</v>
      </c>
      <c r="N19" s="17" t="n">
        <v>2.261031</v>
      </c>
      <c r="O19" s="17" t="n">
        <v>2.265505</v>
      </c>
      <c r="P19" s="17" t="n">
        <v>2.282902</v>
      </c>
      <c r="Q19" s="17" t="n">
        <v>2.300351</v>
      </c>
      <c r="R19" s="17" t="n">
        <v>2.313028</v>
      </c>
      <c r="S19" s="17" t="n">
        <v>2.328386</v>
      </c>
      <c r="T19" s="17" t="n">
        <v>2.337556</v>
      </c>
      <c r="U19" s="17" t="n">
        <v>2.353944</v>
      </c>
      <c r="V19" s="17" t="n">
        <v>2.372502</v>
      </c>
      <c r="W19" s="17" t="n">
        <v>2.380299</v>
      </c>
      <c r="X19" s="17" t="n">
        <v>2.386698</v>
      </c>
      <c r="Y19" s="17" t="n">
        <v>2.394062</v>
      </c>
      <c r="Z19" s="17" t="n">
        <v>2.41226</v>
      </c>
      <c r="AA19" s="17" t="n">
        <v>2.42761</v>
      </c>
      <c r="AB19" s="17" t="n">
        <v>2.442725</v>
      </c>
      <c r="AC19" s="17" t="n">
        <v>2.454479</v>
      </c>
      <c r="AD19" s="17" t="n">
        <v>2.468655</v>
      </c>
      <c r="AE19" s="17" t="n">
        <v>2.483835</v>
      </c>
      <c r="AF19" s="17" t="n">
        <v>2.500962</v>
      </c>
      <c r="AG19" s="17" t="n">
        <v>2.519112</v>
      </c>
      <c r="AH19" s="17" t="n">
        <v>2.536558</v>
      </c>
      <c r="AI19" s="17" t="n">
        <v>2.546119</v>
      </c>
      <c r="AJ19" s="17" t="n">
        <v>2.555725</v>
      </c>
      <c r="AK19" s="17" t="n">
        <v>2.56608</v>
      </c>
      <c r="AL19" s="17" t="n">
        <v>2.579243</v>
      </c>
      <c r="AM19" s="12" t="n">
        <v>0.007576</v>
      </c>
    </row>
    <row r="20" ht="15" customHeight="1">
      <c r="A20" s="11" t="inlineStr">
        <is>
          <t>CKI000:da_Total</t>
        </is>
      </c>
      <c r="B20" s="10" t="inlineStr">
        <is>
          <t xml:space="preserve">     Total</t>
        </is>
      </c>
      <c r="C20" s="18" t="n">
        <v>88.85938299999999</v>
      </c>
      <c r="D20" s="18" t="n">
        <v>89.743965</v>
      </c>
      <c r="E20" s="18" t="n">
        <v>90.70049299999999</v>
      </c>
      <c r="F20" s="18" t="n">
        <v>91.731239</v>
      </c>
      <c r="G20" s="18" t="n">
        <v>92.809601</v>
      </c>
      <c r="H20" s="18" t="n">
        <v>93.889771</v>
      </c>
      <c r="I20" s="18" t="n">
        <v>94.985367</v>
      </c>
      <c r="J20" s="18" t="n">
        <v>96.076401</v>
      </c>
      <c r="K20" s="18" t="n">
        <v>97.165497</v>
      </c>
      <c r="L20" s="18" t="n">
        <v>98.251389</v>
      </c>
      <c r="M20" s="18" t="n">
        <v>99.326599</v>
      </c>
      <c r="N20" s="18" t="n">
        <v>100.389709</v>
      </c>
      <c r="O20" s="18" t="n">
        <v>101.447723</v>
      </c>
      <c r="P20" s="18" t="n">
        <v>102.513367</v>
      </c>
      <c r="Q20" s="18" t="n">
        <v>103.586502</v>
      </c>
      <c r="R20" s="18" t="n">
        <v>104.66214</v>
      </c>
      <c r="S20" s="18" t="n">
        <v>105.74276</v>
      </c>
      <c r="T20" s="18" t="n">
        <v>106.821945</v>
      </c>
      <c r="U20" s="18" t="n">
        <v>107.906693</v>
      </c>
      <c r="V20" s="18" t="n">
        <v>108.998978</v>
      </c>
      <c r="W20" s="18" t="n">
        <v>110.087799</v>
      </c>
      <c r="X20" s="18" t="n">
        <v>111.17157</v>
      </c>
      <c r="Y20" s="18" t="n">
        <v>112.25103</v>
      </c>
      <c r="Z20" s="18" t="n">
        <v>113.336815</v>
      </c>
      <c r="AA20" s="18" t="n">
        <v>114.425911</v>
      </c>
      <c r="AB20" s="18" t="n">
        <v>115.517868</v>
      </c>
      <c r="AC20" s="18" t="n">
        <v>116.609131</v>
      </c>
      <c r="AD20" s="18" t="n">
        <v>117.701996</v>
      </c>
      <c r="AE20" s="18" t="n">
        <v>118.797256</v>
      </c>
      <c r="AF20" s="18" t="n">
        <v>119.896736</v>
      </c>
      <c r="AG20" s="18" t="n">
        <v>121.001297</v>
      </c>
      <c r="AH20" s="18" t="n">
        <v>122.110085</v>
      </c>
      <c r="AI20" s="18" t="n">
        <v>123.215088</v>
      </c>
      <c r="AJ20" s="18" t="n">
        <v>124.316208</v>
      </c>
      <c r="AK20" s="18" t="n">
        <v>125.414101</v>
      </c>
      <c r="AL20" s="18" t="n">
        <v>126.511436</v>
      </c>
      <c r="AM20" s="8" t="n">
        <v>0.01015</v>
      </c>
    </row>
    <row r="22" ht="15" customHeight="1">
      <c r="B22" s="10" t="inlineStr">
        <is>
          <t xml:space="preserve"> Energy Consumption Intensity</t>
        </is>
      </c>
    </row>
    <row r="23" ht="15" customHeight="1">
      <c r="B23" s="10" t="inlineStr">
        <is>
          <t xml:space="preserve"> (thousand Btu per square foot)</t>
        </is>
      </c>
    </row>
    <row r="24" ht="15" customHeight="1">
      <c r="A24" s="11" t="inlineStr">
        <is>
          <t>CKI000:ea_DeliveredEner</t>
        </is>
      </c>
      <c r="B24" s="14" t="inlineStr">
        <is>
          <t xml:space="preserve">   Delivered Energy Consumption</t>
        </is>
      </c>
      <c r="C24" s="17" t="n">
        <v>97.563316</v>
      </c>
      <c r="D24" s="17" t="n">
        <v>97.668396</v>
      </c>
      <c r="E24" s="17" t="n">
        <v>97.261589</v>
      </c>
      <c r="F24" s="17" t="n">
        <v>96.130386</v>
      </c>
      <c r="G24" s="17" t="n">
        <v>94.564583</v>
      </c>
      <c r="H24" s="17" t="n">
        <v>93.049156</v>
      </c>
      <c r="I24" s="17" t="n">
        <v>91.92156199999999</v>
      </c>
      <c r="J24" s="17" t="n">
        <v>90.789978</v>
      </c>
      <c r="K24" s="17" t="n">
        <v>89.814285</v>
      </c>
      <c r="L24" s="17" t="n">
        <v>89.000862</v>
      </c>
      <c r="M24" s="17" t="n">
        <v>88.16905199999999</v>
      </c>
      <c r="N24" s="17" t="n">
        <v>87.337715</v>
      </c>
      <c r="O24" s="17" t="n">
        <v>86.533424</v>
      </c>
      <c r="P24" s="17" t="n">
        <v>85.84515399999999</v>
      </c>
      <c r="Q24" s="17" t="n">
        <v>85.23865499999999</v>
      </c>
      <c r="R24" s="17" t="n">
        <v>84.562752</v>
      </c>
      <c r="S24" s="17" t="n">
        <v>83.95842</v>
      </c>
      <c r="T24" s="17" t="n">
        <v>83.44989</v>
      </c>
      <c r="U24" s="17" t="n">
        <v>83.066811</v>
      </c>
      <c r="V24" s="17" t="n">
        <v>82.694626</v>
      </c>
      <c r="W24" s="17" t="n">
        <v>82.32798</v>
      </c>
      <c r="X24" s="17" t="n">
        <v>81.971771</v>
      </c>
      <c r="Y24" s="17" t="n">
        <v>81.70665</v>
      </c>
      <c r="Z24" s="17" t="n">
        <v>81.487419</v>
      </c>
      <c r="AA24" s="17" t="n">
        <v>81.290657</v>
      </c>
      <c r="AB24" s="17" t="n">
        <v>81.12101699999999</v>
      </c>
      <c r="AC24" s="17" t="n">
        <v>80.996094</v>
      </c>
      <c r="AD24" s="17" t="n">
        <v>80.906082</v>
      </c>
      <c r="AE24" s="17" t="n">
        <v>80.829742</v>
      </c>
      <c r="AF24" s="17" t="n">
        <v>80.78317300000001</v>
      </c>
      <c r="AG24" s="17" t="n">
        <v>80.74896200000001</v>
      </c>
      <c r="AH24" s="17" t="n">
        <v>80.736008</v>
      </c>
      <c r="AI24" s="17" t="n">
        <v>80.739143</v>
      </c>
      <c r="AJ24" s="17" t="n">
        <v>80.76284</v>
      </c>
      <c r="AK24" s="17" t="n">
        <v>80.817047</v>
      </c>
      <c r="AL24" s="17" t="n">
        <v>80.876205</v>
      </c>
      <c r="AM24" s="12" t="n">
        <v>-0.005533</v>
      </c>
    </row>
    <row r="25" ht="15" customHeight="1">
      <c r="A25" s="11" t="inlineStr">
        <is>
          <t>CKI000:ea_ElectricityRe</t>
        </is>
      </c>
      <c r="B25" s="14" t="inlineStr">
        <is>
          <t xml:space="preserve">   Electricity Related Losses</t>
        </is>
      </c>
      <c r="C25" s="17" t="n">
        <v>104.505905</v>
      </c>
      <c r="D25" s="17" t="n">
        <v>100.904007</v>
      </c>
      <c r="E25" s="17" t="n">
        <v>99.346626</v>
      </c>
      <c r="F25" s="17" t="n">
        <v>97.71241000000001</v>
      </c>
      <c r="G25" s="17" t="n">
        <v>96.997719</v>
      </c>
      <c r="H25" s="17" t="n">
        <v>96.18926999999999</v>
      </c>
      <c r="I25" s="17" t="n">
        <v>94.948364</v>
      </c>
      <c r="J25" s="17" t="n">
        <v>93.501678</v>
      </c>
      <c r="K25" s="17" t="n">
        <v>92.409111</v>
      </c>
      <c r="L25" s="17" t="n">
        <v>91.170197</v>
      </c>
      <c r="M25" s="17" t="n">
        <v>89.692154</v>
      </c>
      <c r="N25" s="17" t="n">
        <v>87.936859</v>
      </c>
      <c r="O25" s="17" t="n">
        <v>86.59874000000001</v>
      </c>
      <c r="P25" s="17" t="n">
        <v>85.34114099999999</v>
      </c>
      <c r="Q25" s="17" t="n">
        <v>84.346024</v>
      </c>
      <c r="R25" s="17" t="n">
        <v>83.241035</v>
      </c>
      <c r="S25" s="17" t="n">
        <v>82.358757</v>
      </c>
      <c r="T25" s="17" t="n">
        <v>81.451988</v>
      </c>
      <c r="U25" s="17" t="n">
        <v>80.925102</v>
      </c>
      <c r="V25" s="17" t="n">
        <v>80.018387</v>
      </c>
      <c r="W25" s="17" t="n">
        <v>79.049164</v>
      </c>
      <c r="X25" s="17" t="n">
        <v>78.656265</v>
      </c>
      <c r="Y25" s="17" t="n">
        <v>77.88694</v>
      </c>
      <c r="Z25" s="17" t="n">
        <v>77.41606899999999</v>
      </c>
      <c r="AA25" s="17" t="n">
        <v>77.016205</v>
      </c>
      <c r="AB25" s="17" t="n">
        <v>76.765305</v>
      </c>
      <c r="AC25" s="17" t="n">
        <v>76.440575</v>
      </c>
      <c r="AD25" s="17" t="n">
        <v>76.18590500000001</v>
      </c>
      <c r="AE25" s="17" t="n">
        <v>76.056175</v>
      </c>
      <c r="AF25" s="17" t="n">
        <v>75.781189</v>
      </c>
      <c r="AG25" s="17" t="n">
        <v>75.32373800000001</v>
      </c>
      <c r="AH25" s="17" t="n">
        <v>75.058205</v>
      </c>
      <c r="AI25" s="17" t="n">
        <v>74.774857</v>
      </c>
      <c r="AJ25" s="17" t="n">
        <v>74.678268</v>
      </c>
      <c r="AK25" s="17" t="n">
        <v>74.71447000000001</v>
      </c>
      <c r="AL25" s="17" t="n">
        <v>74.367172</v>
      </c>
      <c r="AM25" s="12" t="n">
        <v>-0.008935</v>
      </c>
    </row>
    <row r="26" ht="15" customHeight="1">
      <c r="A26" s="11" t="inlineStr">
        <is>
          <t>CKI000:ea_TotalEnergyCo</t>
        </is>
      </c>
      <c r="B26" s="14" t="inlineStr">
        <is>
          <t xml:space="preserve">   Total Energy Consumption</t>
        </is>
      </c>
      <c r="C26" s="17" t="n">
        <v>202.069214</v>
      </c>
      <c r="D26" s="17" t="n">
        <v>198.572403</v>
      </c>
      <c r="E26" s="17" t="n">
        <v>196.608215</v>
      </c>
      <c r="F26" s="17" t="n">
        <v>193.842804</v>
      </c>
      <c r="G26" s="17" t="n">
        <v>191.562302</v>
      </c>
      <c r="H26" s="17" t="n">
        <v>189.238434</v>
      </c>
      <c r="I26" s="17" t="n">
        <v>186.869934</v>
      </c>
      <c r="J26" s="17" t="n">
        <v>184.291656</v>
      </c>
      <c r="K26" s="17" t="n">
        <v>182.223389</v>
      </c>
      <c r="L26" s="17" t="n">
        <v>180.171051</v>
      </c>
      <c r="M26" s="17" t="n">
        <v>177.861206</v>
      </c>
      <c r="N26" s="17" t="n">
        <v>175.274567</v>
      </c>
      <c r="O26" s="17" t="n">
        <v>173.132172</v>
      </c>
      <c r="P26" s="17" t="n">
        <v>171.186295</v>
      </c>
      <c r="Q26" s="17" t="n">
        <v>169.584686</v>
      </c>
      <c r="R26" s="17" t="n">
        <v>167.803787</v>
      </c>
      <c r="S26" s="17" t="n">
        <v>166.317169</v>
      </c>
      <c r="T26" s="17" t="n">
        <v>164.901886</v>
      </c>
      <c r="U26" s="17" t="n">
        <v>163.991913</v>
      </c>
      <c r="V26" s="17" t="n">
        <v>162.713013</v>
      </c>
      <c r="W26" s="17" t="n">
        <v>161.377136</v>
      </c>
      <c r="X26" s="17" t="n">
        <v>160.628036</v>
      </c>
      <c r="Y26" s="17" t="n">
        <v>159.593597</v>
      </c>
      <c r="Z26" s="17" t="n">
        <v>158.903488</v>
      </c>
      <c r="AA26" s="17" t="n">
        <v>158.306854</v>
      </c>
      <c r="AB26" s="17" t="n">
        <v>157.886322</v>
      </c>
      <c r="AC26" s="17" t="n">
        <v>157.436676</v>
      </c>
      <c r="AD26" s="17" t="n">
        <v>157.09198</v>
      </c>
      <c r="AE26" s="17" t="n">
        <v>156.885925</v>
      </c>
      <c r="AF26" s="17" t="n">
        <v>156.564362</v>
      </c>
      <c r="AG26" s="17" t="n">
        <v>156.072693</v>
      </c>
      <c r="AH26" s="17" t="n">
        <v>155.79422</v>
      </c>
      <c r="AI26" s="17" t="n">
        <v>155.514008</v>
      </c>
      <c r="AJ26" s="17" t="n">
        <v>155.441101</v>
      </c>
      <c r="AK26" s="17" t="n">
        <v>155.531525</v>
      </c>
      <c r="AL26" s="17" t="n">
        <v>155.243378</v>
      </c>
      <c r="AM26" s="12" t="n">
        <v>-0.007214</v>
      </c>
    </row>
    <row r="28" ht="15" customHeight="1">
      <c r="B28" s="10" t="inlineStr">
        <is>
          <t>Delivered Energy Consumption by Fuel</t>
        </is>
      </c>
    </row>
    <row r="30" ht="15" customHeight="1">
      <c r="B30" s="10" t="inlineStr">
        <is>
          <t xml:space="preserve"> Purchased Electricity</t>
        </is>
      </c>
    </row>
    <row r="31" ht="15" customHeight="1">
      <c r="A31" s="11" t="inlineStr">
        <is>
          <t>CKI000:ga_SpaceHeating</t>
        </is>
      </c>
      <c r="B31" s="14" t="inlineStr">
        <is>
          <t xml:space="preserve">   Space Heating 1/</t>
        </is>
      </c>
      <c r="C31" s="16" t="n">
        <v>0.117615</v>
      </c>
      <c r="D31" s="16" t="n">
        <v>0.114742</v>
      </c>
      <c r="E31" s="16" t="n">
        <v>0.118186</v>
      </c>
      <c r="F31" s="16" t="n">
        <v>0.118818</v>
      </c>
      <c r="G31" s="16" t="n">
        <v>0.117355</v>
      </c>
      <c r="H31" s="16" t="n">
        <v>0.115732</v>
      </c>
      <c r="I31" s="16" t="n">
        <v>0.114145</v>
      </c>
      <c r="J31" s="16" t="n">
        <v>0.112603</v>
      </c>
      <c r="K31" s="16" t="n">
        <v>0.112238</v>
      </c>
      <c r="L31" s="16" t="n">
        <v>0.112122</v>
      </c>
      <c r="M31" s="16" t="n">
        <v>0.111937</v>
      </c>
      <c r="N31" s="16" t="n">
        <v>0.111655</v>
      </c>
      <c r="O31" s="16" t="n">
        <v>0.111476</v>
      </c>
      <c r="P31" s="16" t="n">
        <v>0.111391</v>
      </c>
      <c r="Q31" s="16" t="n">
        <v>0.111357</v>
      </c>
      <c r="R31" s="16" t="n">
        <v>0.111311</v>
      </c>
      <c r="S31" s="16" t="n">
        <v>0.111322</v>
      </c>
      <c r="T31" s="16" t="n">
        <v>0.111386</v>
      </c>
      <c r="U31" s="16" t="n">
        <v>0.1115</v>
      </c>
      <c r="V31" s="16" t="n">
        <v>0.111669</v>
      </c>
      <c r="W31" s="16" t="n">
        <v>0.111757</v>
      </c>
      <c r="X31" s="16" t="n">
        <v>0.111825</v>
      </c>
      <c r="Y31" s="16" t="n">
        <v>0.111931</v>
      </c>
      <c r="Z31" s="16" t="n">
        <v>0.112083</v>
      </c>
      <c r="AA31" s="16" t="n">
        <v>0.112289</v>
      </c>
      <c r="AB31" s="16" t="n">
        <v>0.112484</v>
      </c>
      <c r="AC31" s="16" t="n">
        <v>0.112711</v>
      </c>
      <c r="AD31" s="16" t="n">
        <v>0.112897</v>
      </c>
      <c r="AE31" s="16" t="n">
        <v>0.11307</v>
      </c>
      <c r="AF31" s="16" t="n">
        <v>0.113239</v>
      </c>
      <c r="AG31" s="16" t="n">
        <v>0.113467</v>
      </c>
      <c r="AH31" s="16" t="n">
        <v>0.11371</v>
      </c>
      <c r="AI31" s="16" t="n">
        <v>0.113946</v>
      </c>
      <c r="AJ31" s="16" t="n">
        <v>0.114183</v>
      </c>
      <c r="AK31" s="16" t="n">
        <v>0.114423</v>
      </c>
      <c r="AL31" s="16" t="n">
        <v>0.114618</v>
      </c>
      <c r="AM31" s="12" t="n">
        <v>-3.2e-05</v>
      </c>
    </row>
    <row r="32" ht="15" customHeight="1">
      <c r="A32" s="11" t="inlineStr">
        <is>
          <t>CKI000:ga_SpaceCooling</t>
        </is>
      </c>
      <c r="B32" s="14" t="inlineStr">
        <is>
          <t xml:space="preserve">   Space Cooling 1/</t>
        </is>
      </c>
      <c r="C32" s="16" t="n">
        <v>0.538602</v>
      </c>
      <c r="D32" s="16" t="n">
        <v>0.552436</v>
      </c>
      <c r="E32" s="16" t="n">
        <v>0.496027</v>
      </c>
      <c r="F32" s="16" t="n">
        <v>0.510234</v>
      </c>
      <c r="G32" s="16" t="n">
        <v>0.508443</v>
      </c>
      <c r="H32" s="16" t="n">
        <v>0.5056079999999999</v>
      </c>
      <c r="I32" s="16" t="n">
        <v>0.503346</v>
      </c>
      <c r="J32" s="16" t="n">
        <v>0.499632</v>
      </c>
      <c r="K32" s="16" t="n">
        <v>0.497235</v>
      </c>
      <c r="L32" s="16" t="n">
        <v>0.495985</v>
      </c>
      <c r="M32" s="16" t="n">
        <v>0.494195</v>
      </c>
      <c r="N32" s="16" t="n">
        <v>0.492261</v>
      </c>
      <c r="O32" s="16" t="n">
        <v>0.490969</v>
      </c>
      <c r="P32" s="16" t="n">
        <v>0.490298</v>
      </c>
      <c r="Q32" s="16" t="n">
        <v>0.489892</v>
      </c>
      <c r="R32" s="16" t="n">
        <v>0.488986</v>
      </c>
      <c r="S32" s="16" t="n">
        <v>0.48854</v>
      </c>
      <c r="T32" s="16" t="n">
        <v>0.488493</v>
      </c>
      <c r="U32" s="16" t="n">
        <v>0.488845</v>
      </c>
      <c r="V32" s="16" t="n">
        <v>0.489195</v>
      </c>
      <c r="W32" s="16" t="n">
        <v>0.489368</v>
      </c>
      <c r="X32" s="16" t="n">
        <v>0.489373</v>
      </c>
      <c r="Y32" s="16" t="n">
        <v>0.489418</v>
      </c>
      <c r="Z32" s="16" t="n">
        <v>0.489787</v>
      </c>
      <c r="AA32" s="16" t="n">
        <v>0.490245</v>
      </c>
      <c r="AB32" s="16" t="n">
        <v>0.490798</v>
      </c>
      <c r="AC32" s="16" t="n">
        <v>0.49159</v>
      </c>
      <c r="AD32" s="16" t="n">
        <v>0.492416</v>
      </c>
      <c r="AE32" s="16" t="n">
        <v>0.492998</v>
      </c>
      <c r="AF32" s="16" t="n">
        <v>0.493557</v>
      </c>
      <c r="AG32" s="16" t="n">
        <v>0.494229</v>
      </c>
      <c r="AH32" s="16" t="n">
        <v>0.49512</v>
      </c>
      <c r="AI32" s="16" t="n">
        <v>0.496154</v>
      </c>
      <c r="AJ32" s="16" t="n">
        <v>0.497129</v>
      </c>
      <c r="AK32" s="16" t="n">
        <v>0.498335</v>
      </c>
      <c r="AL32" s="16" t="n">
        <v>0.499728</v>
      </c>
      <c r="AM32" s="12" t="n">
        <v>-0.002945</v>
      </c>
    </row>
    <row r="33" ht="15" customHeight="1">
      <c r="A33" s="11" t="inlineStr">
        <is>
          <t>CKI000:ga_WaterHeating</t>
        </is>
      </c>
      <c r="B33" s="14" t="inlineStr">
        <is>
          <t xml:space="preserve">   Water Heating 1/</t>
        </is>
      </c>
      <c r="C33" s="16" t="n">
        <v>0.01685</v>
      </c>
      <c r="D33" s="16" t="n">
        <v>0.016803</v>
      </c>
      <c r="E33" s="16" t="n">
        <v>0.016725</v>
      </c>
      <c r="F33" s="16" t="n">
        <v>0.016635</v>
      </c>
      <c r="G33" s="16" t="n">
        <v>0.016513</v>
      </c>
      <c r="H33" s="16" t="n">
        <v>0.01636</v>
      </c>
      <c r="I33" s="16" t="n">
        <v>0.016224</v>
      </c>
      <c r="J33" s="16" t="n">
        <v>0.016052</v>
      </c>
      <c r="K33" s="16" t="n">
        <v>0.015891</v>
      </c>
      <c r="L33" s="16" t="n">
        <v>0.015768</v>
      </c>
      <c r="M33" s="16" t="n">
        <v>0.015635</v>
      </c>
      <c r="N33" s="16" t="n">
        <v>0.015491</v>
      </c>
      <c r="O33" s="16" t="n">
        <v>0.015361</v>
      </c>
      <c r="P33" s="16" t="n">
        <v>0.015246</v>
      </c>
      <c r="Q33" s="16" t="n">
        <v>0.015136</v>
      </c>
      <c r="R33" s="16" t="n">
        <v>0.014981</v>
      </c>
      <c r="S33" s="16" t="n">
        <v>0.014836</v>
      </c>
      <c r="T33" s="16" t="n">
        <v>0.014701</v>
      </c>
      <c r="U33" s="16" t="n">
        <v>0.014576</v>
      </c>
      <c r="V33" s="16" t="n">
        <v>0.014455</v>
      </c>
      <c r="W33" s="16" t="n">
        <v>0.014323</v>
      </c>
      <c r="X33" s="16" t="n">
        <v>0.014191</v>
      </c>
      <c r="Y33" s="16" t="n">
        <v>0.014065</v>
      </c>
      <c r="Z33" s="16" t="n">
        <v>0.013945</v>
      </c>
      <c r="AA33" s="16" t="n">
        <v>0.01383</v>
      </c>
      <c r="AB33" s="16" t="n">
        <v>0.013717</v>
      </c>
      <c r="AC33" s="16" t="n">
        <v>0.01361</v>
      </c>
      <c r="AD33" s="16" t="n">
        <v>0.013503</v>
      </c>
      <c r="AE33" s="16" t="n">
        <v>0.013392</v>
      </c>
      <c r="AF33" s="16" t="n">
        <v>0.01328</v>
      </c>
      <c r="AG33" s="16" t="n">
        <v>0.01317</v>
      </c>
      <c r="AH33" s="16" t="n">
        <v>0.013064</v>
      </c>
      <c r="AI33" s="16" t="n">
        <v>0.012959</v>
      </c>
      <c r="AJ33" s="16" t="n">
        <v>0.012857</v>
      </c>
      <c r="AK33" s="16" t="n">
        <v>0.012759</v>
      </c>
      <c r="AL33" s="16" t="n">
        <v>0.01266</v>
      </c>
      <c r="AM33" s="12" t="n">
        <v>-0.008291</v>
      </c>
    </row>
    <row r="34" ht="15" customHeight="1">
      <c r="A34" s="11" t="inlineStr">
        <is>
          <t>CKI000:ga_Ventilation</t>
        </is>
      </c>
      <c r="B34" s="14" t="inlineStr">
        <is>
          <t xml:space="preserve">   Ventilation</t>
        </is>
      </c>
      <c r="C34" s="16" t="n">
        <v>0.520373</v>
      </c>
      <c r="D34" s="16" t="n">
        <v>0.519781</v>
      </c>
      <c r="E34" s="16" t="n">
        <v>0.518622</v>
      </c>
      <c r="F34" s="16" t="n">
        <v>0.517425</v>
      </c>
      <c r="G34" s="16" t="n">
        <v>0.51517</v>
      </c>
      <c r="H34" s="16" t="n">
        <v>0.510933</v>
      </c>
      <c r="I34" s="16" t="n">
        <v>0.507199</v>
      </c>
      <c r="J34" s="16" t="n">
        <v>0.500866</v>
      </c>
      <c r="K34" s="16" t="n">
        <v>0.495755</v>
      </c>
      <c r="L34" s="16" t="n">
        <v>0.492381</v>
      </c>
      <c r="M34" s="16" t="n">
        <v>0.488387</v>
      </c>
      <c r="N34" s="16" t="n">
        <v>0.476113</v>
      </c>
      <c r="O34" s="16" t="n">
        <v>0.465019</v>
      </c>
      <c r="P34" s="16" t="n">
        <v>0.455059</v>
      </c>
      <c r="Q34" s="16" t="n">
        <v>0.445953</v>
      </c>
      <c r="R34" s="16" t="n">
        <v>0.436851</v>
      </c>
      <c r="S34" s="16" t="n">
        <v>0.428627</v>
      </c>
      <c r="T34" s="16" t="n">
        <v>0.421193</v>
      </c>
      <c r="U34" s="16" t="n">
        <v>0.414522</v>
      </c>
      <c r="V34" s="16" t="n">
        <v>0.408437</v>
      </c>
      <c r="W34" s="16" t="n">
        <v>0.402566</v>
      </c>
      <c r="X34" s="16" t="n">
        <v>0.397058</v>
      </c>
      <c r="Y34" s="16" t="n">
        <v>0.392136</v>
      </c>
      <c r="Z34" s="16" t="n">
        <v>0.387738</v>
      </c>
      <c r="AA34" s="16" t="n">
        <v>0.383791</v>
      </c>
      <c r="AB34" s="16" t="n">
        <v>0.379404</v>
      </c>
      <c r="AC34" s="16" t="n">
        <v>0.375572</v>
      </c>
      <c r="AD34" s="16" t="n">
        <v>0.372041</v>
      </c>
      <c r="AE34" s="16" t="n">
        <v>0.368746</v>
      </c>
      <c r="AF34" s="16" t="n">
        <v>0.365734</v>
      </c>
      <c r="AG34" s="16" t="n">
        <v>0.363124</v>
      </c>
      <c r="AH34" s="16" t="n">
        <v>0.360929</v>
      </c>
      <c r="AI34" s="16" t="n">
        <v>0.35909</v>
      </c>
      <c r="AJ34" s="16" t="n">
        <v>0.357642</v>
      </c>
      <c r="AK34" s="16" t="n">
        <v>0.356553</v>
      </c>
      <c r="AL34" s="16" t="n">
        <v>0.355715</v>
      </c>
      <c r="AM34" s="12" t="n">
        <v>-0.011093</v>
      </c>
    </row>
    <row r="35" ht="15" customHeight="1">
      <c r="A35" s="11" t="inlineStr">
        <is>
          <t>CKI000:ga_Cooking</t>
        </is>
      </c>
      <c r="B35" s="14" t="inlineStr">
        <is>
          <t xml:space="preserve">   Cooking</t>
        </is>
      </c>
      <c r="C35" s="16" t="n">
        <v>0.083</v>
      </c>
      <c r="D35" s="16" t="n">
        <v>0.082376</v>
      </c>
      <c r="E35" s="16" t="n">
        <v>0.081706</v>
      </c>
      <c r="F35" s="16" t="n">
        <v>0.08117099999999999</v>
      </c>
      <c r="G35" s="16" t="n">
        <v>0.080525</v>
      </c>
      <c r="H35" s="16" t="n">
        <v>0.079819</v>
      </c>
      <c r="I35" s="16" t="n">
        <v>0.079147</v>
      </c>
      <c r="J35" s="16" t="n">
        <v>0.078267</v>
      </c>
      <c r="K35" s="16" t="n">
        <v>0.077474</v>
      </c>
      <c r="L35" s="16" t="n">
        <v>0.076891</v>
      </c>
      <c r="M35" s="16" t="n">
        <v>0.07624499999999999</v>
      </c>
      <c r="N35" s="16" t="n">
        <v>0.07556599999999999</v>
      </c>
      <c r="O35" s="16" t="n">
        <v>0.07496</v>
      </c>
      <c r="P35" s="16" t="n">
        <v>0.07443900000000001</v>
      </c>
      <c r="Q35" s="16" t="n">
        <v>0.073959</v>
      </c>
      <c r="R35" s="16" t="n">
        <v>0.07348499999999999</v>
      </c>
      <c r="S35" s="16" t="n">
        <v>0.07305</v>
      </c>
      <c r="T35" s="16" t="n">
        <v>0.07266300000000001</v>
      </c>
      <c r="U35" s="16" t="n">
        <v>0.072315</v>
      </c>
      <c r="V35" s="16" t="n">
        <v>0.071981</v>
      </c>
      <c r="W35" s="16" t="n">
        <v>0.071607</v>
      </c>
      <c r="X35" s="16" t="n">
        <v>0.071204</v>
      </c>
      <c r="Y35" s="16" t="n">
        <v>0.070826</v>
      </c>
      <c r="Z35" s="16" t="n">
        <v>0.07045999999999999</v>
      </c>
      <c r="AA35" s="16" t="n">
        <v>0.0701</v>
      </c>
      <c r="AB35" s="16" t="n">
        <v>0.069743</v>
      </c>
      <c r="AC35" s="16" t="n">
        <v>0.06940300000000001</v>
      </c>
      <c r="AD35" s="16" t="n">
        <v>0.069046</v>
      </c>
      <c r="AE35" s="16" t="n">
        <v>0.068663</v>
      </c>
      <c r="AF35" s="16" t="n">
        <v>0.06826500000000001</v>
      </c>
      <c r="AG35" s="16" t="n">
        <v>0.06786499999999999</v>
      </c>
      <c r="AH35" s="16" t="n">
        <v>0.067469</v>
      </c>
      <c r="AI35" s="16" t="n">
        <v>0.067069</v>
      </c>
      <c r="AJ35" s="16" t="n">
        <v>0.066664</v>
      </c>
      <c r="AK35" s="16" t="n">
        <v>0.066261</v>
      </c>
      <c r="AL35" s="16" t="n">
        <v>0.06585100000000001</v>
      </c>
      <c r="AM35" s="12" t="n">
        <v>-0.006564</v>
      </c>
    </row>
    <row r="36" ht="15" customHeight="1">
      <c r="A36" s="11" t="inlineStr">
        <is>
          <t>CKI000:ga_Lighting</t>
        </is>
      </c>
      <c r="B36" s="14" t="inlineStr">
        <is>
          <t xml:space="preserve">   Lighting</t>
        </is>
      </c>
      <c r="C36" s="16" t="n">
        <v>0.523999</v>
      </c>
      <c r="D36" s="16" t="n">
        <v>0.5100519999999999</v>
      </c>
      <c r="E36" s="16" t="n">
        <v>0.500124</v>
      </c>
      <c r="F36" s="16" t="n">
        <v>0.493548</v>
      </c>
      <c r="G36" s="16" t="n">
        <v>0.488328</v>
      </c>
      <c r="H36" s="16" t="n">
        <v>0.472094</v>
      </c>
      <c r="I36" s="16" t="n">
        <v>0.459182</v>
      </c>
      <c r="J36" s="16" t="n">
        <v>0.441689</v>
      </c>
      <c r="K36" s="16" t="n">
        <v>0.427613</v>
      </c>
      <c r="L36" s="16" t="n">
        <v>0.416762</v>
      </c>
      <c r="M36" s="16" t="n">
        <v>0.407285</v>
      </c>
      <c r="N36" s="16" t="n">
        <v>0.398911</v>
      </c>
      <c r="O36" s="16" t="n">
        <v>0.392037</v>
      </c>
      <c r="P36" s="16" t="n">
        <v>0.386517</v>
      </c>
      <c r="Q36" s="16" t="n">
        <v>0.38195</v>
      </c>
      <c r="R36" s="16" t="n">
        <v>0.3684</v>
      </c>
      <c r="S36" s="16" t="n">
        <v>0.356894</v>
      </c>
      <c r="T36" s="16" t="n">
        <v>0.347163</v>
      </c>
      <c r="U36" s="16" t="n">
        <v>0.338905</v>
      </c>
      <c r="V36" s="16" t="n">
        <v>0.331818</v>
      </c>
      <c r="W36" s="16" t="n">
        <v>0.325463</v>
      </c>
      <c r="X36" s="16" t="n">
        <v>0.319859</v>
      </c>
      <c r="Y36" s="16" t="n">
        <v>0.314587</v>
      </c>
      <c r="Z36" s="16" t="n">
        <v>0.310031</v>
      </c>
      <c r="AA36" s="16" t="n">
        <v>0.306067</v>
      </c>
      <c r="AB36" s="16" t="n">
        <v>0.298299</v>
      </c>
      <c r="AC36" s="16" t="n">
        <v>0.291688</v>
      </c>
      <c r="AD36" s="16" t="n">
        <v>0.285767</v>
      </c>
      <c r="AE36" s="16" t="n">
        <v>0.280359</v>
      </c>
      <c r="AF36" s="16" t="n">
        <v>0.275531</v>
      </c>
      <c r="AG36" s="16" t="n">
        <v>0.271385</v>
      </c>
      <c r="AH36" s="16" t="n">
        <v>0.267902</v>
      </c>
      <c r="AI36" s="16" t="n">
        <v>0.264944</v>
      </c>
      <c r="AJ36" s="16" t="n">
        <v>0.262466</v>
      </c>
      <c r="AK36" s="16" t="n">
        <v>0.260421</v>
      </c>
      <c r="AL36" s="16" t="n">
        <v>0.25866</v>
      </c>
      <c r="AM36" s="12" t="n">
        <v>-0.019772</v>
      </c>
    </row>
    <row r="37" ht="15" customHeight="1">
      <c r="A37" s="11" t="inlineStr">
        <is>
          <t>CKI000:ga_Refrigeration</t>
        </is>
      </c>
      <c r="B37" s="14" t="inlineStr">
        <is>
          <t xml:space="preserve">   Refrigeration</t>
        </is>
      </c>
      <c r="C37" s="16" t="n">
        <v>0.634089</v>
      </c>
      <c r="D37" s="16" t="n">
        <v>0.639811</v>
      </c>
      <c r="E37" s="16" t="n">
        <v>0.645964</v>
      </c>
      <c r="F37" s="16" t="n">
        <v>0.644753</v>
      </c>
      <c r="G37" s="16" t="n">
        <v>0.6438739999999999</v>
      </c>
      <c r="H37" s="16" t="n">
        <v>0.644182</v>
      </c>
      <c r="I37" s="16" t="n">
        <v>0.645211</v>
      </c>
      <c r="J37" s="16" t="n">
        <v>0.640736</v>
      </c>
      <c r="K37" s="16" t="n">
        <v>0.6373450000000001</v>
      </c>
      <c r="L37" s="16" t="n">
        <v>0.635446</v>
      </c>
      <c r="M37" s="16" t="n">
        <v>0.629494</v>
      </c>
      <c r="N37" s="16" t="n">
        <v>0.624394</v>
      </c>
      <c r="O37" s="16" t="n">
        <v>0.6205540000000001</v>
      </c>
      <c r="P37" s="16" t="n">
        <v>0.617923</v>
      </c>
      <c r="Q37" s="16" t="n">
        <v>0.616277</v>
      </c>
      <c r="R37" s="16" t="n">
        <v>0.610648</v>
      </c>
      <c r="S37" s="16" t="n">
        <v>0.606281</v>
      </c>
      <c r="T37" s="16" t="n">
        <v>0.603043</v>
      </c>
      <c r="U37" s="16" t="n">
        <v>0.600864</v>
      </c>
      <c r="V37" s="16" t="n">
        <v>0.599553</v>
      </c>
      <c r="W37" s="16" t="n">
        <v>0.598758</v>
      </c>
      <c r="X37" s="16" t="n">
        <v>0.598455</v>
      </c>
      <c r="Y37" s="16" t="n">
        <v>0.598734</v>
      </c>
      <c r="Z37" s="16" t="n">
        <v>0.599573</v>
      </c>
      <c r="AA37" s="16" t="n">
        <v>0.600909</v>
      </c>
      <c r="AB37" s="16" t="n">
        <v>0.602353</v>
      </c>
      <c r="AC37" s="16" t="n">
        <v>0.604222</v>
      </c>
      <c r="AD37" s="16" t="n">
        <v>0.6063460000000001</v>
      </c>
      <c r="AE37" s="16" t="n">
        <v>0.608658</v>
      </c>
      <c r="AF37" s="16" t="n">
        <v>0.611157</v>
      </c>
      <c r="AG37" s="16" t="n">
        <v>0.613924</v>
      </c>
      <c r="AH37" s="16" t="n">
        <v>0.616966</v>
      </c>
      <c r="AI37" s="16" t="n">
        <v>0.620152</v>
      </c>
      <c r="AJ37" s="16" t="n">
        <v>0.623478</v>
      </c>
      <c r="AK37" s="16" t="n">
        <v>0.626939</v>
      </c>
      <c r="AL37" s="16" t="n">
        <v>0.630416</v>
      </c>
      <c r="AM37" s="12" t="n">
        <v>-0.000435</v>
      </c>
    </row>
    <row r="38" ht="15" customHeight="1">
      <c r="A38" s="11" t="inlineStr">
        <is>
          <t>CKI000:ga_OfficeEquipme</t>
        </is>
      </c>
      <c r="B38" s="14" t="inlineStr">
        <is>
          <t xml:space="preserve">   Office Equipment (PC)</t>
        </is>
      </c>
      <c r="C38" s="16" t="n">
        <v>0.365338</v>
      </c>
      <c r="D38" s="16" t="n">
        <v>0.354525</v>
      </c>
      <c r="E38" s="16" t="n">
        <v>0.34452</v>
      </c>
      <c r="F38" s="16" t="n">
        <v>0.335385</v>
      </c>
      <c r="G38" s="16" t="n">
        <v>0.327694</v>
      </c>
      <c r="H38" s="16" t="n">
        <v>0.320629</v>
      </c>
      <c r="I38" s="16" t="n">
        <v>0.31426</v>
      </c>
      <c r="J38" s="16" t="n">
        <v>0.308729</v>
      </c>
      <c r="K38" s="16" t="n">
        <v>0.303907</v>
      </c>
      <c r="L38" s="16" t="n">
        <v>0.299945</v>
      </c>
      <c r="M38" s="16" t="n">
        <v>0.296641</v>
      </c>
      <c r="N38" s="16" t="n">
        <v>0.294006</v>
      </c>
      <c r="O38" s="16" t="n">
        <v>0.291796</v>
      </c>
      <c r="P38" s="16" t="n">
        <v>0.290475</v>
      </c>
      <c r="Q38" s="16" t="n">
        <v>0.289575</v>
      </c>
      <c r="R38" s="16" t="n">
        <v>0.289021</v>
      </c>
      <c r="S38" s="16" t="n">
        <v>0.288927</v>
      </c>
      <c r="T38" s="16" t="n">
        <v>0.289278</v>
      </c>
      <c r="U38" s="16" t="n">
        <v>0.289624</v>
      </c>
      <c r="V38" s="16" t="n">
        <v>0.289964</v>
      </c>
      <c r="W38" s="16" t="n">
        <v>0.290707</v>
      </c>
      <c r="X38" s="16" t="n">
        <v>0.291398</v>
      </c>
      <c r="Y38" s="16" t="n">
        <v>0.292078</v>
      </c>
      <c r="Z38" s="16" t="n">
        <v>0.292258</v>
      </c>
      <c r="AA38" s="16" t="n">
        <v>0.292422</v>
      </c>
      <c r="AB38" s="16" t="n">
        <v>0.292036</v>
      </c>
      <c r="AC38" s="16" t="n">
        <v>0.291643</v>
      </c>
      <c r="AD38" s="16" t="n">
        <v>0.290173</v>
      </c>
      <c r="AE38" s="16" t="n">
        <v>0.288631</v>
      </c>
      <c r="AF38" s="16" t="n">
        <v>0.285997</v>
      </c>
      <c r="AG38" s="16" t="n">
        <v>0.282804</v>
      </c>
      <c r="AH38" s="16" t="n">
        <v>0.278518</v>
      </c>
      <c r="AI38" s="16" t="n">
        <v>0.273081</v>
      </c>
      <c r="AJ38" s="16" t="n">
        <v>0.266489</v>
      </c>
      <c r="AK38" s="16" t="n">
        <v>0.258721</v>
      </c>
      <c r="AL38" s="16" t="n">
        <v>0.249728</v>
      </c>
      <c r="AM38" s="12" t="n">
        <v>-0.010253</v>
      </c>
    </row>
    <row r="39" ht="15" customHeight="1">
      <c r="A39" s="11" t="inlineStr">
        <is>
          <t>CKI000:ha_OfficeEquipme</t>
        </is>
      </c>
      <c r="B39" s="14" t="inlineStr">
        <is>
          <t xml:space="preserve">   Office Equipment (non-PC)</t>
        </is>
      </c>
      <c r="C39" s="16" t="n">
        <v>0.22496</v>
      </c>
      <c r="D39" s="16" t="n">
        <v>0.230237</v>
      </c>
      <c r="E39" s="16" t="n">
        <v>0.234301</v>
      </c>
      <c r="F39" s="16" t="n">
        <v>0.237364</v>
      </c>
      <c r="G39" s="16" t="n">
        <v>0.238984</v>
      </c>
      <c r="H39" s="16" t="n">
        <v>0.240379</v>
      </c>
      <c r="I39" s="16" t="n">
        <v>0.242498</v>
      </c>
      <c r="J39" s="16" t="n">
        <v>0.245123</v>
      </c>
      <c r="K39" s="16" t="n">
        <v>0.24846</v>
      </c>
      <c r="L39" s="16" t="n">
        <v>0.253126</v>
      </c>
      <c r="M39" s="16" t="n">
        <v>0.258468</v>
      </c>
      <c r="N39" s="16" t="n">
        <v>0.264748</v>
      </c>
      <c r="O39" s="16" t="n">
        <v>0.270886</v>
      </c>
      <c r="P39" s="16" t="n">
        <v>0.276642</v>
      </c>
      <c r="Q39" s="16" t="n">
        <v>0.282235</v>
      </c>
      <c r="R39" s="16" t="n">
        <v>0.287573</v>
      </c>
      <c r="S39" s="16" t="n">
        <v>0.292722</v>
      </c>
      <c r="T39" s="16" t="n">
        <v>0.297654</v>
      </c>
      <c r="U39" s="16" t="n">
        <v>0.302654</v>
      </c>
      <c r="V39" s="16" t="n">
        <v>0.307184</v>
      </c>
      <c r="W39" s="16" t="n">
        <v>0.311956</v>
      </c>
      <c r="X39" s="16" t="n">
        <v>0.316713</v>
      </c>
      <c r="Y39" s="16" t="n">
        <v>0.321498</v>
      </c>
      <c r="Z39" s="16" t="n">
        <v>0.326062</v>
      </c>
      <c r="AA39" s="16" t="n">
        <v>0.330953</v>
      </c>
      <c r="AB39" s="16" t="n">
        <v>0.336136</v>
      </c>
      <c r="AC39" s="16" t="n">
        <v>0.341378</v>
      </c>
      <c r="AD39" s="16" t="n">
        <v>0.347213</v>
      </c>
      <c r="AE39" s="16" t="n">
        <v>0.353069</v>
      </c>
      <c r="AF39" s="16" t="n">
        <v>0.359255</v>
      </c>
      <c r="AG39" s="16" t="n">
        <v>0.366109</v>
      </c>
      <c r="AH39" s="16" t="n">
        <v>0.373356</v>
      </c>
      <c r="AI39" s="16" t="n">
        <v>0.380948</v>
      </c>
      <c r="AJ39" s="16" t="n">
        <v>0.389212</v>
      </c>
      <c r="AK39" s="16" t="n">
        <v>0.398468</v>
      </c>
      <c r="AL39" s="16" t="n">
        <v>0.408096</v>
      </c>
      <c r="AM39" s="12" t="n">
        <v>0.016978</v>
      </c>
    </row>
    <row r="40" ht="15" customHeight="1">
      <c r="A40" s="11" t="inlineStr">
        <is>
          <t>CKI000:ha_OtherUses</t>
        </is>
      </c>
      <c r="B40" s="14" t="inlineStr">
        <is>
          <t xml:space="preserve">   Other Uses 2/</t>
        </is>
      </c>
      <c r="C40" s="16" t="n">
        <v>1.610098</v>
      </c>
      <c r="D40" s="16" t="n">
        <v>1.620247</v>
      </c>
      <c r="E40" s="16" t="n">
        <v>1.640949</v>
      </c>
      <c r="F40" s="16" t="n">
        <v>1.662894</v>
      </c>
      <c r="G40" s="16" t="n">
        <v>1.684862</v>
      </c>
      <c r="H40" s="16" t="n">
        <v>1.706584</v>
      </c>
      <c r="I40" s="16" t="n">
        <v>1.729402</v>
      </c>
      <c r="J40" s="16" t="n">
        <v>1.754908</v>
      </c>
      <c r="K40" s="16" t="n">
        <v>1.782634</v>
      </c>
      <c r="L40" s="16" t="n">
        <v>1.812415</v>
      </c>
      <c r="M40" s="16" t="n">
        <v>1.84169</v>
      </c>
      <c r="N40" s="16" t="n">
        <v>1.871535</v>
      </c>
      <c r="O40" s="16" t="n">
        <v>1.902552</v>
      </c>
      <c r="P40" s="16" t="n">
        <v>1.933967</v>
      </c>
      <c r="Q40" s="16" t="n">
        <v>1.966662</v>
      </c>
      <c r="R40" s="16" t="n">
        <v>2.000246</v>
      </c>
      <c r="S40" s="16" t="n">
        <v>2.034371</v>
      </c>
      <c r="T40" s="16" t="n">
        <v>2.070113</v>
      </c>
      <c r="U40" s="16" t="n">
        <v>2.106707</v>
      </c>
      <c r="V40" s="16" t="n">
        <v>2.14528</v>
      </c>
      <c r="W40" s="16" t="n">
        <v>2.18447</v>
      </c>
      <c r="X40" s="16" t="n">
        <v>2.224199</v>
      </c>
      <c r="Y40" s="16" t="n">
        <v>2.265902</v>
      </c>
      <c r="Z40" s="16" t="n">
        <v>2.308626</v>
      </c>
      <c r="AA40" s="16" t="n">
        <v>2.352518</v>
      </c>
      <c r="AB40" s="16" t="n">
        <v>2.398015</v>
      </c>
      <c r="AC40" s="16" t="n">
        <v>2.445001</v>
      </c>
      <c r="AD40" s="16" t="n">
        <v>2.493527</v>
      </c>
      <c r="AE40" s="16" t="n">
        <v>2.543769</v>
      </c>
      <c r="AF40" s="16" t="n">
        <v>2.595689</v>
      </c>
      <c r="AG40" s="16" t="n">
        <v>2.648055</v>
      </c>
      <c r="AH40" s="16" t="n">
        <v>2.703204</v>
      </c>
      <c r="AI40" s="16" t="n">
        <v>2.759075</v>
      </c>
      <c r="AJ40" s="16" t="n">
        <v>2.817255</v>
      </c>
      <c r="AK40" s="16" t="n">
        <v>2.877002</v>
      </c>
      <c r="AL40" s="16" t="n">
        <v>2.939303</v>
      </c>
      <c r="AM40" s="12" t="n">
        <v>0.017672</v>
      </c>
    </row>
    <row r="41" ht="15" customHeight="1">
      <c r="A41" s="11" t="inlineStr">
        <is>
          <t>CKI000:ha_DeliveredEner</t>
        </is>
      </c>
      <c r="B41" s="10" t="inlineStr">
        <is>
          <t xml:space="preserve">     Delivered Energy</t>
        </is>
      </c>
      <c r="C41" s="15" t="n">
        <v>4.634924</v>
      </c>
      <c r="D41" s="15" t="n">
        <v>4.641009</v>
      </c>
      <c r="E41" s="15" t="n">
        <v>4.597126</v>
      </c>
      <c r="F41" s="15" t="n">
        <v>4.618227</v>
      </c>
      <c r="G41" s="15" t="n">
        <v>4.621747</v>
      </c>
      <c r="H41" s="15" t="n">
        <v>4.612319</v>
      </c>
      <c r="I41" s="15" t="n">
        <v>4.610613</v>
      </c>
      <c r="J41" s="15" t="n">
        <v>4.598606</v>
      </c>
      <c r="K41" s="15" t="n">
        <v>4.598551</v>
      </c>
      <c r="L41" s="15" t="n">
        <v>4.610838</v>
      </c>
      <c r="M41" s="15" t="n">
        <v>4.619977</v>
      </c>
      <c r="N41" s="15" t="n">
        <v>4.62468</v>
      </c>
      <c r="O41" s="15" t="n">
        <v>4.635611</v>
      </c>
      <c r="P41" s="15" t="n">
        <v>4.651956</v>
      </c>
      <c r="Q41" s="15" t="n">
        <v>4.672997</v>
      </c>
      <c r="R41" s="15" t="n">
        <v>4.681503</v>
      </c>
      <c r="S41" s="15" t="n">
        <v>4.695568</v>
      </c>
      <c r="T41" s="15" t="n">
        <v>4.715687</v>
      </c>
      <c r="U41" s="15" t="n">
        <v>4.740512</v>
      </c>
      <c r="V41" s="15" t="n">
        <v>4.769536</v>
      </c>
      <c r="W41" s="15" t="n">
        <v>4.800977</v>
      </c>
      <c r="X41" s="15" t="n">
        <v>4.834274</v>
      </c>
      <c r="Y41" s="15" t="n">
        <v>4.871173</v>
      </c>
      <c r="Z41" s="15" t="n">
        <v>4.910563</v>
      </c>
      <c r="AA41" s="15" t="n">
        <v>4.953123</v>
      </c>
      <c r="AB41" s="15" t="n">
        <v>4.992985</v>
      </c>
      <c r="AC41" s="15" t="n">
        <v>5.036818</v>
      </c>
      <c r="AD41" s="15" t="n">
        <v>5.082929</v>
      </c>
      <c r="AE41" s="15" t="n">
        <v>5.131355</v>
      </c>
      <c r="AF41" s="15" t="n">
        <v>5.181704</v>
      </c>
      <c r="AG41" s="15" t="n">
        <v>5.234133</v>
      </c>
      <c r="AH41" s="15" t="n">
        <v>5.290237</v>
      </c>
      <c r="AI41" s="15" t="n">
        <v>5.347418</v>
      </c>
      <c r="AJ41" s="15" t="n">
        <v>5.407376</v>
      </c>
      <c r="AK41" s="15" t="n">
        <v>5.469881</v>
      </c>
      <c r="AL41" s="15" t="n">
        <v>5.534775</v>
      </c>
      <c r="AM41" s="8" t="n">
        <v>0.005193</v>
      </c>
    </row>
    <row r="43" ht="15" customHeight="1">
      <c r="B43" s="10" t="inlineStr">
        <is>
          <t xml:space="preserve"> Natural Gas</t>
        </is>
      </c>
    </row>
    <row r="44" ht="15" customHeight="1">
      <c r="A44" s="11" t="inlineStr">
        <is>
          <t>CKI000:ia_SpaceHeating</t>
        </is>
      </c>
      <c r="B44" s="14" t="inlineStr">
        <is>
          <t xml:space="preserve">   Space Heating 1/</t>
        </is>
      </c>
      <c r="C44" s="16" t="n">
        <v>1.640876</v>
      </c>
      <c r="D44" s="16" t="n">
        <v>1.633144</v>
      </c>
      <c r="E44" s="16" t="n">
        <v>1.709228</v>
      </c>
      <c r="F44" s="16" t="n">
        <v>1.708861</v>
      </c>
      <c r="G44" s="16" t="n">
        <v>1.678487</v>
      </c>
      <c r="H44" s="16" t="n">
        <v>1.649726</v>
      </c>
      <c r="I44" s="16" t="n">
        <v>1.633577</v>
      </c>
      <c r="J44" s="16" t="n">
        <v>1.625024</v>
      </c>
      <c r="K44" s="16" t="n">
        <v>1.613136</v>
      </c>
      <c r="L44" s="16" t="n">
        <v>1.600517</v>
      </c>
      <c r="M44" s="16" t="n">
        <v>1.586807</v>
      </c>
      <c r="N44" s="16" t="n">
        <v>1.572712</v>
      </c>
      <c r="O44" s="16" t="n">
        <v>1.556187</v>
      </c>
      <c r="P44" s="16" t="n">
        <v>1.540368</v>
      </c>
      <c r="Q44" s="16" t="n">
        <v>1.52595</v>
      </c>
      <c r="R44" s="16" t="n">
        <v>1.513718</v>
      </c>
      <c r="S44" s="16" t="n">
        <v>1.502507</v>
      </c>
      <c r="T44" s="16" t="n">
        <v>1.492172</v>
      </c>
      <c r="U44" s="16" t="n">
        <v>1.48294</v>
      </c>
      <c r="V44" s="16" t="n">
        <v>1.473183</v>
      </c>
      <c r="W44" s="16" t="n">
        <v>1.460295</v>
      </c>
      <c r="X44" s="16" t="n">
        <v>1.448135</v>
      </c>
      <c r="Y44" s="16" t="n">
        <v>1.436572</v>
      </c>
      <c r="Z44" s="16" t="n">
        <v>1.42605</v>
      </c>
      <c r="AA44" s="16" t="n">
        <v>1.415474</v>
      </c>
      <c r="AB44" s="16" t="n">
        <v>1.406234</v>
      </c>
      <c r="AC44" s="16" t="n">
        <v>1.396859</v>
      </c>
      <c r="AD44" s="16" t="n">
        <v>1.386221</v>
      </c>
      <c r="AE44" s="16" t="n">
        <v>1.374416</v>
      </c>
      <c r="AF44" s="16" t="n">
        <v>1.362187</v>
      </c>
      <c r="AG44" s="16" t="n">
        <v>1.349652</v>
      </c>
      <c r="AH44" s="16" t="n">
        <v>1.337263</v>
      </c>
      <c r="AI44" s="16" t="n">
        <v>1.325298</v>
      </c>
      <c r="AJ44" s="16" t="n">
        <v>1.31269</v>
      </c>
      <c r="AK44" s="16" t="n">
        <v>1.300846</v>
      </c>
      <c r="AL44" s="16" t="n">
        <v>1.288623</v>
      </c>
      <c r="AM44" s="12" t="n">
        <v>-0.006944</v>
      </c>
    </row>
    <row r="45" ht="15" customHeight="1">
      <c r="A45" s="11" t="inlineStr">
        <is>
          <t>CKI000:ia_SpaceCooling</t>
        </is>
      </c>
      <c r="B45" s="14" t="inlineStr">
        <is>
          <t xml:space="preserve">   Space Cooling 1/</t>
        </is>
      </c>
      <c r="C45" s="16" t="n">
        <v>0.026705</v>
      </c>
      <c r="D45" s="16" t="n">
        <v>0.027453</v>
      </c>
      <c r="E45" s="16" t="n">
        <v>0.02239</v>
      </c>
      <c r="F45" s="16" t="n">
        <v>0.022995</v>
      </c>
      <c r="G45" s="16" t="n">
        <v>0.022471</v>
      </c>
      <c r="H45" s="16" t="n">
        <v>0.021918</v>
      </c>
      <c r="I45" s="16" t="n">
        <v>0.021529</v>
      </c>
      <c r="J45" s="16" t="n">
        <v>0.021271</v>
      </c>
      <c r="K45" s="16" t="n">
        <v>0.02107</v>
      </c>
      <c r="L45" s="16" t="n">
        <v>0.020832</v>
      </c>
      <c r="M45" s="16" t="n">
        <v>0.020584</v>
      </c>
      <c r="N45" s="16" t="n">
        <v>0.020346</v>
      </c>
      <c r="O45" s="16" t="n">
        <v>0.020073</v>
      </c>
      <c r="P45" s="16" t="n">
        <v>0.019829</v>
      </c>
      <c r="Q45" s="16" t="n">
        <v>0.019621</v>
      </c>
      <c r="R45" s="16" t="n">
        <v>0.019431</v>
      </c>
      <c r="S45" s="16" t="n">
        <v>0.01926</v>
      </c>
      <c r="T45" s="16" t="n">
        <v>0.019103</v>
      </c>
      <c r="U45" s="16" t="n">
        <v>0.018973</v>
      </c>
      <c r="V45" s="16" t="n">
        <v>0.018834</v>
      </c>
      <c r="W45" s="16" t="n">
        <v>0.018684</v>
      </c>
      <c r="X45" s="16" t="n">
        <v>0.018534</v>
      </c>
      <c r="Y45" s="16" t="n">
        <v>0.01838</v>
      </c>
      <c r="Z45" s="16" t="n">
        <v>0.018254</v>
      </c>
      <c r="AA45" s="16" t="n">
        <v>0.018132</v>
      </c>
      <c r="AB45" s="16" t="n">
        <v>0.01803</v>
      </c>
      <c r="AC45" s="16" t="n">
        <v>0.017928</v>
      </c>
      <c r="AD45" s="16" t="n">
        <v>0.017824</v>
      </c>
      <c r="AE45" s="16" t="n">
        <v>0.017703</v>
      </c>
      <c r="AF45" s="16" t="n">
        <v>0.017588</v>
      </c>
      <c r="AG45" s="16" t="n">
        <v>0.01748</v>
      </c>
      <c r="AH45" s="16" t="n">
        <v>0.017376</v>
      </c>
      <c r="AI45" s="16" t="n">
        <v>0.017285</v>
      </c>
      <c r="AJ45" s="16" t="n">
        <v>0.017185</v>
      </c>
      <c r="AK45" s="16" t="n">
        <v>0.017098</v>
      </c>
      <c r="AL45" s="16" t="n">
        <v>0.017014</v>
      </c>
      <c r="AM45" s="12" t="n">
        <v>-0.013974</v>
      </c>
    </row>
    <row r="46" ht="15" customHeight="1">
      <c r="A46" s="11" t="inlineStr">
        <is>
          <t>CKI000:ia_WaterHeating</t>
        </is>
      </c>
      <c r="B46" s="14" t="inlineStr">
        <is>
          <t xml:space="preserve">   Water Heating 1/</t>
        </is>
      </c>
      <c r="C46" s="16" t="n">
        <v>0.300335</v>
      </c>
      <c r="D46" s="16" t="n">
        <v>0.306441</v>
      </c>
      <c r="E46" s="16" t="n">
        <v>0.307774</v>
      </c>
      <c r="F46" s="16" t="n">
        <v>0.305597</v>
      </c>
      <c r="G46" s="16" t="n">
        <v>0.302178</v>
      </c>
      <c r="H46" s="16" t="n">
        <v>0.298868</v>
      </c>
      <c r="I46" s="16" t="n">
        <v>0.297736</v>
      </c>
      <c r="J46" s="16" t="n">
        <v>0.29812</v>
      </c>
      <c r="K46" s="16" t="n">
        <v>0.299124</v>
      </c>
      <c r="L46" s="16" t="n">
        <v>0.299963</v>
      </c>
      <c r="M46" s="16" t="n">
        <v>0.300453</v>
      </c>
      <c r="N46" s="16" t="n">
        <v>0.300883</v>
      </c>
      <c r="O46" s="16" t="n">
        <v>0.300126</v>
      </c>
      <c r="P46" s="16" t="n">
        <v>0.299815</v>
      </c>
      <c r="Q46" s="16" t="n">
        <v>0.300039</v>
      </c>
      <c r="R46" s="16" t="n">
        <v>0.300786</v>
      </c>
      <c r="S46" s="16" t="n">
        <v>0.301665</v>
      </c>
      <c r="T46" s="16" t="n">
        <v>0.302754</v>
      </c>
      <c r="U46" s="16" t="n">
        <v>0.304103</v>
      </c>
      <c r="V46" s="16" t="n">
        <v>0.305401</v>
      </c>
      <c r="W46" s="16" t="n">
        <v>0.306231</v>
      </c>
      <c r="X46" s="16" t="n">
        <v>0.307134</v>
      </c>
      <c r="Y46" s="16" t="n">
        <v>0.308025</v>
      </c>
      <c r="Z46" s="16" t="n">
        <v>0.309162</v>
      </c>
      <c r="AA46" s="16" t="n">
        <v>0.310345</v>
      </c>
      <c r="AB46" s="16" t="n">
        <v>0.311842</v>
      </c>
      <c r="AC46" s="16" t="n">
        <v>0.313343</v>
      </c>
      <c r="AD46" s="16" t="n">
        <v>0.314635</v>
      </c>
      <c r="AE46" s="16" t="n">
        <v>0.315545</v>
      </c>
      <c r="AF46" s="16" t="n">
        <v>0.316368</v>
      </c>
      <c r="AG46" s="16" t="n">
        <v>0.317203</v>
      </c>
      <c r="AH46" s="16" t="n">
        <v>0.318095</v>
      </c>
      <c r="AI46" s="16" t="n">
        <v>0.319061</v>
      </c>
      <c r="AJ46" s="16" t="n">
        <v>0.31993</v>
      </c>
      <c r="AK46" s="16" t="n">
        <v>0.320942</v>
      </c>
      <c r="AL46" s="16" t="n">
        <v>0.321787</v>
      </c>
      <c r="AM46" s="12" t="n">
        <v>0.001438</v>
      </c>
    </row>
    <row r="47" ht="15" customHeight="1">
      <c r="A47" s="11" t="inlineStr">
        <is>
          <t>CKI000:ia_Cooking</t>
        </is>
      </c>
      <c r="B47" s="14" t="inlineStr">
        <is>
          <t xml:space="preserve">   Cooking</t>
        </is>
      </c>
      <c r="C47" s="16" t="n">
        <v>0.307005</v>
      </c>
      <c r="D47" s="16" t="n">
        <v>0.316486</v>
      </c>
      <c r="E47" s="16" t="n">
        <v>0.320955</v>
      </c>
      <c r="F47" s="16" t="n">
        <v>0.321977</v>
      </c>
      <c r="G47" s="16" t="n">
        <v>0.321466</v>
      </c>
      <c r="H47" s="16" t="n">
        <v>0.321511</v>
      </c>
      <c r="I47" s="16" t="n">
        <v>0.323673</v>
      </c>
      <c r="J47" s="16" t="n">
        <v>0.327564</v>
      </c>
      <c r="K47" s="16" t="n">
        <v>0.332081</v>
      </c>
      <c r="L47" s="16" t="n">
        <v>0.336254</v>
      </c>
      <c r="M47" s="16" t="n">
        <v>0.339971</v>
      </c>
      <c r="N47" s="16" t="n">
        <v>0.343302</v>
      </c>
      <c r="O47" s="16" t="n">
        <v>0.345247</v>
      </c>
      <c r="P47" s="16" t="n">
        <v>0.347761</v>
      </c>
      <c r="Q47" s="16" t="n">
        <v>0.351061</v>
      </c>
      <c r="R47" s="16" t="n">
        <v>0.355069</v>
      </c>
      <c r="S47" s="16" t="n">
        <v>0.359161</v>
      </c>
      <c r="T47" s="16" t="n">
        <v>0.363513</v>
      </c>
      <c r="U47" s="16" t="n">
        <v>0.368203</v>
      </c>
      <c r="V47" s="16" t="n">
        <v>0.372902</v>
      </c>
      <c r="W47" s="16" t="n">
        <v>0.377104</v>
      </c>
      <c r="X47" s="16" t="n">
        <v>0.381333</v>
      </c>
      <c r="Y47" s="16" t="n">
        <v>0.38553</v>
      </c>
      <c r="Z47" s="16" t="n">
        <v>0.390018</v>
      </c>
      <c r="AA47" s="16" t="n">
        <v>0.394166</v>
      </c>
      <c r="AB47" s="16" t="n">
        <v>0.398652</v>
      </c>
      <c r="AC47" s="16" t="n">
        <v>0.403157</v>
      </c>
      <c r="AD47" s="16" t="n">
        <v>0.407446</v>
      </c>
      <c r="AE47" s="16" t="n">
        <v>0.411506</v>
      </c>
      <c r="AF47" s="16" t="n">
        <v>0.415508</v>
      </c>
      <c r="AG47" s="16" t="n">
        <v>0.419547</v>
      </c>
      <c r="AH47" s="16" t="n">
        <v>0.423678</v>
      </c>
      <c r="AI47" s="16" t="n">
        <v>0.427893</v>
      </c>
      <c r="AJ47" s="16" t="n">
        <v>0.431871</v>
      </c>
      <c r="AK47" s="16" t="n">
        <v>0.435965</v>
      </c>
      <c r="AL47" s="16" t="n">
        <v>0.439897</v>
      </c>
      <c r="AM47" s="12" t="n">
        <v>0.009731</v>
      </c>
    </row>
    <row r="48" ht="15" customHeight="1">
      <c r="A48" s="11" t="inlineStr">
        <is>
          <t>CKI000:ia_OtherUses</t>
        </is>
      </c>
      <c r="B48" s="14" t="inlineStr">
        <is>
          <t xml:space="preserve">   Other Uses 3/</t>
        </is>
      </c>
      <c r="C48" s="16" t="n">
        <v>1.026232</v>
      </c>
      <c r="D48" s="16" t="n">
        <v>0.943227</v>
      </c>
      <c r="E48" s="16" t="n">
        <v>0.965487</v>
      </c>
      <c r="F48" s="16" t="n">
        <v>0.959326</v>
      </c>
      <c r="G48" s="16" t="n">
        <v>0.949134</v>
      </c>
      <c r="H48" s="16" t="n">
        <v>0.940362</v>
      </c>
      <c r="I48" s="16" t="n">
        <v>0.937652</v>
      </c>
      <c r="J48" s="16" t="n">
        <v>0.946761</v>
      </c>
      <c r="K48" s="16" t="n">
        <v>0.959593</v>
      </c>
      <c r="L48" s="16" t="n">
        <v>0.973506</v>
      </c>
      <c r="M48" s="16" t="n">
        <v>0.989226</v>
      </c>
      <c r="N48" s="16" t="n">
        <v>1.007028</v>
      </c>
      <c r="O48" s="16" t="n">
        <v>1.022553</v>
      </c>
      <c r="P48" s="16" t="n">
        <v>1.039655</v>
      </c>
      <c r="Q48" s="16" t="n">
        <v>1.058565</v>
      </c>
      <c r="R48" s="16" t="n">
        <v>1.080129</v>
      </c>
      <c r="S48" s="16" t="n">
        <v>1.102665</v>
      </c>
      <c r="T48" s="16" t="n">
        <v>1.126507</v>
      </c>
      <c r="U48" s="16" t="n">
        <v>1.151706</v>
      </c>
      <c r="V48" s="16" t="n">
        <v>1.177127</v>
      </c>
      <c r="W48" s="16" t="n">
        <v>1.20211</v>
      </c>
      <c r="X48" s="16" t="n">
        <v>1.228212</v>
      </c>
      <c r="Y48" s="16" t="n">
        <v>1.255397</v>
      </c>
      <c r="Z48" s="16" t="n">
        <v>1.284112</v>
      </c>
      <c r="AA48" s="16" t="n">
        <v>1.313926</v>
      </c>
      <c r="AB48" s="16" t="n">
        <v>1.345763</v>
      </c>
      <c r="AC48" s="16" t="n">
        <v>1.37868</v>
      </c>
      <c r="AD48" s="16" t="n">
        <v>1.412835</v>
      </c>
      <c r="AE48" s="16" t="n">
        <v>1.448711</v>
      </c>
      <c r="AF48" s="16" t="n">
        <v>1.487147</v>
      </c>
      <c r="AG48" s="16" t="n">
        <v>1.525362</v>
      </c>
      <c r="AH48" s="16" t="n">
        <v>1.563631</v>
      </c>
      <c r="AI48" s="16" t="n">
        <v>1.602402</v>
      </c>
      <c r="AJ48" s="16" t="n">
        <v>1.640671</v>
      </c>
      <c r="AK48" s="16" t="n">
        <v>1.679127</v>
      </c>
      <c r="AL48" s="16" t="n">
        <v>1.717801</v>
      </c>
      <c r="AM48" s="12" t="n">
        <v>0.017789</v>
      </c>
    </row>
    <row r="49" ht="15" customHeight="1">
      <c r="A49" s="11" t="inlineStr">
        <is>
          <t>CKI000:ia_DeliveredEner</t>
        </is>
      </c>
      <c r="B49" s="10" t="inlineStr">
        <is>
          <t xml:space="preserve">     Delivered Energy</t>
        </is>
      </c>
      <c r="C49" s="15" t="n">
        <v>3.301152</v>
      </c>
      <c r="D49" s="15" t="n">
        <v>3.226752</v>
      </c>
      <c r="E49" s="15" t="n">
        <v>3.325834</v>
      </c>
      <c r="F49" s="15" t="n">
        <v>3.318756</v>
      </c>
      <c r="G49" s="15" t="n">
        <v>3.273736</v>
      </c>
      <c r="H49" s="15" t="n">
        <v>3.232385</v>
      </c>
      <c r="I49" s="15" t="n">
        <v>3.214168</v>
      </c>
      <c r="J49" s="15" t="n">
        <v>3.21874</v>
      </c>
      <c r="K49" s="15" t="n">
        <v>3.225004</v>
      </c>
      <c r="L49" s="15" t="n">
        <v>3.231071</v>
      </c>
      <c r="M49" s="15" t="n">
        <v>3.237042</v>
      </c>
      <c r="N49" s="15" t="n">
        <v>3.244271</v>
      </c>
      <c r="O49" s="15" t="n">
        <v>3.244186</v>
      </c>
      <c r="P49" s="15" t="n">
        <v>3.247428</v>
      </c>
      <c r="Q49" s="15" t="n">
        <v>3.255235</v>
      </c>
      <c r="R49" s="15" t="n">
        <v>3.269132</v>
      </c>
      <c r="S49" s="15" t="n">
        <v>3.285259</v>
      </c>
      <c r="T49" s="15" t="n">
        <v>3.304047</v>
      </c>
      <c r="U49" s="15" t="n">
        <v>3.325924</v>
      </c>
      <c r="V49" s="15" t="n">
        <v>3.347447</v>
      </c>
      <c r="W49" s="15" t="n">
        <v>3.364423</v>
      </c>
      <c r="X49" s="15" t="n">
        <v>3.383347</v>
      </c>
      <c r="Y49" s="15" t="n">
        <v>3.403905</v>
      </c>
      <c r="Z49" s="15" t="n">
        <v>3.427597</v>
      </c>
      <c r="AA49" s="15" t="n">
        <v>3.452042</v>
      </c>
      <c r="AB49" s="15" t="n">
        <v>3.480521</v>
      </c>
      <c r="AC49" s="15" t="n">
        <v>3.509968</v>
      </c>
      <c r="AD49" s="15" t="n">
        <v>3.53896</v>
      </c>
      <c r="AE49" s="15" t="n">
        <v>3.567882</v>
      </c>
      <c r="AF49" s="15" t="n">
        <v>3.598798</v>
      </c>
      <c r="AG49" s="15" t="n">
        <v>3.629244</v>
      </c>
      <c r="AH49" s="15" t="n">
        <v>3.660043</v>
      </c>
      <c r="AI49" s="15" t="n">
        <v>3.69194</v>
      </c>
      <c r="AJ49" s="15" t="n">
        <v>3.722347</v>
      </c>
      <c r="AK49" s="15" t="n">
        <v>3.753978</v>
      </c>
      <c r="AL49" s="15" t="n">
        <v>3.785122</v>
      </c>
      <c r="AM49" s="8" t="n">
        <v>0.004705</v>
      </c>
    </row>
    <row r="51" ht="15" customHeight="1">
      <c r="B51" s="10" t="inlineStr">
        <is>
          <t xml:space="preserve"> Distillate Fuel Oil</t>
        </is>
      </c>
    </row>
    <row r="52" ht="15" customHeight="1">
      <c r="A52" s="11" t="inlineStr">
        <is>
          <t>CKI000:ja_SpaceHeating</t>
        </is>
      </c>
      <c r="B52" s="14" t="inlineStr">
        <is>
          <t xml:space="preserve">   Space Heating 1/</t>
        </is>
      </c>
      <c r="C52" s="16" t="n">
        <v>0.242525</v>
      </c>
      <c r="D52" s="16" t="n">
        <v>0.244072</v>
      </c>
      <c r="E52" s="16" t="n">
        <v>0.258098</v>
      </c>
      <c r="F52" s="16" t="n">
        <v>0.248054</v>
      </c>
      <c r="G52" s="16" t="n">
        <v>0.241326</v>
      </c>
      <c r="H52" s="16" t="n">
        <v>0.237501</v>
      </c>
      <c r="I52" s="16" t="n">
        <v>0.235009</v>
      </c>
      <c r="J52" s="16" t="n">
        <v>0.23285</v>
      </c>
      <c r="K52" s="16" t="n">
        <v>0.230393</v>
      </c>
      <c r="L52" s="16" t="n">
        <v>0.227843</v>
      </c>
      <c r="M52" s="16" t="n">
        <v>0.224901</v>
      </c>
      <c r="N52" s="16" t="n">
        <v>0.222025</v>
      </c>
      <c r="O52" s="16" t="n">
        <v>0.219431</v>
      </c>
      <c r="P52" s="16" t="n">
        <v>0.21726</v>
      </c>
      <c r="Q52" s="16" t="n">
        <v>0.215069</v>
      </c>
      <c r="R52" s="16" t="n">
        <v>0.212543</v>
      </c>
      <c r="S52" s="16" t="n">
        <v>0.209906</v>
      </c>
      <c r="T52" s="16" t="n">
        <v>0.207217</v>
      </c>
      <c r="U52" s="16" t="n">
        <v>0.205061</v>
      </c>
      <c r="V52" s="16" t="n">
        <v>0.202942</v>
      </c>
      <c r="W52" s="16" t="n">
        <v>0.200874</v>
      </c>
      <c r="X52" s="16" t="n">
        <v>0.198467</v>
      </c>
      <c r="Y52" s="16" t="n">
        <v>0.196341</v>
      </c>
      <c r="Z52" s="16" t="n">
        <v>0.194397</v>
      </c>
      <c r="AA52" s="16" t="n">
        <v>0.192355</v>
      </c>
      <c r="AB52" s="16" t="n">
        <v>0.190343</v>
      </c>
      <c r="AC52" s="16" t="n">
        <v>0.188495</v>
      </c>
      <c r="AD52" s="16" t="n">
        <v>0.186798</v>
      </c>
      <c r="AE52" s="16" t="n">
        <v>0.185174</v>
      </c>
      <c r="AF52" s="16" t="n">
        <v>0.18352</v>
      </c>
      <c r="AG52" s="16" t="n">
        <v>0.181816</v>
      </c>
      <c r="AH52" s="16" t="n">
        <v>0.179955</v>
      </c>
      <c r="AI52" s="16" t="n">
        <v>0.177973</v>
      </c>
      <c r="AJ52" s="16" t="n">
        <v>0.176075</v>
      </c>
      <c r="AK52" s="16" t="n">
        <v>0.174239</v>
      </c>
      <c r="AL52" s="16" t="n">
        <v>0.172316</v>
      </c>
      <c r="AM52" s="12" t="n">
        <v>-0.010187</v>
      </c>
    </row>
    <row r="53" ht="15" customHeight="1">
      <c r="A53" s="11" t="inlineStr">
        <is>
          <t>CKI000:ja_WaterHeating</t>
        </is>
      </c>
      <c r="B53" s="14" t="inlineStr">
        <is>
          <t xml:space="preserve">   Water Heating 1/</t>
        </is>
      </c>
      <c r="C53" s="16" t="n">
        <v>0.001245</v>
      </c>
      <c r="D53" s="16" t="n">
        <v>0.001335</v>
      </c>
      <c r="E53" s="16" t="n">
        <v>0.001358</v>
      </c>
      <c r="F53" s="16" t="n">
        <v>0.001336</v>
      </c>
      <c r="G53" s="16" t="n">
        <v>0.001313</v>
      </c>
      <c r="H53" s="16" t="n">
        <v>0.001304</v>
      </c>
      <c r="I53" s="16" t="n">
        <v>0.001303</v>
      </c>
      <c r="J53" s="16" t="n">
        <v>0.001304</v>
      </c>
      <c r="K53" s="16" t="n">
        <v>0.001304</v>
      </c>
      <c r="L53" s="16" t="n">
        <v>0.001304</v>
      </c>
      <c r="M53" s="16" t="n">
        <v>0.001302</v>
      </c>
      <c r="N53" s="16" t="n">
        <v>0.0013</v>
      </c>
      <c r="O53" s="16" t="n">
        <v>0.0013</v>
      </c>
      <c r="P53" s="16" t="n">
        <v>0.001302</v>
      </c>
      <c r="Q53" s="16" t="n">
        <v>0.001304</v>
      </c>
      <c r="R53" s="16" t="n">
        <v>0.001303</v>
      </c>
      <c r="S53" s="16" t="n">
        <v>0.001302</v>
      </c>
      <c r="T53" s="16" t="n">
        <v>0.0013</v>
      </c>
      <c r="U53" s="16" t="n">
        <v>0.001302</v>
      </c>
      <c r="V53" s="16" t="n">
        <v>0.001304</v>
      </c>
      <c r="W53" s="16" t="n">
        <v>0.001306</v>
      </c>
      <c r="X53" s="16" t="n">
        <v>0.001306</v>
      </c>
      <c r="Y53" s="16" t="n">
        <v>0.001307</v>
      </c>
      <c r="Z53" s="16" t="n">
        <v>0.00131</v>
      </c>
      <c r="AA53" s="16" t="n">
        <v>0.001312</v>
      </c>
      <c r="AB53" s="16" t="n">
        <v>0.001314</v>
      </c>
      <c r="AC53" s="16" t="n">
        <v>0.001317</v>
      </c>
      <c r="AD53" s="16" t="n">
        <v>0.001321</v>
      </c>
      <c r="AE53" s="16" t="n">
        <v>0.001326</v>
      </c>
      <c r="AF53" s="16" t="n">
        <v>0.001331</v>
      </c>
      <c r="AG53" s="16" t="n">
        <v>0.001335</v>
      </c>
      <c r="AH53" s="16" t="n">
        <v>0.001337</v>
      </c>
      <c r="AI53" s="16" t="n">
        <v>0.001339</v>
      </c>
      <c r="AJ53" s="16" t="n">
        <v>0.001342</v>
      </c>
      <c r="AK53" s="16" t="n">
        <v>0.001345</v>
      </c>
      <c r="AL53" s="16" t="n">
        <v>0.001348</v>
      </c>
      <c r="AM53" s="12" t="n">
        <v>0.000277</v>
      </c>
    </row>
    <row r="54" ht="15" customHeight="1">
      <c r="A54" s="11" t="inlineStr">
        <is>
          <t>CKI000:ja_OtherUses</t>
        </is>
      </c>
      <c r="B54" s="14" t="inlineStr">
        <is>
          <t xml:space="preserve">   Other Uses 4/</t>
        </is>
      </c>
      <c r="C54" s="16" t="n">
        <v>0.10057</v>
      </c>
      <c r="D54" s="16" t="n">
        <v>0.161093</v>
      </c>
      <c r="E54" s="16" t="n">
        <v>0.182962</v>
      </c>
      <c r="F54" s="16" t="n">
        <v>0.180083</v>
      </c>
      <c r="G54" s="16" t="n">
        <v>0.176907</v>
      </c>
      <c r="H54" s="16" t="n">
        <v>0.175788</v>
      </c>
      <c r="I54" s="16" t="n">
        <v>0.175655</v>
      </c>
      <c r="J54" s="16" t="n">
        <v>0.17585</v>
      </c>
      <c r="K54" s="16" t="n">
        <v>0.175804</v>
      </c>
      <c r="L54" s="16" t="n">
        <v>0.175608</v>
      </c>
      <c r="M54" s="16" t="n">
        <v>0.175067</v>
      </c>
      <c r="N54" s="16" t="n">
        <v>0.174557</v>
      </c>
      <c r="O54" s="16" t="n">
        <v>0.174247</v>
      </c>
      <c r="P54" s="16" t="n">
        <v>0.174299</v>
      </c>
      <c r="Q54" s="16" t="n">
        <v>0.174308</v>
      </c>
      <c r="R54" s="16" t="n">
        <v>0.174037</v>
      </c>
      <c r="S54" s="16" t="n">
        <v>0.173659</v>
      </c>
      <c r="T54" s="16" t="n">
        <v>0.173234</v>
      </c>
      <c r="U54" s="16" t="n">
        <v>0.173247</v>
      </c>
      <c r="V54" s="16" t="n">
        <v>0.17326</v>
      </c>
      <c r="W54" s="16" t="n">
        <v>0.173345</v>
      </c>
      <c r="X54" s="16" t="n">
        <v>0.173121</v>
      </c>
      <c r="Y54" s="16" t="n">
        <v>0.173146</v>
      </c>
      <c r="Z54" s="16" t="n">
        <v>0.173306</v>
      </c>
      <c r="AA54" s="16" t="n">
        <v>0.173389</v>
      </c>
      <c r="AB54" s="16" t="n">
        <v>0.173486</v>
      </c>
      <c r="AC54" s="16" t="n">
        <v>0.173717</v>
      </c>
      <c r="AD54" s="16" t="n">
        <v>0.174112</v>
      </c>
      <c r="AE54" s="16" t="n">
        <v>0.174554</v>
      </c>
      <c r="AF54" s="16" t="n">
        <v>0.174977</v>
      </c>
      <c r="AG54" s="16" t="n">
        <v>0.17532</v>
      </c>
      <c r="AH54" s="16" t="n">
        <v>0.175544</v>
      </c>
      <c r="AI54" s="16" t="n">
        <v>0.175651</v>
      </c>
      <c r="AJ54" s="16" t="n">
        <v>0.175835</v>
      </c>
      <c r="AK54" s="16" t="n">
        <v>0.176043</v>
      </c>
      <c r="AL54" s="16" t="n">
        <v>0.176163</v>
      </c>
      <c r="AM54" s="12" t="n">
        <v>0.002634</v>
      </c>
    </row>
    <row r="55" ht="15" customHeight="1">
      <c r="A55" s="11" t="inlineStr">
        <is>
          <t>CKI000:ja_DeliveredEner</t>
        </is>
      </c>
      <c r="B55" s="10" t="inlineStr">
        <is>
          <t xml:space="preserve">     Delivered Energy</t>
        </is>
      </c>
      <c r="C55" s="15" t="n">
        <v>0.34434</v>
      </c>
      <c r="D55" s="15" t="n">
        <v>0.4065</v>
      </c>
      <c r="E55" s="15" t="n">
        <v>0.442418</v>
      </c>
      <c r="F55" s="15" t="n">
        <v>0.429474</v>
      </c>
      <c r="G55" s="15" t="n">
        <v>0.419545</v>
      </c>
      <c r="H55" s="15" t="n">
        <v>0.414594</v>
      </c>
      <c r="I55" s="15" t="n">
        <v>0.411966</v>
      </c>
      <c r="J55" s="15" t="n">
        <v>0.410003</v>
      </c>
      <c r="K55" s="15" t="n">
        <v>0.407501</v>
      </c>
      <c r="L55" s="15" t="n">
        <v>0.404755</v>
      </c>
      <c r="M55" s="15" t="n">
        <v>0.40127</v>
      </c>
      <c r="N55" s="15" t="n">
        <v>0.397883</v>
      </c>
      <c r="O55" s="15" t="n">
        <v>0.394978</v>
      </c>
      <c r="P55" s="15" t="n">
        <v>0.392861</v>
      </c>
      <c r="Q55" s="15" t="n">
        <v>0.39068</v>
      </c>
      <c r="R55" s="15" t="n">
        <v>0.387884</v>
      </c>
      <c r="S55" s="15" t="n">
        <v>0.384867</v>
      </c>
      <c r="T55" s="15" t="n">
        <v>0.381752</v>
      </c>
      <c r="U55" s="15" t="n">
        <v>0.37961</v>
      </c>
      <c r="V55" s="15" t="n">
        <v>0.377507</v>
      </c>
      <c r="W55" s="15" t="n">
        <v>0.375526</v>
      </c>
      <c r="X55" s="15" t="n">
        <v>0.372894</v>
      </c>
      <c r="Y55" s="15" t="n">
        <v>0.370794</v>
      </c>
      <c r="Z55" s="15" t="n">
        <v>0.369013</v>
      </c>
      <c r="AA55" s="15" t="n">
        <v>0.367057</v>
      </c>
      <c r="AB55" s="15" t="n">
        <v>0.365144</v>
      </c>
      <c r="AC55" s="15" t="n">
        <v>0.363529</v>
      </c>
      <c r="AD55" s="15" t="n">
        <v>0.362232</v>
      </c>
      <c r="AE55" s="15" t="n">
        <v>0.361054</v>
      </c>
      <c r="AF55" s="15" t="n">
        <v>0.359828</v>
      </c>
      <c r="AG55" s="15" t="n">
        <v>0.35847</v>
      </c>
      <c r="AH55" s="15" t="n">
        <v>0.356836</v>
      </c>
      <c r="AI55" s="15" t="n">
        <v>0.354963</v>
      </c>
      <c r="AJ55" s="15" t="n">
        <v>0.353253</v>
      </c>
      <c r="AK55" s="15" t="n">
        <v>0.351628</v>
      </c>
      <c r="AL55" s="15" t="n">
        <v>0.349827</v>
      </c>
      <c r="AM55" s="8" t="n">
        <v>-0.004406</v>
      </c>
    </row>
    <row r="57" ht="15" customHeight="1">
      <c r="A57" s="11" t="inlineStr">
        <is>
          <t>CKI000:ka_MarketedRenew</t>
        </is>
      </c>
      <c r="B57" s="14" t="inlineStr">
        <is>
          <t xml:space="preserve"> Marketed Renewables (biomass)</t>
        </is>
      </c>
      <c r="C57" s="16" t="n">
        <v>0.131479</v>
      </c>
      <c r="D57" s="16" t="n">
        <v>0.131479</v>
      </c>
      <c r="E57" s="16" t="n">
        <v>0.131479</v>
      </c>
      <c r="F57" s="16" t="n">
        <v>0.131479</v>
      </c>
      <c r="G57" s="16" t="n">
        <v>0.131479</v>
      </c>
      <c r="H57" s="16" t="n">
        <v>0.131479</v>
      </c>
      <c r="I57" s="16" t="n">
        <v>0.131479</v>
      </c>
      <c r="J57" s="16" t="n">
        <v>0.131479</v>
      </c>
      <c r="K57" s="16" t="n">
        <v>0.131479</v>
      </c>
      <c r="L57" s="16" t="n">
        <v>0.131479</v>
      </c>
      <c r="M57" s="16" t="n">
        <v>0.131479</v>
      </c>
      <c r="N57" s="16" t="n">
        <v>0.131479</v>
      </c>
      <c r="O57" s="16" t="n">
        <v>0.131479</v>
      </c>
      <c r="P57" s="16" t="n">
        <v>0.131479</v>
      </c>
      <c r="Q57" s="16" t="n">
        <v>0.131479</v>
      </c>
      <c r="R57" s="16" t="n">
        <v>0.131479</v>
      </c>
      <c r="S57" s="16" t="n">
        <v>0.131479</v>
      </c>
      <c r="T57" s="16" t="n">
        <v>0.131479</v>
      </c>
      <c r="U57" s="16" t="n">
        <v>0.131479</v>
      </c>
      <c r="V57" s="16" t="n">
        <v>0.131479</v>
      </c>
      <c r="W57" s="16" t="n">
        <v>0.131479</v>
      </c>
      <c r="X57" s="16" t="n">
        <v>0.131479</v>
      </c>
      <c r="Y57" s="16" t="n">
        <v>0.131479</v>
      </c>
      <c r="Z57" s="16" t="n">
        <v>0.131479</v>
      </c>
      <c r="AA57" s="16" t="n">
        <v>0.131479</v>
      </c>
      <c r="AB57" s="16" t="n">
        <v>0.131479</v>
      </c>
      <c r="AC57" s="16" t="n">
        <v>0.131479</v>
      </c>
      <c r="AD57" s="16" t="n">
        <v>0.131479</v>
      </c>
      <c r="AE57" s="16" t="n">
        <v>0.131479</v>
      </c>
      <c r="AF57" s="16" t="n">
        <v>0.131479</v>
      </c>
      <c r="AG57" s="16" t="n">
        <v>0.131479</v>
      </c>
      <c r="AH57" s="16" t="n">
        <v>0.131479</v>
      </c>
      <c r="AI57" s="16" t="n">
        <v>0.131479</v>
      </c>
      <c r="AJ57" s="16" t="n">
        <v>0.131479</v>
      </c>
      <c r="AK57" s="16" t="n">
        <v>0.131479</v>
      </c>
      <c r="AL57" s="16" t="n">
        <v>0.131479</v>
      </c>
      <c r="AM57" s="12" t="n">
        <v>0</v>
      </c>
    </row>
    <row r="58" ht="15" customHeight="1">
      <c r="A58" s="11" t="inlineStr">
        <is>
          <t>CKI000:ka_OtherFuels</t>
        </is>
      </c>
      <c r="B58" s="14" t="inlineStr">
        <is>
          <t xml:space="preserve"> Other Fuels 5/</t>
        </is>
      </c>
      <c r="C58" s="16" t="n">
        <v>0.257521</v>
      </c>
      <c r="D58" s="16" t="n">
        <v>0.35941</v>
      </c>
      <c r="E58" s="16" t="n">
        <v>0.324817</v>
      </c>
      <c r="F58" s="16" t="n">
        <v>0.320224</v>
      </c>
      <c r="G58" s="16" t="n">
        <v>0.329993</v>
      </c>
      <c r="H58" s="16" t="n">
        <v>0.345586</v>
      </c>
      <c r="I58" s="16" t="n">
        <v>0.362976</v>
      </c>
      <c r="J58" s="16" t="n">
        <v>0.363946</v>
      </c>
      <c r="K58" s="16" t="n">
        <v>0.364315</v>
      </c>
      <c r="L58" s="16" t="n">
        <v>0.366315</v>
      </c>
      <c r="M58" s="16" t="n">
        <v>0.367764</v>
      </c>
      <c r="N58" s="16" t="n">
        <v>0.369496</v>
      </c>
      <c r="O58" s="16" t="n">
        <v>0.372364</v>
      </c>
      <c r="P58" s="16" t="n">
        <v>0.376553</v>
      </c>
      <c r="Q58" s="16" t="n">
        <v>0.379184</v>
      </c>
      <c r="R58" s="16" t="n">
        <v>0.38052</v>
      </c>
      <c r="S58" s="16" t="n">
        <v>0.380823</v>
      </c>
      <c r="T58" s="16" t="n">
        <v>0.381314</v>
      </c>
      <c r="U58" s="16" t="n">
        <v>0.385941</v>
      </c>
      <c r="V58" s="16" t="n">
        <v>0.387661</v>
      </c>
      <c r="W58" s="16" t="n">
        <v>0.390901</v>
      </c>
      <c r="X58" s="16" t="n">
        <v>0.390936</v>
      </c>
      <c r="Y58" s="16" t="n">
        <v>0.394305</v>
      </c>
      <c r="Z58" s="16" t="n">
        <v>0.396873</v>
      </c>
      <c r="AA58" s="16" t="n">
        <v>0.398056</v>
      </c>
      <c r="AB58" s="16" t="n">
        <v>0.400798</v>
      </c>
      <c r="AC58" s="16" t="n">
        <v>0.403092</v>
      </c>
      <c r="AD58" s="16" t="n">
        <v>0.407209</v>
      </c>
      <c r="AE58" s="16" t="n">
        <v>0.410582</v>
      </c>
      <c r="AF58" s="16" t="n">
        <v>0.413829</v>
      </c>
      <c r="AG58" s="16" t="n">
        <v>0.417404</v>
      </c>
      <c r="AH58" s="16" t="n">
        <v>0.420086</v>
      </c>
      <c r="AI58" s="16" t="n">
        <v>0.42248</v>
      </c>
      <c r="AJ58" s="16" t="n">
        <v>0.425675</v>
      </c>
      <c r="AK58" s="16" t="n">
        <v>0.428632</v>
      </c>
      <c r="AL58" s="16" t="n">
        <v>0.430564</v>
      </c>
      <c r="AM58" s="12" t="n">
        <v>0.005327</v>
      </c>
    </row>
    <row r="60" ht="15" customHeight="1">
      <c r="B60" s="10" t="inlineStr">
        <is>
          <t>Delivered Energy Consumption by End Use</t>
        </is>
      </c>
    </row>
    <row r="61" ht="15" customHeight="1">
      <c r="A61" s="11" t="inlineStr">
        <is>
          <t>CKI000:la_SpaceHeating</t>
        </is>
      </c>
      <c r="B61" s="14" t="inlineStr">
        <is>
          <t xml:space="preserve">   Space Heating 1/</t>
        </is>
      </c>
      <c r="C61" s="16" t="n">
        <v>2.001016</v>
      </c>
      <c r="D61" s="16" t="n">
        <v>1.991958</v>
      </c>
      <c r="E61" s="16" t="n">
        <v>2.085513</v>
      </c>
      <c r="F61" s="16" t="n">
        <v>2.075733</v>
      </c>
      <c r="G61" s="16" t="n">
        <v>2.037168</v>
      </c>
      <c r="H61" s="16" t="n">
        <v>2.002959</v>
      </c>
      <c r="I61" s="16" t="n">
        <v>1.98273</v>
      </c>
      <c r="J61" s="16" t="n">
        <v>1.970477</v>
      </c>
      <c r="K61" s="16" t="n">
        <v>1.955767</v>
      </c>
      <c r="L61" s="16" t="n">
        <v>1.940481</v>
      </c>
      <c r="M61" s="16" t="n">
        <v>1.923645</v>
      </c>
      <c r="N61" s="16" t="n">
        <v>1.906391</v>
      </c>
      <c r="O61" s="16" t="n">
        <v>1.887095</v>
      </c>
      <c r="P61" s="16" t="n">
        <v>1.869019</v>
      </c>
      <c r="Q61" s="16" t="n">
        <v>1.852375</v>
      </c>
      <c r="R61" s="16" t="n">
        <v>1.837572</v>
      </c>
      <c r="S61" s="16" t="n">
        <v>1.823735</v>
      </c>
      <c r="T61" s="16" t="n">
        <v>1.810775</v>
      </c>
      <c r="U61" s="16" t="n">
        <v>1.7995</v>
      </c>
      <c r="V61" s="16" t="n">
        <v>1.787795</v>
      </c>
      <c r="W61" s="16" t="n">
        <v>1.772927</v>
      </c>
      <c r="X61" s="16" t="n">
        <v>1.758426</v>
      </c>
      <c r="Y61" s="16" t="n">
        <v>1.744844</v>
      </c>
      <c r="Z61" s="16" t="n">
        <v>1.732531</v>
      </c>
      <c r="AA61" s="16" t="n">
        <v>1.720118</v>
      </c>
      <c r="AB61" s="16" t="n">
        <v>1.709061</v>
      </c>
      <c r="AC61" s="16" t="n">
        <v>1.698065</v>
      </c>
      <c r="AD61" s="16" t="n">
        <v>1.685917</v>
      </c>
      <c r="AE61" s="16" t="n">
        <v>1.67266</v>
      </c>
      <c r="AF61" s="16" t="n">
        <v>1.658946</v>
      </c>
      <c r="AG61" s="16" t="n">
        <v>1.644935</v>
      </c>
      <c r="AH61" s="16" t="n">
        <v>1.630928</v>
      </c>
      <c r="AI61" s="16" t="n">
        <v>1.617218</v>
      </c>
      <c r="AJ61" s="16" t="n">
        <v>1.602948</v>
      </c>
      <c r="AK61" s="16" t="n">
        <v>1.589508</v>
      </c>
      <c r="AL61" s="16" t="n">
        <v>1.575557</v>
      </c>
      <c r="AM61" s="12" t="n">
        <v>-0.006874</v>
      </c>
    </row>
    <row r="62" ht="15" customHeight="1">
      <c r="A62" s="11" t="inlineStr">
        <is>
          <t>CKI000:la_SpaceCooling</t>
        </is>
      </c>
      <c r="B62" s="14" t="inlineStr">
        <is>
          <t xml:space="preserve">   Space Cooling 1/</t>
        </is>
      </c>
      <c r="C62" s="16" t="n">
        <v>0.565307</v>
      </c>
      <c r="D62" s="16" t="n">
        <v>0.579889</v>
      </c>
      <c r="E62" s="16" t="n">
        <v>0.518417</v>
      </c>
      <c r="F62" s="16" t="n">
        <v>0.533229</v>
      </c>
      <c r="G62" s="16" t="n">
        <v>0.530914</v>
      </c>
      <c r="H62" s="16" t="n">
        <v>0.5275260000000001</v>
      </c>
      <c r="I62" s="16" t="n">
        <v>0.524875</v>
      </c>
      <c r="J62" s="16" t="n">
        <v>0.520903</v>
      </c>
      <c r="K62" s="16" t="n">
        <v>0.518305</v>
      </c>
      <c r="L62" s="16" t="n">
        <v>0.516817</v>
      </c>
      <c r="M62" s="16" t="n">
        <v>0.514779</v>
      </c>
      <c r="N62" s="16" t="n">
        <v>0.512607</v>
      </c>
      <c r="O62" s="16" t="n">
        <v>0.511042</v>
      </c>
      <c r="P62" s="16" t="n">
        <v>0.510127</v>
      </c>
      <c r="Q62" s="16" t="n">
        <v>0.509513</v>
      </c>
      <c r="R62" s="16" t="n">
        <v>0.508417</v>
      </c>
      <c r="S62" s="16" t="n">
        <v>0.5078</v>
      </c>
      <c r="T62" s="16" t="n">
        <v>0.507595</v>
      </c>
      <c r="U62" s="16" t="n">
        <v>0.507818</v>
      </c>
      <c r="V62" s="16" t="n">
        <v>0.508029</v>
      </c>
      <c r="W62" s="16" t="n">
        <v>0.508051</v>
      </c>
      <c r="X62" s="16" t="n">
        <v>0.507907</v>
      </c>
      <c r="Y62" s="16" t="n">
        <v>0.507798</v>
      </c>
      <c r="Z62" s="16" t="n">
        <v>0.508042</v>
      </c>
      <c r="AA62" s="16" t="n">
        <v>0.508377</v>
      </c>
      <c r="AB62" s="16" t="n">
        <v>0.5088279999999999</v>
      </c>
      <c r="AC62" s="16" t="n">
        <v>0.509518</v>
      </c>
      <c r="AD62" s="16" t="n">
        <v>0.51024</v>
      </c>
      <c r="AE62" s="16" t="n">
        <v>0.510701</v>
      </c>
      <c r="AF62" s="16" t="n">
        <v>0.511146</v>
      </c>
      <c r="AG62" s="16" t="n">
        <v>0.5117080000000001</v>
      </c>
      <c r="AH62" s="16" t="n">
        <v>0.512496</v>
      </c>
      <c r="AI62" s="16" t="n">
        <v>0.513439</v>
      </c>
      <c r="AJ62" s="16" t="n">
        <v>0.514314</v>
      </c>
      <c r="AK62" s="16" t="n">
        <v>0.515433</v>
      </c>
      <c r="AL62" s="16" t="n">
        <v>0.516742</v>
      </c>
      <c r="AM62" s="12" t="n">
        <v>-0.003385</v>
      </c>
    </row>
    <row r="63" ht="15" customHeight="1">
      <c r="A63" s="11" t="inlineStr">
        <is>
          <t>CKI000:la_WaterHeating</t>
        </is>
      </c>
      <c r="B63" s="14" t="inlineStr">
        <is>
          <t xml:space="preserve">   Water Heating 1/</t>
        </is>
      </c>
      <c r="C63" s="16" t="n">
        <v>0.31843</v>
      </c>
      <c r="D63" s="16" t="n">
        <v>0.324579</v>
      </c>
      <c r="E63" s="16" t="n">
        <v>0.325857</v>
      </c>
      <c r="F63" s="16" t="n">
        <v>0.323568</v>
      </c>
      <c r="G63" s="16" t="n">
        <v>0.320004</v>
      </c>
      <c r="H63" s="16" t="n">
        <v>0.316532</v>
      </c>
      <c r="I63" s="16" t="n">
        <v>0.315263</v>
      </c>
      <c r="J63" s="16" t="n">
        <v>0.315475</v>
      </c>
      <c r="K63" s="16" t="n">
        <v>0.316319</v>
      </c>
      <c r="L63" s="16" t="n">
        <v>0.317034</v>
      </c>
      <c r="M63" s="16" t="n">
        <v>0.31739</v>
      </c>
      <c r="N63" s="16" t="n">
        <v>0.317675</v>
      </c>
      <c r="O63" s="16" t="n">
        <v>0.316787</v>
      </c>
      <c r="P63" s="16" t="n">
        <v>0.316363</v>
      </c>
      <c r="Q63" s="16" t="n">
        <v>0.316479</v>
      </c>
      <c r="R63" s="16" t="n">
        <v>0.31707</v>
      </c>
      <c r="S63" s="16" t="n">
        <v>0.317803</v>
      </c>
      <c r="T63" s="16" t="n">
        <v>0.318755</v>
      </c>
      <c r="U63" s="16" t="n">
        <v>0.319981</v>
      </c>
      <c r="V63" s="16" t="n">
        <v>0.321159</v>
      </c>
      <c r="W63" s="16" t="n">
        <v>0.321861</v>
      </c>
      <c r="X63" s="16" t="n">
        <v>0.32263</v>
      </c>
      <c r="Y63" s="16" t="n">
        <v>0.323398</v>
      </c>
      <c r="Z63" s="16" t="n">
        <v>0.324417</v>
      </c>
      <c r="AA63" s="16" t="n">
        <v>0.325487</v>
      </c>
      <c r="AB63" s="16" t="n">
        <v>0.326873</v>
      </c>
      <c r="AC63" s="16" t="n">
        <v>0.32827</v>
      </c>
      <c r="AD63" s="16" t="n">
        <v>0.32946</v>
      </c>
      <c r="AE63" s="16" t="n">
        <v>0.330263</v>
      </c>
      <c r="AF63" s="16" t="n">
        <v>0.330979</v>
      </c>
      <c r="AG63" s="16" t="n">
        <v>0.331708</v>
      </c>
      <c r="AH63" s="16" t="n">
        <v>0.332496</v>
      </c>
      <c r="AI63" s="16" t="n">
        <v>0.333359</v>
      </c>
      <c r="AJ63" s="16" t="n">
        <v>0.334129</v>
      </c>
      <c r="AK63" s="16" t="n">
        <v>0.335045</v>
      </c>
      <c r="AL63" s="16" t="n">
        <v>0.335794</v>
      </c>
      <c r="AM63" s="12" t="n">
        <v>0.001</v>
      </c>
    </row>
    <row r="64" ht="15" customHeight="1">
      <c r="A64" s="11" t="inlineStr">
        <is>
          <t>CKI000:la_Ventilation</t>
        </is>
      </c>
      <c r="B64" s="14" t="inlineStr">
        <is>
          <t xml:space="preserve">   Ventilation</t>
        </is>
      </c>
      <c r="C64" s="16" t="n">
        <v>0.520373</v>
      </c>
      <c r="D64" s="16" t="n">
        <v>0.519781</v>
      </c>
      <c r="E64" s="16" t="n">
        <v>0.518622</v>
      </c>
      <c r="F64" s="16" t="n">
        <v>0.517425</v>
      </c>
      <c r="G64" s="16" t="n">
        <v>0.51517</v>
      </c>
      <c r="H64" s="16" t="n">
        <v>0.510933</v>
      </c>
      <c r="I64" s="16" t="n">
        <v>0.507199</v>
      </c>
      <c r="J64" s="16" t="n">
        <v>0.500866</v>
      </c>
      <c r="K64" s="16" t="n">
        <v>0.495755</v>
      </c>
      <c r="L64" s="16" t="n">
        <v>0.492381</v>
      </c>
      <c r="M64" s="16" t="n">
        <v>0.488387</v>
      </c>
      <c r="N64" s="16" t="n">
        <v>0.476113</v>
      </c>
      <c r="O64" s="16" t="n">
        <v>0.465019</v>
      </c>
      <c r="P64" s="16" t="n">
        <v>0.455059</v>
      </c>
      <c r="Q64" s="16" t="n">
        <v>0.445953</v>
      </c>
      <c r="R64" s="16" t="n">
        <v>0.436851</v>
      </c>
      <c r="S64" s="16" t="n">
        <v>0.428627</v>
      </c>
      <c r="T64" s="16" t="n">
        <v>0.421193</v>
      </c>
      <c r="U64" s="16" t="n">
        <v>0.414522</v>
      </c>
      <c r="V64" s="16" t="n">
        <v>0.408437</v>
      </c>
      <c r="W64" s="16" t="n">
        <v>0.402566</v>
      </c>
      <c r="X64" s="16" t="n">
        <v>0.397058</v>
      </c>
      <c r="Y64" s="16" t="n">
        <v>0.392136</v>
      </c>
      <c r="Z64" s="16" t="n">
        <v>0.387738</v>
      </c>
      <c r="AA64" s="16" t="n">
        <v>0.383791</v>
      </c>
      <c r="AB64" s="16" t="n">
        <v>0.379404</v>
      </c>
      <c r="AC64" s="16" t="n">
        <v>0.375572</v>
      </c>
      <c r="AD64" s="16" t="n">
        <v>0.372041</v>
      </c>
      <c r="AE64" s="16" t="n">
        <v>0.368746</v>
      </c>
      <c r="AF64" s="16" t="n">
        <v>0.365734</v>
      </c>
      <c r="AG64" s="16" t="n">
        <v>0.363124</v>
      </c>
      <c r="AH64" s="16" t="n">
        <v>0.360929</v>
      </c>
      <c r="AI64" s="16" t="n">
        <v>0.35909</v>
      </c>
      <c r="AJ64" s="16" t="n">
        <v>0.357642</v>
      </c>
      <c r="AK64" s="16" t="n">
        <v>0.356553</v>
      </c>
      <c r="AL64" s="16" t="n">
        <v>0.355715</v>
      </c>
      <c r="AM64" s="12" t="n">
        <v>-0.011093</v>
      </c>
    </row>
    <row r="65" ht="15" customHeight="1">
      <c r="A65" s="11" t="inlineStr">
        <is>
          <t>CKI000:la_Cooking</t>
        </is>
      </c>
      <c r="B65" s="14" t="inlineStr">
        <is>
          <t xml:space="preserve">   Cooking</t>
        </is>
      </c>
      <c r="C65" s="16" t="n">
        <v>0.390005</v>
      </c>
      <c r="D65" s="16" t="n">
        <v>0.398862</v>
      </c>
      <c r="E65" s="16" t="n">
        <v>0.40266</v>
      </c>
      <c r="F65" s="16" t="n">
        <v>0.403147</v>
      </c>
      <c r="G65" s="16" t="n">
        <v>0.401991</v>
      </c>
      <c r="H65" s="16" t="n">
        <v>0.40133</v>
      </c>
      <c r="I65" s="16" t="n">
        <v>0.402821</v>
      </c>
      <c r="J65" s="16" t="n">
        <v>0.405831</v>
      </c>
      <c r="K65" s="16" t="n">
        <v>0.409555</v>
      </c>
      <c r="L65" s="16" t="n">
        <v>0.413145</v>
      </c>
      <c r="M65" s="16" t="n">
        <v>0.416216</v>
      </c>
      <c r="N65" s="16" t="n">
        <v>0.418868</v>
      </c>
      <c r="O65" s="16" t="n">
        <v>0.420207</v>
      </c>
      <c r="P65" s="16" t="n">
        <v>0.4222</v>
      </c>
      <c r="Q65" s="16" t="n">
        <v>0.42502</v>
      </c>
      <c r="R65" s="16" t="n">
        <v>0.428554</v>
      </c>
      <c r="S65" s="16" t="n">
        <v>0.432211</v>
      </c>
      <c r="T65" s="16" t="n">
        <v>0.436176</v>
      </c>
      <c r="U65" s="16" t="n">
        <v>0.440517</v>
      </c>
      <c r="V65" s="16" t="n">
        <v>0.444883</v>
      </c>
      <c r="W65" s="16" t="n">
        <v>0.44871</v>
      </c>
      <c r="X65" s="16" t="n">
        <v>0.452536</v>
      </c>
      <c r="Y65" s="16" t="n">
        <v>0.456356</v>
      </c>
      <c r="Z65" s="16" t="n">
        <v>0.460478</v>
      </c>
      <c r="AA65" s="16" t="n">
        <v>0.464266</v>
      </c>
      <c r="AB65" s="16" t="n">
        <v>0.468396</v>
      </c>
      <c r="AC65" s="16" t="n">
        <v>0.47256</v>
      </c>
      <c r="AD65" s="16" t="n">
        <v>0.476491</v>
      </c>
      <c r="AE65" s="16" t="n">
        <v>0.480169</v>
      </c>
      <c r="AF65" s="16" t="n">
        <v>0.483773</v>
      </c>
      <c r="AG65" s="16" t="n">
        <v>0.487412</v>
      </c>
      <c r="AH65" s="16" t="n">
        <v>0.491147</v>
      </c>
      <c r="AI65" s="16" t="n">
        <v>0.494961</v>
      </c>
      <c r="AJ65" s="16" t="n">
        <v>0.498535</v>
      </c>
      <c r="AK65" s="16" t="n">
        <v>0.502226</v>
      </c>
      <c r="AL65" s="16" t="n">
        <v>0.505748</v>
      </c>
      <c r="AM65" s="12" t="n">
        <v>0.007007</v>
      </c>
    </row>
    <row r="66" ht="15" customHeight="1">
      <c r="A66" s="11" t="inlineStr">
        <is>
          <t>CKI000:la_Lighting</t>
        </is>
      </c>
      <c r="B66" s="14" t="inlineStr">
        <is>
          <t xml:space="preserve">   Lighting</t>
        </is>
      </c>
      <c r="C66" s="16" t="n">
        <v>0.523999</v>
      </c>
      <c r="D66" s="16" t="n">
        <v>0.5100519999999999</v>
      </c>
      <c r="E66" s="16" t="n">
        <v>0.500124</v>
      </c>
      <c r="F66" s="16" t="n">
        <v>0.493548</v>
      </c>
      <c r="G66" s="16" t="n">
        <v>0.488328</v>
      </c>
      <c r="H66" s="16" t="n">
        <v>0.472094</v>
      </c>
      <c r="I66" s="16" t="n">
        <v>0.459182</v>
      </c>
      <c r="J66" s="16" t="n">
        <v>0.441689</v>
      </c>
      <c r="K66" s="16" t="n">
        <v>0.427613</v>
      </c>
      <c r="L66" s="16" t="n">
        <v>0.416762</v>
      </c>
      <c r="M66" s="16" t="n">
        <v>0.407285</v>
      </c>
      <c r="N66" s="16" t="n">
        <v>0.398911</v>
      </c>
      <c r="O66" s="16" t="n">
        <v>0.392037</v>
      </c>
      <c r="P66" s="16" t="n">
        <v>0.386517</v>
      </c>
      <c r="Q66" s="16" t="n">
        <v>0.38195</v>
      </c>
      <c r="R66" s="16" t="n">
        <v>0.3684</v>
      </c>
      <c r="S66" s="16" t="n">
        <v>0.356894</v>
      </c>
      <c r="T66" s="16" t="n">
        <v>0.347163</v>
      </c>
      <c r="U66" s="16" t="n">
        <v>0.338905</v>
      </c>
      <c r="V66" s="16" t="n">
        <v>0.331818</v>
      </c>
      <c r="W66" s="16" t="n">
        <v>0.325463</v>
      </c>
      <c r="X66" s="16" t="n">
        <v>0.319859</v>
      </c>
      <c r="Y66" s="16" t="n">
        <v>0.314587</v>
      </c>
      <c r="Z66" s="16" t="n">
        <v>0.310031</v>
      </c>
      <c r="AA66" s="16" t="n">
        <v>0.306067</v>
      </c>
      <c r="AB66" s="16" t="n">
        <v>0.298299</v>
      </c>
      <c r="AC66" s="16" t="n">
        <v>0.291688</v>
      </c>
      <c r="AD66" s="16" t="n">
        <v>0.285767</v>
      </c>
      <c r="AE66" s="16" t="n">
        <v>0.280359</v>
      </c>
      <c r="AF66" s="16" t="n">
        <v>0.275531</v>
      </c>
      <c r="AG66" s="16" t="n">
        <v>0.271385</v>
      </c>
      <c r="AH66" s="16" t="n">
        <v>0.267902</v>
      </c>
      <c r="AI66" s="16" t="n">
        <v>0.264944</v>
      </c>
      <c r="AJ66" s="16" t="n">
        <v>0.262466</v>
      </c>
      <c r="AK66" s="16" t="n">
        <v>0.260421</v>
      </c>
      <c r="AL66" s="16" t="n">
        <v>0.25866</v>
      </c>
      <c r="AM66" s="12" t="n">
        <v>-0.019772</v>
      </c>
    </row>
    <row r="67" ht="15" customHeight="1">
      <c r="A67" s="11" t="inlineStr">
        <is>
          <t>CKI000:la_Refrigeration</t>
        </is>
      </c>
      <c r="B67" s="14" t="inlineStr">
        <is>
          <t xml:space="preserve">   Refrigeration</t>
        </is>
      </c>
      <c r="C67" s="16" t="n">
        <v>0.634089</v>
      </c>
      <c r="D67" s="16" t="n">
        <v>0.639811</v>
      </c>
      <c r="E67" s="16" t="n">
        <v>0.645964</v>
      </c>
      <c r="F67" s="16" t="n">
        <v>0.644753</v>
      </c>
      <c r="G67" s="16" t="n">
        <v>0.6438739999999999</v>
      </c>
      <c r="H67" s="16" t="n">
        <v>0.644182</v>
      </c>
      <c r="I67" s="16" t="n">
        <v>0.645211</v>
      </c>
      <c r="J67" s="16" t="n">
        <v>0.640736</v>
      </c>
      <c r="K67" s="16" t="n">
        <v>0.6373450000000001</v>
      </c>
      <c r="L67" s="16" t="n">
        <v>0.635446</v>
      </c>
      <c r="M67" s="16" t="n">
        <v>0.629494</v>
      </c>
      <c r="N67" s="16" t="n">
        <v>0.624394</v>
      </c>
      <c r="O67" s="16" t="n">
        <v>0.6205540000000001</v>
      </c>
      <c r="P67" s="16" t="n">
        <v>0.617923</v>
      </c>
      <c r="Q67" s="16" t="n">
        <v>0.616277</v>
      </c>
      <c r="R67" s="16" t="n">
        <v>0.610648</v>
      </c>
      <c r="S67" s="16" t="n">
        <v>0.606281</v>
      </c>
      <c r="T67" s="16" t="n">
        <v>0.603043</v>
      </c>
      <c r="U67" s="16" t="n">
        <v>0.600864</v>
      </c>
      <c r="V67" s="16" t="n">
        <v>0.599553</v>
      </c>
      <c r="W67" s="16" t="n">
        <v>0.598758</v>
      </c>
      <c r="X67" s="16" t="n">
        <v>0.598455</v>
      </c>
      <c r="Y67" s="16" t="n">
        <v>0.598734</v>
      </c>
      <c r="Z67" s="16" t="n">
        <v>0.599573</v>
      </c>
      <c r="AA67" s="16" t="n">
        <v>0.600909</v>
      </c>
      <c r="AB67" s="16" t="n">
        <v>0.602353</v>
      </c>
      <c r="AC67" s="16" t="n">
        <v>0.604222</v>
      </c>
      <c r="AD67" s="16" t="n">
        <v>0.6063460000000001</v>
      </c>
      <c r="AE67" s="16" t="n">
        <v>0.608658</v>
      </c>
      <c r="AF67" s="16" t="n">
        <v>0.611157</v>
      </c>
      <c r="AG67" s="16" t="n">
        <v>0.613924</v>
      </c>
      <c r="AH67" s="16" t="n">
        <v>0.616966</v>
      </c>
      <c r="AI67" s="16" t="n">
        <v>0.620152</v>
      </c>
      <c r="AJ67" s="16" t="n">
        <v>0.623478</v>
      </c>
      <c r="AK67" s="16" t="n">
        <v>0.626939</v>
      </c>
      <c r="AL67" s="16" t="n">
        <v>0.630416</v>
      </c>
      <c r="AM67" s="12" t="n">
        <v>-0.000435</v>
      </c>
    </row>
    <row r="68" ht="15" customHeight="1">
      <c r="A68" s="11" t="inlineStr">
        <is>
          <t>CKI000:la_OfficeEquipme</t>
        </is>
      </c>
      <c r="B68" s="14" t="inlineStr">
        <is>
          <t xml:space="preserve">   Office Equipment (PC)</t>
        </is>
      </c>
      <c r="C68" s="16" t="n">
        <v>0.365338</v>
      </c>
      <c r="D68" s="16" t="n">
        <v>0.354525</v>
      </c>
      <c r="E68" s="16" t="n">
        <v>0.34452</v>
      </c>
      <c r="F68" s="16" t="n">
        <v>0.335385</v>
      </c>
      <c r="G68" s="16" t="n">
        <v>0.327694</v>
      </c>
      <c r="H68" s="16" t="n">
        <v>0.320629</v>
      </c>
      <c r="I68" s="16" t="n">
        <v>0.31426</v>
      </c>
      <c r="J68" s="16" t="n">
        <v>0.308729</v>
      </c>
      <c r="K68" s="16" t="n">
        <v>0.303907</v>
      </c>
      <c r="L68" s="16" t="n">
        <v>0.299945</v>
      </c>
      <c r="M68" s="16" t="n">
        <v>0.296641</v>
      </c>
      <c r="N68" s="16" t="n">
        <v>0.294006</v>
      </c>
      <c r="O68" s="16" t="n">
        <v>0.291796</v>
      </c>
      <c r="P68" s="16" t="n">
        <v>0.290475</v>
      </c>
      <c r="Q68" s="16" t="n">
        <v>0.289575</v>
      </c>
      <c r="R68" s="16" t="n">
        <v>0.289021</v>
      </c>
      <c r="S68" s="16" t="n">
        <v>0.288927</v>
      </c>
      <c r="T68" s="16" t="n">
        <v>0.289278</v>
      </c>
      <c r="U68" s="16" t="n">
        <v>0.289624</v>
      </c>
      <c r="V68" s="16" t="n">
        <v>0.289964</v>
      </c>
      <c r="W68" s="16" t="n">
        <v>0.290707</v>
      </c>
      <c r="X68" s="16" t="n">
        <v>0.291398</v>
      </c>
      <c r="Y68" s="16" t="n">
        <v>0.292078</v>
      </c>
      <c r="Z68" s="16" t="n">
        <v>0.292258</v>
      </c>
      <c r="AA68" s="16" t="n">
        <v>0.292422</v>
      </c>
      <c r="AB68" s="16" t="n">
        <v>0.292036</v>
      </c>
      <c r="AC68" s="16" t="n">
        <v>0.291643</v>
      </c>
      <c r="AD68" s="16" t="n">
        <v>0.290173</v>
      </c>
      <c r="AE68" s="16" t="n">
        <v>0.288631</v>
      </c>
      <c r="AF68" s="16" t="n">
        <v>0.285997</v>
      </c>
      <c r="AG68" s="16" t="n">
        <v>0.282804</v>
      </c>
      <c r="AH68" s="16" t="n">
        <v>0.278518</v>
      </c>
      <c r="AI68" s="16" t="n">
        <v>0.273081</v>
      </c>
      <c r="AJ68" s="16" t="n">
        <v>0.266489</v>
      </c>
      <c r="AK68" s="16" t="n">
        <v>0.258721</v>
      </c>
      <c r="AL68" s="16" t="n">
        <v>0.249728</v>
      </c>
      <c r="AM68" s="12" t="n">
        <v>-0.010253</v>
      </c>
    </row>
    <row r="69" ht="15" customHeight="1">
      <c r="A69" s="11" t="inlineStr">
        <is>
          <t>CKI000:ma_OfficeEquipme</t>
        </is>
      </c>
      <c r="B69" s="14" t="inlineStr">
        <is>
          <t xml:space="preserve">   Office Equipment (non-PC)</t>
        </is>
      </c>
      <c r="C69" s="16" t="n">
        <v>0.22496</v>
      </c>
      <c r="D69" s="16" t="n">
        <v>0.230237</v>
      </c>
      <c r="E69" s="16" t="n">
        <v>0.234301</v>
      </c>
      <c r="F69" s="16" t="n">
        <v>0.237364</v>
      </c>
      <c r="G69" s="16" t="n">
        <v>0.238984</v>
      </c>
      <c r="H69" s="16" t="n">
        <v>0.240379</v>
      </c>
      <c r="I69" s="16" t="n">
        <v>0.242498</v>
      </c>
      <c r="J69" s="16" t="n">
        <v>0.245123</v>
      </c>
      <c r="K69" s="16" t="n">
        <v>0.24846</v>
      </c>
      <c r="L69" s="16" t="n">
        <v>0.253126</v>
      </c>
      <c r="M69" s="16" t="n">
        <v>0.258468</v>
      </c>
      <c r="N69" s="16" t="n">
        <v>0.264748</v>
      </c>
      <c r="O69" s="16" t="n">
        <v>0.270886</v>
      </c>
      <c r="P69" s="16" t="n">
        <v>0.276642</v>
      </c>
      <c r="Q69" s="16" t="n">
        <v>0.282235</v>
      </c>
      <c r="R69" s="16" t="n">
        <v>0.287573</v>
      </c>
      <c r="S69" s="16" t="n">
        <v>0.292722</v>
      </c>
      <c r="T69" s="16" t="n">
        <v>0.297654</v>
      </c>
      <c r="U69" s="16" t="n">
        <v>0.302654</v>
      </c>
      <c r="V69" s="16" t="n">
        <v>0.307184</v>
      </c>
      <c r="W69" s="16" t="n">
        <v>0.311956</v>
      </c>
      <c r="X69" s="16" t="n">
        <v>0.316713</v>
      </c>
      <c r="Y69" s="16" t="n">
        <v>0.321498</v>
      </c>
      <c r="Z69" s="16" t="n">
        <v>0.326062</v>
      </c>
      <c r="AA69" s="16" t="n">
        <v>0.330953</v>
      </c>
      <c r="AB69" s="16" t="n">
        <v>0.336136</v>
      </c>
      <c r="AC69" s="16" t="n">
        <v>0.341378</v>
      </c>
      <c r="AD69" s="16" t="n">
        <v>0.347213</v>
      </c>
      <c r="AE69" s="16" t="n">
        <v>0.353069</v>
      </c>
      <c r="AF69" s="16" t="n">
        <v>0.359255</v>
      </c>
      <c r="AG69" s="16" t="n">
        <v>0.366109</v>
      </c>
      <c r="AH69" s="16" t="n">
        <v>0.373356</v>
      </c>
      <c r="AI69" s="16" t="n">
        <v>0.380948</v>
      </c>
      <c r="AJ69" s="16" t="n">
        <v>0.389212</v>
      </c>
      <c r="AK69" s="16" t="n">
        <v>0.398468</v>
      </c>
      <c r="AL69" s="16" t="n">
        <v>0.408096</v>
      </c>
      <c r="AM69" s="12" t="n">
        <v>0.016978</v>
      </c>
    </row>
    <row r="70" ht="15" customHeight="1">
      <c r="A70" s="11" t="inlineStr">
        <is>
          <t>CKI000:ma_OtherUses</t>
        </is>
      </c>
      <c r="B70" s="14" t="inlineStr">
        <is>
          <t xml:space="preserve">   Other Uses 6/</t>
        </is>
      </c>
      <c r="C70" s="16" t="n">
        <v>3.125899</v>
      </c>
      <c r="D70" s="16" t="n">
        <v>3.215455</v>
      </c>
      <c r="E70" s="16" t="n">
        <v>3.245694</v>
      </c>
      <c r="F70" s="16" t="n">
        <v>3.254006</v>
      </c>
      <c r="G70" s="16" t="n">
        <v>3.272375</v>
      </c>
      <c r="H70" s="16" t="n">
        <v>3.2998</v>
      </c>
      <c r="I70" s="16" t="n">
        <v>3.337164</v>
      </c>
      <c r="J70" s="16" t="n">
        <v>3.372945</v>
      </c>
      <c r="K70" s="16" t="n">
        <v>3.413825</v>
      </c>
      <c r="L70" s="16" t="n">
        <v>3.459322</v>
      </c>
      <c r="M70" s="16" t="n">
        <v>3.505226</v>
      </c>
      <c r="N70" s="16" t="n">
        <v>3.554095</v>
      </c>
      <c r="O70" s="16" t="n">
        <v>3.603196</v>
      </c>
      <c r="P70" s="16" t="n">
        <v>3.655952</v>
      </c>
      <c r="Q70" s="16" t="n">
        <v>3.710198</v>
      </c>
      <c r="R70" s="16" t="n">
        <v>3.766412</v>
      </c>
      <c r="S70" s="16" t="n">
        <v>3.822996</v>
      </c>
      <c r="T70" s="16" t="n">
        <v>3.882647</v>
      </c>
      <c r="U70" s="16" t="n">
        <v>3.949079</v>
      </c>
      <c r="V70" s="16" t="n">
        <v>4.014808</v>
      </c>
      <c r="W70" s="16" t="n">
        <v>4.082306</v>
      </c>
      <c r="X70" s="16" t="n">
        <v>4.147949</v>
      </c>
      <c r="Y70" s="16" t="n">
        <v>4.220228</v>
      </c>
      <c r="Z70" s="16" t="n">
        <v>4.294396</v>
      </c>
      <c r="AA70" s="16" t="n">
        <v>4.369367</v>
      </c>
      <c r="AB70" s="16" t="n">
        <v>4.449541</v>
      </c>
      <c r="AC70" s="16" t="n">
        <v>4.53197</v>
      </c>
      <c r="AD70" s="16" t="n">
        <v>4.619161</v>
      </c>
      <c r="AE70" s="16" t="n">
        <v>4.709095</v>
      </c>
      <c r="AF70" s="16" t="n">
        <v>4.803121</v>
      </c>
      <c r="AG70" s="16" t="n">
        <v>4.89762</v>
      </c>
      <c r="AH70" s="16" t="n">
        <v>4.993944</v>
      </c>
      <c r="AI70" s="16" t="n">
        <v>5.091087</v>
      </c>
      <c r="AJ70" s="16" t="n">
        <v>5.190915</v>
      </c>
      <c r="AK70" s="16" t="n">
        <v>5.292283</v>
      </c>
      <c r="AL70" s="16" t="n">
        <v>5.39531</v>
      </c>
      <c r="AM70" s="12" t="n">
        <v>0.015339</v>
      </c>
    </row>
    <row r="71" ht="15" customHeight="1">
      <c r="A71" s="11" t="inlineStr">
        <is>
          <t>CKI000:ma_DeliveredEner</t>
        </is>
      </c>
      <c r="B71" s="10" t="inlineStr">
        <is>
          <t xml:space="preserve">     Delivered Energy</t>
        </is>
      </c>
      <c r="C71" s="15" t="n">
        <v>8.669416</v>
      </c>
      <c r="D71" s="15" t="n">
        <v>8.765148999999999</v>
      </c>
      <c r="E71" s="15" t="n">
        <v>8.821673000000001</v>
      </c>
      <c r="F71" s="15" t="n">
        <v>8.818159</v>
      </c>
      <c r="G71" s="15" t="n">
        <v>8.776501</v>
      </c>
      <c r="H71" s="15" t="n">
        <v>8.736363000000001</v>
      </c>
      <c r="I71" s="15" t="n">
        <v>8.731203000000001</v>
      </c>
      <c r="J71" s="15" t="n">
        <v>8.722775</v>
      </c>
      <c r="K71" s="15" t="n">
        <v>8.726850000000001</v>
      </c>
      <c r="L71" s="15" t="n">
        <v>8.744458</v>
      </c>
      <c r="M71" s="15" t="n">
        <v>8.757531999999999</v>
      </c>
      <c r="N71" s="15" t="n">
        <v>8.767808</v>
      </c>
      <c r="O71" s="15" t="n">
        <v>8.778619000000001</v>
      </c>
      <c r="P71" s="15" t="n">
        <v>8.800276</v>
      </c>
      <c r="Q71" s="15" t="n">
        <v>8.829575</v>
      </c>
      <c r="R71" s="15" t="n">
        <v>8.850517999999999</v>
      </c>
      <c r="S71" s="15" t="n">
        <v>8.877995</v>
      </c>
      <c r="T71" s="15" t="n">
        <v>8.91428</v>
      </c>
      <c r="U71" s="15" t="n">
        <v>8.963464999999999</v>
      </c>
      <c r="V71" s="15" t="n">
        <v>9.013629999999999</v>
      </c>
      <c r="W71" s="15" t="n">
        <v>9.063306000000001</v>
      </c>
      <c r="X71" s="15" t="n">
        <v>9.11293</v>
      </c>
      <c r="Y71" s="15" t="n">
        <v>9.171656</v>
      </c>
      <c r="Z71" s="15" t="n">
        <v>9.235524</v>
      </c>
      <c r="AA71" s="15" t="n">
        <v>9.301757</v>
      </c>
      <c r="AB71" s="15" t="n">
        <v>9.370927</v>
      </c>
      <c r="AC71" s="15" t="n">
        <v>9.444884</v>
      </c>
      <c r="AD71" s="15" t="n">
        <v>9.522807999999999</v>
      </c>
      <c r="AE71" s="15" t="n">
        <v>9.602351000000001</v>
      </c>
      <c r="AF71" s="15" t="n">
        <v>9.685638000000001</v>
      </c>
      <c r="AG71" s="15" t="n">
        <v>9.770728999999999</v>
      </c>
      <c r="AH71" s="15" t="n">
        <v>9.858681000000001</v>
      </c>
      <c r="AI71" s="15" t="n">
        <v>9.94828</v>
      </c>
      <c r="AJ71" s="15" t="n">
        <v>10.04013</v>
      </c>
      <c r="AK71" s="15" t="n">
        <v>10.135597</v>
      </c>
      <c r="AL71" s="15" t="n">
        <v>10.231766</v>
      </c>
      <c r="AM71" s="8" t="n">
        <v>0.004561</v>
      </c>
    </row>
    <row r="73" ht="15" customHeight="1">
      <c r="A73" s="11" t="inlineStr">
        <is>
          <t>CKI000:na_ElectricityRe</t>
        </is>
      </c>
      <c r="B73" s="10" t="inlineStr">
        <is>
          <t>Electricity Related Losses</t>
        </is>
      </c>
      <c r="C73" s="15" t="n">
        <v>9.28633</v>
      </c>
      <c r="D73" s="15" t="n">
        <v>9.055526</v>
      </c>
      <c r="E73" s="15" t="n">
        <v>9.010788</v>
      </c>
      <c r="F73" s="15" t="n">
        <v>8.963281</v>
      </c>
      <c r="G73" s="15" t="n">
        <v>9.002319</v>
      </c>
      <c r="H73" s="15" t="n">
        <v>9.031188</v>
      </c>
      <c r="I73" s="15" t="n">
        <v>9.018705000000001</v>
      </c>
      <c r="J73" s="15" t="n">
        <v>8.983305</v>
      </c>
      <c r="K73" s="15" t="n">
        <v>8.978977</v>
      </c>
      <c r="L73" s="15" t="n">
        <v>8.957599</v>
      </c>
      <c r="M73" s="15" t="n">
        <v>8.908816</v>
      </c>
      <c r="N73" s="15" t="n">
        <v>8.827954999999999</v>
      </c>
      <c r="O73" s="15" t="n">
        <v>8.785245</v>
      </c>
      <c r="P73" s="15" t="n">
        <v>8.748608000000001</v>
      </c>
      <c r="Q73" s="15" t="n">
        <v>8.737109999999999</v>
      </c>
      <c r="R73" s="15" t="n">
        <v>8.712185</v>
      </c>
      <c r="S73" s="15" t="n">
        <v>8.708842000000001</v>
      </c>
      <c r="T73" s="15" t="n">
        <v>8.70086</v>
      </c>
      <c r="U73" s="15" t="n">
        <v>8.73236</v>
      </c>
      <c r="V73" s="15" t="n">
        <v>8.721921999999999</v>
      </c>
      <c r="W73" s="15" t="n">
        <v>8.702349</v>
      </c>
      <c r="X73" s="15" t="n">
        <v>8.744339999999999</v>
      </c>
      <c r="Y73" s="15" t="n">
        <v>8.742889</v>
      </c>
      <c r="Z73" s="15" t="n">
        <v>8.774091</v>
      </c>
      <c r="AA73" s="15" t="n">
        <v>8.81265</v>
      </c>
      <c r="AB73" s="15" t="n">
        <v>8.867763999999999</v>
      </c>
      <c r="AC73" s="15" t="n">
        <v>8.913669000000001</v>
      </c>
      <c r="AD73" s="15" t="n">
        <v>8.967233</v>
      </c>
      <c r="AE73" s="15" t="n">
        <v>9.035265000000001</v>
      </c>
      <c r="AF73" s="15" t="n">
        <v>9.085917</v>
      </c>
      <c r="AG73" s="15" t="n">
        <v>9.114269999999999</v>
      </c>
      <c r="AH73" s="15" t="n">
        <v>9.165364</v>
      </c>
      <c r="AI73" s="15" t="n">
        <v>9.21339</v>
      </c>
      <c r="AJ73" s="15" t="n">
        <v>9.283720000000001</v>
      </c>
      <c r="AK73" s="15" t="n">
        <v>9.370248</v>
      </c>
      <c r="AL73" s="15" t="n">
        <v>9.408298</v>
      </c>
      <c r="AM73" s="8" t="n">
        <v>0.001125</v>
      </c>
    </row>
    <row r="75" ht="15" customHeight="1">
      <c r="B75" s="10" t="inlineStr">
        <is>
          <t>Total Energy Consumption by End Use</t>
        </is>
      </c>
    </row>
    <row r="76" ht="15" customHeight="1">
      <c r="A76" s="11" t="inlineStr">
        <is>
          <t>CKI000:oa_SpaceHeating</t>
        </is>
      </c>
      <c r="B76" s="14" t="inlineStr">
        <is>
          <t xml:space="preserve">   Space Heating 1/</t>
        </is>
      </c>
      <c r="C76" s="16" t="n">
        <v>2.236663</v>
      </c>
      <c r="D76" s="16" t="n">
        <v>2.215842</v>
      </c>
      <c r="E76" s="16" t="n">
        <v>2.317169</v>
      </c>
      <c r="F76" s="16" t="n">
        <v>2.306341</v>
      </c>
      <c r="G76" s="16" t="n">
        <v>2.265755</v>
      </c>
      <c r="H76" s="16" t="n">
        <v>2.229569</v>
      </c>
      <c r="I76" s="16" t="n">
        <v>2.206005</v>
      </c>
      <c r="J76" s="16" t="n">
        <v>2.190445</v>
      </c>
      <c r="K76" s="16" t="n">
        <v>2.174919</v>
      </c>
      <c r="L76" s="16" t="n">
        <v>2.158303</v>
      </c>
      <c r="M76" s="16" t="n">
        <v>2.139496</v>
      </c>
      <c r="N76" s="16" t="n">
        <v>2.119527</v>
      </c>
      <c r="O76" s="16" t="n">
        <v>2.098361</v>
      </c>
      <c r="P76" s="16" t="n">
        <v>2.078504</v>
      </c>
      <c r="Q76" s="16" t="n">
        <v>2.060579</v>
      </c>
      <c r="R76" s="16" t="n">
        <v>2.04472</v>
      </c>
      <c r="S76" s="16" t="n">
        <v>2.030203</v>
      </c>
      <c r="T76" s="16" t="n">
        <v>2.016293</v>
      </c>
      <c r="U76" s="16" t="n">
        <v>2.004891</v>
      </c>
      <c r="V76" s="16" t="n">
        <v>1.992001</v>
      </c>
      <c r="W76" s="16" t="n">
        <v>1.9755</v>
      </c>
      <c r="X76" s="16" t="n">
        <v>1.960698</v>
      </c>
      <c r="Y76" s="16" t="n">
        <v>1.94574</v>
      </c>
      <c r="Z76" s="16" t="n">
        <v>1.932799</v>
      </c>
      <c r="AA76" s="16" t="n">
        <v>1.919904</v>
      </c>
      <c r="AB76" s="16" t="n">
        <v>1.908838</v>
      </c>
      <c r="AC76" s="16" t="n">
        <v>1.897529</v>
      </c>
      <c r="AD76" s="16" t="n">
        <v>1.885089</v>
      </c>
      <c r="AE76" s="16" t="n">
        <v>1.871753</v>
      </c>
      <c r="AF76" s="16" t="n">
        <v>1.857507</v>
      </c>
      <c r="AG76" s="16" t="n">
        <v>1.842517</v>
      </c>
      <c r="AH76" s="16" t="n">
        <v>1.827931</v>
      </c>
      <c r="AI76" s="16" t="n">
        <v>1.813543</v>
      </c>
      <c r="AJ76" s="16" t="n">
        <v>1.798984</v>
      </c>
      <c r="AK76" s="16" t="n">
        <v>1.785521</v>
      </c>
      <c r="AL76" s="16" t="n">
        <v>1.77039</v>
      </c>
      <c r="AM76" s="12" t="n">
        <v>-0.006579</v>
      </c>
    </row>
    <row r="77" ht="15" customHeight="1">
      <c r="A77" s="11" t="inlineStr">
        <is>
          <t>CKI000:oa_SpaceCooling</t>
        </is>
      </c>
      <c r="B77" s="14" t="inlineStr">
        <is>
          <t xml:space="preserve">   Space Cooling 1/</t>
        </is>
      </c>
      <c r="C77" s="16" t="n">
        <v>1.644425</v>
      </c>
      <c r="D77" s="16" t="n">
        <v>1.657801</v>
      </c>
      <c r="E77" s="16" t="n">
        <v>1.490676</v>
      </c>
      <c r="F77" s="16" t="n">
        <v>1.523515</v>
      </c>
      <c r="G77" s="16" t="n">
        <v>1.521267</v>
      </c>
      <c r="H77" s="16" t="n">
        <v>1.517536</v>
      </c>
      <c r="I77" s="16" t="n">
        <v>1.509456</v>
      </c>
      <c r="J77" s="16" t="n">
        <v>1.496927</v>
      </c>
      <c r="K77" s="16" t="n">
        <v>1.48919</v>
      </c>
      <c r="L77" s="16" t="n">
        <v>1.480379</v>
      </c>
      <c r="M77" s="16" t="n">
        <v>1.467746</v>
      </c>
      <c r="N77" s="16" t="n">
        <v>1.452273</v>
      </c>
      <c r="O77" s="16" t="n">
        <v>1.44151</v>
      </c>
      <c r="P77" s="16" t="n">
        <v>1.432197</v>
      </c>
      <c r="Q77" s="16" t="n">
        <v>1.425466</v>
      </c>
      <c r="R77" s="16" t="n">
        <v>1.418411</v>
      </c>
      <c r="S77" s="16" t="n">
        <v>1.413891</v>
      </c>
      <c r="T77" s="16" t="n">
        <v>1.408907</v>
      </c>
      <c r="U77" s="16" t="n">
        <v>1.408304</v>
      </c>
      <c r="V77" s="16" t="n">
        <v>1.402607</v>
      </c>
      <c r="W77" s="16" t="n">
        <v>1.395089</v>
      </c>
      <c r="X77" s="16" t="n">
        <v>1.393096</v>
      </c>
      <c r="Y77" s="16" t="n">
        <v>1.386216</v>
      </c>
      <c r="Z77" s="16" t="n">
        <v>1.383184</v>
      </c>
      <c r="AA77" s="16" t="n">
        <v>1.380626</v>
      </c>
      <c r="AB77" s="16" t="n">
        <v>1.380507</v>
      </c>
      <c r="AC77" s="16" t="n">
        <v>1.379487</v>
      </c>
      <c r="AD77" s="16" t="n">
        <v>1.378953</v>
      </c>
      <c r="AE77" s="16" t="n">
        <v>1.378769</v>
      </c>
      <c r="AF77" s="16" t="n">
        <v>1.376579</v>
      </c>
      <c r="AG77" s="16" t="n">
        <v>1.372316</v>
      </c>
      <c r="AH77" s="16" t="n">
        <v>1.370293</v>
      </c>
      <c r="AI77" s="16" t="n">
        <v>1.368293</v>
      </c>
      <c r="AJ77" s="16" t="n">
        <v>1.367817</v>
      </c>
      <c r="AK77" s="16" t="n">
        <v>1.369112</v>
      </c>
      <c r="AL77" s="16" t="n">
        <v>1.366205</v>
      </c>
      <c r="AM77" s="12" t="n">
        <v>-0.005674</v>
      </c>
    </row>
    <row r="78" ht="15" customHeight="1">
      <c r="A78" s="11" t="inlineStr">
        <is>
          <t>CKI000:oa_WaterHeating</t>
        </is>
      </c>
      <c r="B78" s="14" t="inlineStr">
        <is>
          <t xml:space="preserve">   Water Heating 1/</t>
        </is>
      </c>
      <c r="C78" s="16" t="n">
        <v>0.35219</v>
      </c>
      <c r="D78" s="16" t="n">
        <v>0.357364</v>
      </c>
      <c r="E78" s="16" t="n">
        <v>0.35864</v>
      </c>
      <c r="F78" s="16" t="n">
        <v>0.355854</v>
      </c>
      <c r="G78" s="16" t="n">
        <v>0.352167</v>
      </c>
      <c r="H78" s="16" t="n">
        <v>0.348565</v>
      </c>
      <c r="I78" s="16" t="n">
        <v>0.346998</v>
      </c>
      <c r="J78" s="16" t="n">
        <v>0.346832</v>
      </c>
      <c r="K78" s="16" t="n">
        <v>0.347347</v>
      </c>
      <c r="L78" s="16" t="n">
        <v>0.347667</v>
      </c>
      <c r="M78" s="16" t="n">
        <v>0.347539</v>
      </c>
      <c r="N78" s="16" t="n">
        <v>0.347246</v>
      </c>
      <c r="O78" s="16" t="n">
        <v>0.345899</v>
      </c>
      <c r="P78" s="16" t="n">
        <v>0.345035</v>
      </c>
      <c r="Q78" s="16" t="n">
        <v>0.344779</v>
      </c>
      <c r="R78" s="16" t="n">
        <v>0.344949</v>
      </c>
      <c r="S78" s="16" t="n">
        <v>0.345319</v>
      </c>
      <c r="T78" s="16" t="n">
        <v>0.34588</v>
      </c>
      <c r="U78" s="16" t="n">
        <v>0.34683</v>
      </c>
      <c r="V78" s="16" t="n">
        <v>0.347592</v>
      </c>
      <c r="W78" s="16" t="n">
        <v>0.347823</v>
      </c>
      <c r="X78" s="16" t="n">
        <v>0.348299</v>
      </c>
      <c r="Y78" s="16" t="n">
        <v>0.348642</v>
      </c>
      <c r="Z78" s="16" t="n">
        <v>0.349334</v>
      </c>
      <c r="AA78" s="16" t="n">
        <v>0.350093</v>
      </c>
      <c r="AB78" s="16" t="n">
        <v>0.351235</v>
      </c>
      <c r="AC78" s="16" t="n">
        <v>0.352356</v>
      </c>
      <c r="AD78" s="16" t="n">
        <v>0.353281</v>
      </c>
      <c r="AE78" s="16" t="n">
        <v>0.353845</v>
      </c>
      <c r="AF78" s="16" t="n">
        <v>0.354265</v>
      </c>
      <c r="AG78" s="16" t="n">
        <v>0.354642</v>
      </c>
      <c r="AH78" s="16" t="n">
        <v>0.355128</v>
      </c>
      <c r="AI78" s="16" t="n">
        <v>0.355687</v>
      </c>
      <c r="AJ78" s="16" t="n">
        <v>0.356202</v>
      </c>
      <c r="AK78" s="16" t="n">
        <v>0.356902</v>
      </c>
      <c r="AL78" s="16" t="n">
        <v>0.357315</v>
      </c>
      <c r="AM78" s="12" t="n">
        <v>-4e-06</v>
      </c>
    </row>
    <row r="79" ht="15" customHeight="1">
      <c r="A79" s="11" t="inlineStr">
        <is>
          <t>CKI000:oa_Ventilation</t>
        </is>
      </c>
      <c r="B79" s="14" t="inlineStr">
        <is>
          <t xml:space="preserve">   Ventilation</t>
        </is>
      </c>
      <c r="C79" s="16" t="n">
        <v>1.562969</v>
      </c>
      <c r="D79" s="16" t="n">
        <v>1.533977</v>
      </c>
      <c r="E79" s="16" t="n">
        <v>1.53517</v>
      </c>
      <c r="F79" s="16" t="n">
        <v>1.521669</v>
      </c>
      <c r="G79" s="16" t="n">
        <v>1.518626</v>
      </c>
      <c r="H79" s="16" t="n">
        <v>1.51137</v>
      </c>
      <c r="I79" s="16" t="n">
        <v>1.499318</v>
      </c>
      <c r="J79" s="16" t="n">
        <v>1.479301</v>
      </c>
      <c r="K79" s="16" t="n">
        <v>1.463751</v>
      </c>
      <c r="L79" s="16" t="n">
        <v>1.448941</v>
      </c>
      <c r="M79" s="16" t="n">
        <v>1.430156</v>
      </c>
      <c r="N79" s="16" t="n">
        <v>1.384956</v>
      </c>
      <c r="O79" s="16" t="n">
        <v>1.346306</v>
      </c>
      <c r="P79" s="16" t="n">
        <v>1.310857</v>
      </c>
      <c r="Q79" s="16" t="n">
        <v>1.279751</v>
      </c>
      <c r="R79" s="16" t="n">
        <v>1.249823</v>
      </c>
      <c r="S79" s="16" t="n">
        <v>1.223598</v>
      </c>
      <c r="T79" s="16" t="n">
        <v>1.198333</v>
      </c>
      <c r="U79" s="16" t="n">
        <v>1.178101</v>
      </c>
      <c r="V79" s="16" t="n">
        <v>1.155335</v>
      </c>
      <c r="W79" s="16" t="n">
        <v>1.132266</v>
      </c>
      <c r="X79" s="16" t="n">
        <v>1.115264</v>
      </c>
      <c r="Y79" s="16" t="n">
        <v>1.095949</v>
      </c>
      <c r="Z79" s="16" t="n">
        <v>1.08054</v>
      </c>
      <c r="AA79" s="16" t="n">
        <v>1.066635</v>
      </c>
      <c r="AB79" s="16" t="n">
        <v>1.053244</v>
      </c>
      <c r="AC79" s="16" t="n">
        <v>1.040222</v>
      </c>
      <c r="AD79" s="16" t="n">
        <v>1.028392</v>
      </c>
      <c r="AE79" s="16" t="n">
        <v>1.018031</v>
      </c>
      <c r="AF79" s="16" t="n">
        <v>1.007036</v>
      </c>
      <c r="AG79" s="16" t="n">
        <v>0.995436</v>
      </c>
      <c r="AH79" s="16" t="n">
        <v>0.986239</v>
      </c>
      <c r="AI79" s="16" t="n">
        <v>0.977788</v>
      </c>
      <c r="AJ79" s="16" t="n">
        <v>0.971665</v>
      </c>
      <c r="AK79" s="16" t="n">
        <v>0.96735</v>
      </c>
      <c r="AL79" s="16" t="n">
        <v>0.960378</v>
      </c>
      <c r="AM79" s="12" t="n">
        <v>-0.013679</v>
      </c>
    </row>
    <row r="80" ht="15" customHeight="1">
      <c r="A80" s="11" t="inlineStr">
        <is>
          <t>CKI000:oa_Cooking</t>
        </is>
      </c>
      <c r="B80" s="14" t="inlineStr">
        <is>
          <t xml:space="preserve">   Cooking</t>
        </is>
      </c>
      <c r="C80" s="16" t="n">
        <v>0.556301</v>
      </c>
      <c r="D80" s="16" t="n">
        <v>0.559594</v>
      </c>
      <c r="E80" s="16" t="n">
        <v>0.562811</v>
      </c>
      <c r="F80" s="16" t="n">
        <v>0.560688</v>
      </c>
      <c r="G80" s="16" t="n">
        <v>0.5588379999999999</v>
      </c>
      <c r="H80" s="16" t="n">
        <v>0.55762</v>
      </c>
      <c r="I80" s="16" t="n">
        <v>0.557638</v>
      </c>
      <c r="J80" s="16" t="n">
        <v>0.558725</v>
      </c>
      <c r="K80" s="16" t="n">
        <v>0.560827</v>
      </c>
      <c r="L80" s="16" t="n">
        <v>0.562522</v>
      </c>
      <c r="M80" s="16" t="n">
        <v>0.56324</v>
      </c>
      <c r="N80" s="16" t="n">
        <v>0.563115</v>
      </c>
      <c r="O80" s="16" t="n">
        <v>0.562269</v>
      </c>
      <c r="P80" s="16" t="n">
        <v>0.562191</v>
      </c>
      <c r="Q80" s="16" t="n">
        <v>0.563302</v>
      </c>
      <c r="R80" s="16" t="n">
        <v>0.565308</v>
      </c>
      <c r="S80" s="16" t="n">
        <v>0.5676949999999999</v>
      </c>
      <c r="T80" s="16" t="n">
        <v>0.5702469999999999</v>
      </c>
      <c r="U80" s="16" t="n">
        <v>0.573726</v>
      </c>
      <c r="V80" s="16" t="n">
        <v>0.5765130000000001</v>
      </c>
      <c r="W80" s="16" t="n">
        <v>0.578506</v>
      </c>
      <c r="X80" s="16" t="n">
        <v>0.581331</v>
      </c>
      <c r="Y80" s="16" t="n">
        <v>0.583476</v>
      </c>
      <c r="Z80" s="16" t="n">
        <v>0.586374</v>
      </c>
      <c r="AA80" s="16" t="n">
        <v>0.588989</v>
      </c>
      <c r="AB80" s="16" t="n">
        <v>0.592263</v>
      </c>
      <c r="AC80" s="16" t="n">
        <v>0.595382</v>
      </c>
      <c r="AD80" s="16" t="n">
        <v>0.598301</v>
      </c>
      <c r="AE80" s="16" t="n">
        <v>0.601071</v>
      </c>
      <c r="AF80" s="16" t="n">
        <v>0.603473</v>
      </c>
      <c r="AG80" s="16" t="n">
        <v>0.605586</v>
      </c>
      <c r="AH80" s="16" t="n">
        <v>0.608037</v>
      </c>
      <c r="AI80" s="16" t="n">
        <v>0.610518</v>
      </c>
      <c r="AJ80" s="16" t="n">
        <v>0.612989</v>
      </c>
      <c r="AK80" s="16" t="n">
        <v>0.615736</v>
      </c>
      <c r="AL80" s="16" t="n">
        <v>0.617685</v>
      </c>
      <c r="AM80" s="12" t="n">
        <v>0.002909</v>
      </c>
    </row>
    <row r="81" ht="15" customHeight="1">
      <c r="A81" s="11" t="inlineStr">
        <is>
          <t>CKI000:oa_Lighting</t>
        </is>
      </c>
      <c r="B81" s="14" t="inlineStr">
        <is>
          <t xml:space="preserve">   Lighting</t>
        </is>
      </c>
      <c r="C81" s="16" t="n">
        <v>1.573862</v>
      </c>
      <c r="D81" s="16" t="n">
        <v>1.505265</v>
      </c>
      <c r="E81" s="16" t="n">
        <v>1.480414</v>
      </c>
      <c r="F81" s="16" t="n">
        <v>1.451449</v>
      </c>
      <c r="G81" s="16" t="n">
        <v>1.439501</v>
      </c>
      <c r="H81" s="16" t="n">
        <v>1.396481</v>
      </c>
      <c r="I81" s="16" t="n">
        <v>1.357377</v>
      </c>
      <c r="J81" s="16" t="n">
        <v>1.304521</v>
      </c>
      <c r="K81" s="16" t="n">
        <v>1.262554</v>
      </c>
      <c r="L81" s="16" t="n">
        <v>1.226417</v>
      </c>
      <c r="M81" s="16" t="n">
        <v>1.192664</v>
      </c>
      <c r="N81" s="16" t="n">
        <v>1.160383</v>
      </c>
      <c r="O81" s="16" t="n">
        <v>1.13501</v>
      </c>
      <c r="P81" s="16" t="n">
        <v>1.113413</v>
      </c>
      <c r="Q81" s="16" t="n">
        <v>1.096083</v>
      </c>
      <c r="R81" s="16" t="n">
        <v>1.053986</v>
      </c>
      <c r="S81" s="16" t="n">
        <v>1.018824</v>
      </c>
      <c r="T81" s="16" t="n">
        <v>0.9877089999999999</v>
      </c>
      <c r="U81" s="16" t="n">
        <v>0.963194</v>
      </c>
      <c r="V81" s="16" t="n">
        <v>0.9386060000000001</v>
      </c>
      <c r="W81" s="16" t="n">
        <v>0.915405</v>
      </c>
      <c r="X81" s="16" t="n">
        <v>0.898427</v>
      </c>
      <c r="Y81" s="16" t="n">
        <v>0.8792140000000001</v>
      </c>
      <c r="Z81" s="16" t="n">
        <v>0.863988</v>
      </c>
      <c r="AA81" s="16" t="n">
        <v>0.850625</v>
      </c>
      <c r="AB81" s="16" t="n">
        <v>0.828091</v>
      </c>
      <c r="AC81" s="16" t="n">
        <v>0.807889</v>
      </c>
      <c r="AD81" s="16" t="n">
        <v>0.789913</v>
      </c>
      <c r="AE81" s="16" t="n">
        <v>0.774014</v>
      </c>
      <c r="AF81" s="16" t="n">
        <v>0.758664</v>
      </c>
      <c r="AG81" s="16" t="n">
        <v>0.7439519999999999</v>
      </c>
      <c r="AH81" s="16" t="n">
        <v>0.732042</v>
      </c>
      <c r="AI81" s="16" t="n">
        <v>0.721433</v>
      </c>
      <c r="AJ81" s="16" t="n">
        <v>0.7130840000000001</v>
      </c>
      <c r="AK81" s="16" t="n">
        <v>0.706538</v>
      </c>
      <c r="AL81" s="16" t="n">
        <v>0.698343</v>
      </c>
      <c r="AM81" s="12" t="n">
        <v>-0.022335</v>
      </c>
    </row>
    <row r="82" ht="15" customHeight="1">
      <c r="A82" s="11" t="inlineStr">
        <is>
          <t>CKI000:oa_Refrigeration</t>
        </is>
      </c>
      <c r="B82" s="14" t="inlineStr">
        <is>
          <t xml:space="preserve">   Refrigeration</t>
        </is>
      </c>
      <c r="C82" s="16" t="n">
        <v>1.904522</v>
      </c>
      <c r="D82" s="16" t="n">
        <v>1.888208</v>
      </c>
      <c r="E82" s="16" t="n">
        <v>1.912113</v>
      </c>
      <c r="F82" s="16" t="n">
        <v>1.896122</v>
      </c>
      <c r="G82" s="16" t="n">
        <v>1.898024</v>
      </c>
      <c r="H82" s="16" t="n">
        <v>1.905527</v>
      </c>
      <c r="I82" s="16" t="n">
        <v>1.907293</v>
      </c>
      <c r="J82" s="16" t="n">
        <v>1.892405</v>
      </c>
      <c r="K82" s="16" t="n">
        <v>1.881804</v>
      </c>
      <c r="L82" s="16" t="n">
        <v>1.869944</v>
      </c>
      <c r="M82" s="16" t="n">
        <v>1.843364</v>
      </c>
      <c r="N82" s="16" t="n">
        <v>1.816288</v>
      </c>
      <c r="O82" s="16" t="n">
        <v>1.796607</v>
      </c>
      <c r="P82" s="16" t="n">
        <v>1.780007</v>
      </c>
      <c r="Q82" s="16" t="n">
        <v>1.76853</v>
      </c>
      <c r="R82" s="16" t="n">
        <v>1.747052</v>
      </c>
      <c r="S82" s="16" t="n">
        <v>1.730746</v>
      </c>
      <c r="T82" s="16" t="n">
        <v>1.715711</v>
      </c>
      <c r="U82" s="16" t="n">
        <v>1.707698</v>
      </c>
      <c r="V82" s="16" t="n">
        <v>1.695939</v>
      </c>
      <c r="W82" s="16" t="n">
        <v>1.684078</v>
      </c>
      <c r="X82" s="16" t="n">
        <v>1.680952</v>
      </c>
      <c r="Y82" s="16" t="n">
        <v>1.673356</v>
      </c>
      <c r="Z82" s="16" t="n">
        <v>1.670876</v>
      </c>
      <c r="AA82" s="16" t="n">
        <v>1.670052</v>
      </c>
      <c r="AB82" s="16" t="n">
        <v>1.672158</v>
      </c>
      <c r="AC82" s="16" t="n">
        <v>1.673515</v>
      </c>
      <c r="AD82" s="16" t="n">
        <v>1.676052</v>
      </c>
      <c r="AE82" s="16" t="n">
        <v>1.68038</v>
      </c>
      <c r="AF82" s="16" t="n">
        <v>1.682798</v>
      </c>
      <c r="AG82" s="16" t="n">
        <v>1.682959</v>
      </c>
      <c r="AH82" s="16" t="n">
        <v>1.685864</v>
      </c>
      <c r="AI82" s="16" t="n">
        <v>1.688649</v>
      </c>
      <c r="AJ82" s="16" t="n">
        <v>1.693903</v>
      </c>
      <c r="AK82" s="16" t="n">
        <v>1.700923</v>
      </c>
      <c r="AL82" s="16" t="n">
        <v>1.702029</v>
      </c>
      <c r="AM82" s="12" t="n">
        <v>-0.003048</v>
      </c>
    </row>
    <row r="83" ht="15" customHeight="1">
      <c r="A83" s="11" t="inlineStr">
        <is>
          <t>CKI000:oa_OfficeEquipme</t>
        </is>
      </c>
      <c r="B83" s="14" t="inlineStr">
        <is>
          <t xml:space="preserve">   Office Equipment (PC)</t>
        </is>
      </c>
      <c r="C83" s="16" t="n">
        <v>1.097314</v>
      </c>
      <c r="D83" s="16" t="n">
        <v>1.046273</v>
      </c>
      <c r="E83" s="16" t="n">
        <v>1.019811</v>
      </c>
      <c r="F83" s="16" t="n">
        <v>0.986318</v>
      </c>
      <c r="G83" s="16" t="n">
        <v>0.965983</v>
      </c>
      <c r="H83" s="16" t="n">
        <v>0.948438</v>
      </c>
      <c r="I83" s="16" t="n">
        <v>0.928975</v>
      </c>
      <c r="J83" s="16" t="n">
        <v>0.911826</v>
      </c>
      <c r="K83" s="16" t="n">
        <v>0.897305</v>
      </c>
      <c r="L83" s="16" t="n">
        <v>0.882655</v>
      </c>
      <c r="M83" s="16" t="n">
        <v>0.868661</v>
      </c>
      <c r="N83" s="16" t="n">
        <v>0.855227</v>
      </c>
      <c r="O83" s="16" t="n">
        <v>0.844797</v>
      </c>
      <c r="P83" s="16" t="n">
        <v>0.83675</v>
      </c>
      <c r="Q83" s="16" t="n">
        <v>0.830995</v>
      </c>
      <c r="R83" s="16" t="n">
        <v>0.826884</v>
      </c>
      <c r="S83" s="16" t="n">
        <v>0.8247989999999999</v>
      </c>
      <c r="T83" s="16" t="n">
        <v>0.823021</v>
      </c>
      <c r="U83" s="16" t="n">
        <v>0.823133</v>
      </c>
      <c r="V83" s="16" t="n">
        <v>0.820213</v>
      </c>
      <c r="W83" s="16" t="n">
        <v>0.817649</v>
      </c>
      <c r="X83" s="16" t="n">
        <v>0.818486</v>
      </c>
      <c r="Y83" s="16" t="n">
        <v>0.8163049999999999</v>
      </c>
      <c r="Z83" s="16" t="n">
        <v>0.814458</v>
      </c>
      <c r="AA83" s="16" t="n">
        <v>0.812702</v>
      </c>
      <c r="AB83" s="16" t="n">
        <v>0.810705</v>
      </c>
      <c r="AC83" s="16" t="n">
        <v>0.807763</v>
      </c>
      <c r="AD83" s="16" t="n">
        <v>0.8020929999999999</v>
      </c>
      <c r="AE83" s="16" t="n">
        <v>0.796852</v>
      </c>
      <c r="AF83" s="16" t="n">
        <v>0.787481</v>
      </c>
      <c r="AG83" s="16" t="n">
        <v>0.775255</v>
      </c>
      <c r="AH83" s="16" t="n">
        <v>0.761052</v>
      </c>
      <c r="AI83" s="16" t="n">
        <v>0.743588</v>
      </c>
      <c r="AJ83" s="16" t="n">
        <v>0.724015</v>
      </c>
      <c r="AK83" s="16" t="n">
        <v>0.701927</v>
      </c>
      <c r="AL83" s="16" t="n">
        <v>0.67423</v>
      </c>
      <c r="AM83" s="12" t="n">
        <v>-0.012841</v>
      </c>
    </row>
    <row r="84" ht="15" customHeight="1">
      <c r="A84" s="11" t="inlineStr">
        <is>
          <t>CKI000:pa_OfficeEquipme</t>
        </is>
      </c>
      <c r="B84" s="14" t="inlineStr">
        <is>
          <t xml:space="preserve">   Office Equipment (non-PC)</t>
        </is>
      </c>
      <c r="C84" s="16" t="n">
        <v>0.675681</v>
      </c>
      <c r="D84" s="16" t="n">
        <v>0.679474</v>
      </c>
      <c r="E84" s="16" t="n">
        <v>0.693553</v>
      </c>
      <c r="F84" s="16" t="n">
        <v>0.698053</v>
      </c>
      <c r="G84" s="16" t="n">
        <v>0.704481</v>
      </c>
      <c r="H84" s="16" t="n">
        <v>0.711055</v>
      </c>
      <c r="I84" s="16" t="n">
        <v>0.716843</v>
      </c>
      <c r="J84" s="16" t="n">
        <v>0.723967</v>
      </c>
      <c r="K84" s="16" t="n">
        <v>0.733594</v>
      </c>
      <c r="L84" s="16" t="n">
        <v>0.74488</v>
      </c>
      <c r="M84" s="16" t="n">
        <v>0.75688</v>
      </c>
      <c r="N84" s="16" t="n">
        <v>0.770119</v>
      </c>
      <c r="O84" s="16" t="n">
        <v>0.784259</v>
      </c>
      <c r="P84" s="16" t="n">
        <v>0.7969039999999999</v>
      </c>
      <c r="Q84" s="16" t="n">
        <v>0.809931</v>
      </c>
      <c r="R84" s="16" t="n">
        <v>0.82274</v>
      </c>
      <c r="S84" s="16" t="n">
        <v>0.835632</v>
      </c>
      <c r="T84" s="16" t="n">
        <v>0.846852</v>
      </c>
      <c r="U84" s="16" t="n">
        <v>0.860165</v>
      </c>
      <c r="V84" s="16" t="n">
        <v>0.868922</v>
      </c>
      <c r="W84" s="16" t="n">
        <v>0.8774149999999999</v>
      </c>
      <c r="X84" s="16" t="n">
        <v>0.889589</v>
      </c>
      <c r="Y84" s="16" t="n">
        <v>0.898528</v>
      </c>
      <c r="Z84" s="16" t="n">
        <v>0.908662</v>
      </c>
      <c r="AA84" s="16" t="n">
        <v>0.919787</v>
      </c>
      <c r="AB84" s="16" t="n">
        <v>0.933128</v>
      </c>
      <c r="AC84" s="16" t="n">
        <v>0.9455170000000001</v>
      </c>
      <c r="AD84" s="16" t="n">
        <v>0.959761</v>
      </c>
      <c r="AE84" s="16" t="n">
        <v>0.974752</v>
      </c>
      <c r="AF84" s="16" t="n">
        <v>0.989195</v>
      </c>
      <c r="AG84" s="16" t="n">
        <v>1.003621</v>
      </c>
      <c r="AH84" s="16" t="n">
        <v>1.020198</v>
      </c>
      <c r="AI84" s="16" t="n">
        <v>1.037307</v>
      </c>
      <c r="AJ84" s="16" t="n">
        <v>1.057436</v>
      </c>
      <c r="AK84" s="16" t="n">
        <v>1.08107</v>
      </c>
      <c r="AL84" s="16" t="n">
        <v>1.101799</v>
      </c>
      <c r="AM84" s="12" t="n">
        <v>0.014319</v>
      </c>
    </row>
    <row r="85" ht="15" customHeight="1">
      <c r="A85" s="11" t="inlineStr">
        <is>
          <t>CKI000:pa_OtherUses</t>
        </is>
      </c>
      <c r="B85" s="14" t="inlineStr">
        <is>
          <t xml:space="preserve">   Other Uses 6/</t>
        </is>
      </c>
      <c r="C85" s="16" t="n">
        <v>6.35182</v>
      </c>
      <c r="D85" s="16" t="n">
        <v>6.376877</v>
      </c>
      <c r="E85" s="16" t="n">
        <v>6.462103</v>
      </c>
      <c r="F85" s="16" t="n">
        <v>6.481432</v>
      </c>
      <c r="G85" s="16" t="n">
        <v>6.554178</v>
      </c>
      <c r="H85" s="16" t="n">
        <v>6.64139</v>
      </c>
      <c r="I85" s="16" t="n">
        <v>6.720004</v>
      </c>
      <c r="J85" s="16" t="n">
        <v>6.80113</v>
      </c>
      <c r="K85" s="16" t="n">
        <v>6.894536</v>
      </c>
      <c r="L85" s="16" t="n">
        <v>6.980349</v>
      </c>
      <c r="M85" s="16" t="n">
        <v>7.056602</v>
      </c>
      <c r="N85" s="16" t="n">
        <v>7.12663</v>
      </c>
      <c r="O85" s="16" t="n">
        <v>7.208844</v>
      </c>
      <c r="P85" s="16" t="n">
        <v>7.293028</v>
      </c>
      <c r="Q85" s="16" t="n">
        <v>7.387269</v>
      </c>
      <c r="R85" s="16" t="n">
        <v>7.488829</v>
      </c>
      <c r="S85" s="16" t="n">
        <v>7.596131</v>
      </c>
      <c r="T85" s="16" t="n">
        <v>7.702188</v>
      </c>
      <c r="U85" s="16" t="n">
        <v>7.829783</v>
      </c>
      <c r="V85" s="16" t="n">
        <v>7.937825</v>
      </c>
      <c r="W85" s="16" t="n">
        <v>8.041921</v>
      </c>
      <c r="X85" s="16" t="n">
        <v>8.171128</v>
      </c>
      <c r="Y85" s="16" t="n">
        <v>8.287119000000001</v>
      </c>
      <c r="Z85" s="16" t="n">
        <v>8.419399</v>
      </c>
      <c r="AA85" s="16" t="n">
        <v>8.554993</v>
      </c>
      <c r="AB85" s="16" t="n">
        <v>8.708523</v>
      </c>
      <c r="AC85" s="16" t="n">
        <v>8.858893999999999</v>
      </c>
      <c r="AD85" s="16" t="n">
        <v>9.018208</v>
      </c>
      <c r="AE85" s="16" t="n">
        <v>9.18815</v>
      </c>
      <c r="AF85" s="16" t="n">
        <v>9.354561</v>
      </c>
      <c r="AG85" s="16" t="n">
        <v>9.508717000000001</v>
      </c>
      <c r="AH85" s="16" t="n">
        <v>9.677258999999999</v>
      </c>
      <c r="AI85" s="16" t="n">
        <v>9.844865</v>
      </c>
      <c r="AJ85" s="16" t="n">
        <v>10.027754</v>
      </c>
      <c r="AK85" s="16" t="n">
        <v>10.220766</v>
      </c>
      <c r="AL85" s="16" t="n">
        <v>10.39169</v>
      </c>
      <c r="AM85" s="12" t="n">
        <v>0.014466</v>
      </c>
    </row>
    <row r="86" ht="15" customHeight="1">
      <c r="A86" s="11" t="inlineStr">
        <is>
          <t>CKI000:pa_Total</t>
        </is>
      </c>
      <c r="B86" s="10" t="inlineStr">
        <is>
          <t xml:space="preserve">     Total</t>
        </is>
      </c>
      <c r="C86" s="15" t="n">
        <v>17.955746</v>
      </c>
      <c r="D86" s="15" t="n">
        <v>17.820675</v>
      </c>
      <c r="E86" s="15" t="n">
        <v>17.832462</v>
      </c>
      <c r="F86" s="15" t="n">
        <v>17.781441</v>
      </c>
      <c r="G86" s="15" t="n">
        <v>17.77882</v>
      </c>
      <c r="H86" s="15" t="n">
        <v>17.767551</v>
      </c>
      <c r="I86" s="15" t="n">
        <v>17.749908</v>
      </c>
      <c r="J86" s="15" t="n">
        <v>17.706079</v>
      </c>
      <c r="K86" s="15" t="n">
        <v>17.705826</v>
      </c>
      <c r="L86" s="15" t="n">
        <v>17.702057</v>
      </c>
      <c r="M86" s="15" t="n">
        <v>17.666348</v>
      </c>
      <c r="N86" s="15" t="n">
        <v>17.595764</v>
      </c>
      <c r="O86" s="15" t="n">
        <v>17.563864</v>
      </c>
      <c r="P86" s="15" t="n">
        <v>17.548883</v>
      </c>
      <c r="Q86" s="15" t="n">
        <v>17.566685</v>
      </c>
      <c r="R86" s="15" t="n">
        <v>17.562702</v>
      </c>
      <c r="S86" s="15" t="n">
        <v>17.586838</v>
      </c>
      <c r="T86" s="15" t="n">
        <v>17.615139</v>
      </c>
      <c r="U86" s="15" t="n">
        <v>17.695824</v>
      </c>
      <c r="V86" s="15" t="n">
        <v>17.735552</v>
      </c>
      <c r="W86" s="15" t="n">
        <v>17.765656</v>
      </c>
      <c r="X86" s="15" t="n">
        <v>17.857269</v>
      </c>
      <c r="Y86" s="15" t="n">
        <v>17.914545</v>
      </c>
      <c r="Z86" s="15" t="n">
        <v>18.009615</v>
      </c>
      <c r="AA86" s="15" t="n">
        <v>18.114407</v>
      </c>
      <c r="AB86" s="15" t="n">
        <v>18.238691</v>
      </c>
      <c r="AC86" s="15" t="n">
        <v>18.358553</v>
      </c>
      <c r="AD86" s="15" t="n">
        <v>18.49004</v>
      </c>
      <c r="AE86" s="15" t="n">
        <v>18.637615</v>
      </c>
      <c r="AF86" s="15" t="n">
        <v>18.771557</v>
      </c>
      <c r="AG86" s="15" t="n">
        <v>18.884998</v>
      </c>
      <c r="AH86" s="15" t="n">
        <v>19.024044</v>
      </c>
      <c r="AI86" s="15" t="n">
        <v>19.161671</v>
      </c>
      <c r="AJ86" s="15" t="n">
        <v>19.323849</v>
      </c>
      <c r="AK86" s="15" t="n">
        <v>19.505844</v>
      </c>
      <c r="AL86" s="15" t="n">
        <v>19.640064</v>
      </c>
      <c r="AM86" s="8" t="n">
        <v>0.002863</v>
      </c>
    </row>
    <row r="88" ht="15" customHeight="1">
      <c r="B88" s="10" t="inlineStr">
        <is>
          <t>Nonmarketed Renewable Fuels 7/</t>
        </is>
      </c>
    </row>
    <row r="89" ht="15" customHeight="1">
      <c r="A89" s="11" t="inlineStr">
        <is>
          <t>CKI000:qa_SolarThermal</t>
        </is>
      </c>
      <c r="B89" s="14" t="inlineStr">
        <is>
          <t xml:space="preserve">  Solar Thermal</t>
        </is>
      </c>
      <c r="C89" s="16" t="n">
        <v>0.07146</v>
      </c>
      <c r="D89" s="16" t="n">
        <v>0.071973</v>
      </c>
      <c r="E89" s="16" t="n">
        <v>0.072461</v>
      </c>
      <c r="F89" s="16" t="n">
        <v>0.07288600000000001</v>
      </c>
      <c r="G89" s="16" t="n">
        <v>0.07330399999999999</v>
      </c>
      <c r="H89" s="16" t="n">
        <v>0.073754</v>
      </c>
      <c r="I89" s="16" t="n">
        <v>0.074157</v>
      </c>
      <c r="J89" s="16" t="n">
        <v>0.074449</v>
      </c>
      <c r="K89" s="16" t="n">
        <v>0.074738</v>
      </c>
      <c r="L89" s="16" t="n">
        <v>0.075016</v>
      </c>
      <c r="M89" s="16" t="n">
        <v>0.07528899999999999</v>
      </c>
      <c r="N89" s="16" t="n">
        <v>0.075575</v>
      </c>
      <c r="O89" s="16" t="n">
        <v>0.075862</v>
      </c>
      <c r="P89" s="16" t="n">
        <v>0.076139</v>
      </c>
      <c r="Q89" s="16" t="n">
        <v>0.076408</v>
      </c>
      <c r="R89" s="16" t="n">
        <v>0.07688399999999999</v>
      </c>
      <c r="S89" s="16" t="n">
        <v>0.077343</v>
      </c>
      <c r="T89" s="16" t="n">
        <v>0.077783</v>
      </c>
      <c r="U89" s="16" t="n">
        <v>0.078205</v>
      </c>
      <c r="V89" s="16" t="n">
        <v>0.078609</v>
      </c>
      <c r="W89" s="16" t="n">
        <v>0.079001</v>
      </c>
      <c r="X89" s="16" t="n">
        <v>0.079378</v>
      </c>
      <c r="Y89" s="16" t="n">
        <v>0.079737</v>
      </c>
      <c r="Z89" s="16" t="n">
        <v>0.08008</v>
      </c>
      <c r="AA89" s="16" t="n">
        <v>0.08040899999999999</v>
      </c>
      <c r="AB89" s="16" t="n">
        <v>0.08072600000000001</v>
      </c>
      <c r="AC89" s="16" t="n">
        <v>0.081029</v>
      </c>
      <c r="AD89" s="16" t="n">
        <v>0.081326</v>
      </c>
      <c r="AE89" s="16" t="n">
        <v>0.08161400000000001</v>
      </c>
      <c r="AF89" s="16" t="n">
        <v>0.08189</v>
      </c>
      <c r="AG89" s="16" t="n">
        <v>0.08215699999999999</v>
      </c>
      <c r="AH89" s="16" t="n">
        <v>0.082431</v>
      </c>
      <c r="AI89" s="16" t="n">
        <v>0.08269600000000001</v>
      </c>
      <c r="AJ89" s="16" t="n">
        <v>0.082963</v>
      </c>
      <c r="AK89" s="16" t="n">
        <v>0.083215</v>
      </c>
      <c r="AL89" s="16" t="n">
        <v>0.083458</v>
      </c>
      <c r="AM89" s="12" t="n">
        <v>0.004364</v>
      </c>
    </row>
    <row r="90" ht="15" customHeight="1">
      <c r="A90" s="11" t="inlineStr">
        <is>
          <t>CKI000:qa_SolarPhotovol</t>
        </is>
      </c>
      <c r="B90" s="14" t="inlineStr">
        <is>
          <t xml:space="preserve">  Solar Photovoltaic</t>
        </is>
      </c>
      <c r="C90" s="16" t="n">
        <v>0.076214</v>
      </c>
      <c r="D90" s="16" t="n">
        <v>0.08426599999999999</v>
      </c>
      <c r="E90" s="16" t="n">
        <v>0.093523</v>
      </c>
      <c r="F90" s="16" t="n">
        <v>0.104258</v>
      </c>
      <c r="G90" s="16" t="n">
        <v>0.116869</v>
      </c>
      <c r="H90" s="16" t="n">
        <v>0.129819</v>
      </c>
      <c r="I90" s="16" t="n">
        <v>0.142795</v>
      </c>
      <c r="J90" s="16" t="n">
        <v>0.154472</v>
      </c>
      <c r="K90" s="16" t="n">
        <v>0.159506</v>
      </c>
      <c r="L90" s="16" t="n">
        <v>0.165423</v>
      </c>
      <c r="M90" s="16" t="n">
        <v>0.17324</v>
      </c>
      <c r="N90" s="16" t="n">
        <v>0.182771</v>
      </c>
      <c r="O90" s="16" t="n">
        <v>0.1939</v>
      </c>
      <c r="P90" s="16" t="n">
        <v>0.206678</v>
      </c>
      <c r="Q90" s="16" t="n">
        <v>0.221097</v>
      </c>
      <c r="R90" s="16" t="n">
        <v>0.237101</v>
      </c>
      <c r="S90" s="16" t="n">
        <v>0.254155</v>
      </c>
      <c r="T90" s="16" t="n">
        <v>0.272095</v>
      </c>
      <c r="U90" s="16" t="n">
        <v>0.290727</v>
      </c>
      <c r="V90" s="16" t="n">
        <v>0.31008</v>
      </c>
      <c r="W90" s="16" t="n">
        <v>0.330108</v>
      </c>
      <c r="X90" s="16" t="n">
        <v>0.350547</v>
      </c>
      <c r="Y90" s="16" t="n">
        <v>0.371347</v>
      </c>
      <c r="Z90" s="16" t="n">
        <v>0.392501</v>
      </c>
      <c r="AA90" s="16" t="n">
        <v>0.414031</v>
      </c>
      <c r="AB90" s="16" t="n">
        <v>0.43588</v>
      </c>
      <c r="AC90" s="16" t="n">
        <v>0.457922</v>
      </c>
      <c r="AD90" s="16" t="n">
        <v>0.480207</v>
      </c>
      <c r="AE90" s="16" t="n">
        <v>0.502803</v>
      </c>
      <c r="AF90" s="16" t="n">
        <v>0.525708</v>
      </c>
      <c r="AG90" s="16" t="n">
        <v>0.548922</v>
      </c>
      <c r="AH90" s="16" t="n">
        <v>0.572242</v>
      </c>
      <c r="AI90" s="16" t="n">
        <v>0.595674</v>
      </c>
      <c r="AJ90" s="16" t="n">
        <v>0.619204</v>
      </c>
      <c r="AK90" s="16" t="n">
        <v>0.642829</v>
      </c>
      <c r="AL90" s="16" t="n">
        <v>0.666568</v>
      </c>
      <c r="AM90" s="12" t="n">
        <v>0.06271599999999999</v>
      </c>
    </row>
    <row r="91" ht="15" customHeight="1">
      <c r="A91" s="11" t="inlineStr">
        <is>
          <t>CKI000:qa_EKnowitzWindy</t>
        </is>
      </c>
      <c r="B91" s="14" t="inlineStr">
        <is>
          <t xml:space="preserve">  Wind</t>
        </is>
      </c>
      <c r="C91" s="16" t="n">
        <v>0.006393</v>
      </c>
      <c r="D91" s="16" t="n">
        <v>0.00641</v>
      </c>
      <c r="E91" s="16" t="n">
        <v>0.00641</v>
      </c>
      <c r="F91" s="16" t="n">
        <v>0.006411</v>
      </c>
      <c r="G91" s="16" t="n">
        <v>0.006412</v>
      </c>
      <c r="H91" s="16" t="n">
        <v>0.006415</v>
      </c>
      <c r="I91" s="16" t="n">
        <v>0.00642</v>
      </c>
      <c r="J91" s="16" t="n">
        <v>0.006436</v>
      </c>
      <c r="K91" s="16" t="n">
        <v>0.006475</v>
      </c>
      <c r="L91" s="16" t="n">
        <v>0.006554</v>
      </c>
      <c r="M91" s="16" t="n">
        <v>0.006703</v>
      </c>
      <c r="N91" s="16" t="n">
        <v>0.006958</v>
      </c>
      <c r="O91" s="16" t="n">
        <v>0.007317</v>
      </c>
      <c r="P91" s="16" t="n">
        <v>0.007761</v>
      </c>
      <c r="Q91" s="16" t="n">
        <v>0.00827</v>
      </c>
      <c r="R91" s="16" t="n">
        <v>0.008839</v>
      </c>
      <c r="S91" s="16" t="n">
        <v>0.009447000000000001</v>
      </c>
      <c r="T91" s="16" t="n">
        <v>0.010103</v>
      </c>
      <c r="U91" s="16" t="n">
        <v>0.010812</v>
      </c>
      <c r="V91" s="16" t="n">
        <v>0.011562</v>
      </c>
      <c r="W91" s="16" t="n">
        <v>0.01235</v>
      </c>
      <c r="X91" s="16" t="n">
        <v>0.013171</v>
      </c>
      <c r="Y91" s="16" t="n">
        <v>0.014037</v>
      </c>
      <c r="Z91" s="16" t="n">
        <v>0.014982</v>
      </c>
      <c r="AA91" s="16" t="n">
        <v>0.015966</v>
      </c>
      <c r="AB91" s="16" t="n">
        <v>0.017233</v>
      </c>
      <c r="AC91" s="16" t="n">
        <v>0.018545</v>
      </c>
      <c r="AD91" s="16" t="n">
        <v>0.019929</v>
      </c>
      <c r="AE91" s="16" t="n">
        <v>0.021406</v>
      </c>
      <c r="AF91" s="16" t="n">
        <v>0.022977</v>
      </c>
      <c r="AG91" s="16" t="n">
        <v>0.024547</v>
      </c>
      <c r="AH91" s="16" t="n">
        <v>0.026117</v>
      </c>
      <c r="AI91" s="16" t="n">
        <v>0.027708</v>
      </c>
      <c r="AJ91" s="16" t="n">
        <v>0.02926</v>
      </c>
      <c r="AK91" s="16" t="n">
        <v>0.030743</v>
      </c>
      <c r="AL91" s="16" t="n">
        <v>0.032327</v>
      </c>
      <c r="AM91" s="12" t="n">
        <v>0.048741</v>
      </c>
    </row>
    <row r="92" ht="15" customHeight="1">
      <c r="A92" s="11" t="inlineStr">
        <is>
          <t>CKI000:qa_TotalSolar</t>
        </is>
      </c>
      <c r="B92" s="10" t="inlineStr">
        <is>
          <t xml:space="preserve">    Total</t>
        </is>
      </c>
      <c r="C92" s="15" t="n">
        <v>0.154067</v>
      </c>
      <c r="D92" s="15" t="n">
        <v>0.162649</v>
      </c>
      <c r="E92" s="15" t="n">
        <v>0.172394</v>
      </c>
      <c r="F92" s="15" t="n">
        <v>0.183555</v>
      </c>
      <c r="G92" s="15" t="n">
        <v>0.196586</v>
      </c>
      <c r="H92" s="15" t="n">
        <v>0.209988</v>
      </c>
      <c r="I92" s="15" t="n">
        <v>0.223372</v>
      </c>
      <c r="J92" s="15" t="n">
        <v>0.235357</v>
      </c>
      <c r="K92" s="15" t="n">
        <v>0.240719</v>
      </c>
      <c r="L92" s="15" t="n">
        <v>0.246994</v>
      </c>
      <c r="M92" s="15" t="n">
        <v>0.255231</v>
      </c>
      <c r="N92" s="15" t="n">
        <v>0.265304</v>
      </c>
      <c r="O92" s="15" t="n">
        <v>0.277079</v>
      </c>
      <c r="P92" s="15" t="n">
        <v>0.290578</v>
      </c>
      <c r="Q92" s="15" t="n">
        <v>0.305774</v>
      </c>
      <c r="R92" s="15" t="n">
        <v>0.322824</v>
      </c>
      <c r="S92" s="15" t="n">
        <v>0.340945</v>
      </c>
      <c r="T92" s="15" t="n">
        <v>0.35998</v>
      </c>
      <c r="U92" s="15" t="n">
        <v>0.379744</v>
      </c>
      <c r="V92" s="15" t="n">
        <v>0.400251</v>
      </c>
      <c r="W92" s="15" t="n">
        <v>0.421459</v>
      </c>
      <c r="X92" s="15" t="n">
        <v>0.443095</v>
      </c>
      <c r="Y92" s="15" t="n">
        <v>0.465121</v>
      </c>
      <c r="Z92" s="15" t="n">
        <v>0.487563</v>
      </c>
      <c r="AA92" s="15" t="n">
        <v>0.510406</v>
      </c>
      <c r="AB92" s="15" t="n">
        <v>0.533839</v>
      </c>
      <c r="AC92" s="15" t="n">
        <v>0.557496</v>
      </c>
      <c r="AD92" s="15" t="n">
        <v>0.581462</v>
      </c>
      <c r="AE92" s="15" t="n">
        <v>0.605824</v>
      </c>
      <c r="AF92" s="15" t="n">
        <v>0.630576</v>
      </c>
      <c r="AG92" s="15" t="n">
        <v>0.655626</v>
      </c>
      <c r="AH92" s="15" t="n">
        <v>0.68079</v>
      </c>
      <c r="AI92" s="15" t="n">
        <v>0.706077</v>
      </c>
      <c r="AJ92" s="15" t="n">
        <v>0.731427</v>
      </c>
      <c r="AK92" s="15" t="n">
        <v>0.756787</v>
      </c>
      <c r="AL92" s="15" t="n">
        <v>0.782352</v>
      </c>
      <c r="AM92" s="8" t="n">
        <v>0.047281</v>
      </c>
    </row>
    <row r="94" ht="15" customHeight="1">
      <c r="B94" s="10" t="inlineStr">
        <is>
          <t>Heating Degree Days</t>
        </is>
      </c>
    </row>
    <row r="95" ht="15" customHeight="1">
      <c r="A95" s="11" t="inlineStr">
        <is>
          <t>CKI000:hdd_NewEngland</t>
        </is>
      </c>
      <c r="B95" s="14" t="inlineStr">
        <is>
          <t xml:space="preserve">   New England</t>
        </is>
      </c>
      <c r="C95" s="13" t="n">
        <v>6514</v>
      </c>
      <c r="D95" s="13" t="n">
        <v>5995</v>
      </c>
      <c r="E95" s="13" t="n">
        <v>6371</v>
      </c>
      <c r="F95" s="13" t="n">
        <v>6184</v>
      </c>
      <c r="G95" s="13" t="n">
        <v>6167</v>
      </c>
      <c r="H95" s="13" t="n">
        <v>6150</v>
      </c>
      <c r="I95" s="13" t="n">
        <v>6133</v>
      </c>
      <c r="J95" s="13" t="n">
        <v>6116</v>
      </c>
      <c r="K95" s="13" t="n">
        <v>6099</v>
      </c>
      <c r="L95" s="13" t="n">
        <v>6082</v>
      </c>
      <c r="M95" s="13" t="n">
        <v>6065</v>
      </c>
      <c r="N95" s="13" t="n">
        <v>6048</v>
      </c>
      <c r="O95" s="13" t="n">
        <v>6031</v>
      </c>
      <c r="P95" s="13" t="n">
        <v>6014</v>
      </c>
      <c r="Q95" s="13" t="n">
        <v>5997</v>
      </c>
      <c r="R95" s="13" t="n">
        <v>5980</v>
      </c>
      <c r="S95" s="13" t="n">
        <v>5963</v>
      </c>
      <c r="T95" s="13" t="n">
        <v>5946</v>
      </c>
      <c r="U95" s="13" t="n">
        <v>5929</v>
      </c>
      <c r="V95" s="13" t="n">
        <v>5912</v>
      </c>
      <c r="W95" s="13" t="n">
        <v>5895</v>
      </c>
      <c r="X95" s="13" t="n">
        <v>5878</v>
      </c>
      <c r="Y95" s="13" t="n">
        <v>5860</v>
      </c>
      <c r="Z95" s="13" t="n">
        <v>5843</v>
      </c>
      <c r="AA95" s="13" t="n">
        <v>5826</v>
      </c>
      <c r="AB95" s="13" t="n">
        <v>5809</v>
      </c>
      <c r="AC95" s="13" t="n">
        <v>5792</v>
      </c>
      <c r="AD95" s="13" t="n">
        <v>5774</v>
      </c>
      <c r="AE95" s="13" t="n">
        <v>5757</v>
      </c>
      <c r="AF95" s="13" t="n">
        <v>5740</v>
      </c>
      <c r="AG95" s="13" t="n">
        <v>5723</v>
      </c>
      <c r="AH95" s="13" t="n">
        <v>5706</v>
      </c>
      <c r="AI95" s="13" t="n">
        <v>5689</v>
      </c>
      <c r="AJ95" s="13" t="n">
        <v>5671</v>
      </c>
      <c r="AK95" s="13" t="n">
        <v>5654</v>
      </c>
      <c r="AL95" s="13" t="n">
        <v>5637</v>
      </c>
      <c r="AM95" s="12" t="n">
        <v>-0.001809</v>
      </c>
    </row>
    <row r="96" ht="15" customHeight="1">
      <c r="A96" s="11" t="inlineStr">
        <is>
          <t>CKI000:hdd_MiddleAtlant</t>
        </is>
      </c>
      <c r="B96" s="14" t="inlineStr">
        <is>
          <t xml:space="preserve">   Middle Atlantic</t>
        </is>
      </c>
      <c r="C96" s="13" t="n">
        <v>5774</v>
      </c>
      <c r="D96" s="13" t="n">
        <v>5442</v>
      </c>
      <c r="E96" s="13" t="n">
        <v>5663</v>
      </c>
      <c r="F96" s="13" t="n">
        <v>5582</v>
      </c>
      <c r="G96" s="13" t="n">
        <v>5568</v>
      </c>
      <c r="H96" s="13" t="n">
        <v>5554</v>
      </c>
      <c r="I96" s="13" t="n">
        <v>5540</v>
      </c>
      <c r="J96" s="13" t="n">
        <v>5526</v>
      </c>
      <c r="K96" s="13" t="n">
        <v>5511</v>
      </c>
      <c r="L96" s="13" t="n">
        <v>5497</v>
      </c>
      <c r="M96" s="13" t="n">
        <v>5483</v>
      </c>
      <c r="N96" s="13" t="n">
        <v>5469</v>
      </c>
      <c r="O96" s="13" t="n">
        <v>5455</v>
      </c>
      <c r="P96" s="13" t="n">
        <v>5440</v>
      </c>
      <c r="Q96" s="13" t="n">
        <v>5426</v>
      </c>
      <c r="R96" s="13" t="n">
        <v>5412</v>
      </c>
      <c r="S96" s="13" t="n">
        <v>5398</v>
      </c>
      <c r="T96" s="13" t="n">
        <v>5384</v>
      </c>
      <c r="U96" s="13" t="n">
        <v>5369</v>
      </c>
      <c r="V96" s="13" t="n">
        <v>5355</v>
      </c>
      <c r="W96" s="13" t="n">
        <v>5341</v>
      </c>
      <c r="X96" s="13" t="n">
        <v>5327</v>
      </c>
      <c r="Y96" s="13" t="n">
        <v>5313</v>
      </c>
      <c r="Z96" s="13" t="n">
        <v>5299</v>
      </c>
      <c r="AA96" s="13" t="n">
        <v>5285</v>
      </c>
      <c r="AB96" s="13" t="n">
        <v>5271</v>
      </c>
      <c r="AC96" s="13" t="n">
        <v>5257</v>
      </c>
      <c r="AD96" s="13" t="n">
        <v>5243</v>
      </c>
      <c r="AE96" s="13" t="n">
        <v>5229</v>
      </c>
      <c r="AF96" s="13" t="n">
        <v>5215</v>
      </c>
      <c r="AG96" s="13" t="n">
        <v>5202</v>
      </c>
      <c r="AH96" s="13" t="n">
        <v>5188</v>
      </c>
      <c r="AI96" s="13" t="n">
        <v>5174</v>
      </c>
      <c r="AJ96" s="13" t="n">
        <v>5160</v>
      </c>
      <c r="AK96" s="13" t="n">
        <v>5146</v>
      </c>
      <c r="AL96" s="13" t="n">
        <v>5132</v>
      </c>
      <c r="AM96" s="12" t="n">
        <v>-0.001724</v>
      </c>
    </row>
    <row r="97" ht="15" customHeight="1">
      <c r="A97" s="11" t="inlineStr">
        <is>
          <t>CKI000:hdd_EastNorthCen</t>
        </is>
      </c>
      <c r="B97" s="14" t="inlineStr">
        <is>
          <t xml:space="preserve">   East North Central</t>
        </is>
      </c>
      <c r="C97" s="13" t="n">
        <v>6169</v>
      </c>
      <c r="D97" s="13" t="n">
        <v>5913</v>
      </c>
      <c r="E97" s="13" t="n">
        <v>6192</v>
      </c>
      <c r="F97" s="13" t="n">
        <v>6233</v>
      </c>
      <c r="G97" s="13" t="n">
        <v>6230</v>
      </c>
      <c r="H97" s="13" t="n">
        <v>6226</v>
      </c>
      <c r="I97" s="13" t="n">
        <v>6223</v>
      </c>
      <c r="J97" s="13" t="n">
        <v>6220</v>
      </c>
      <c r="K97" s="13" t="n">
        <v>6216</v>
      </c>
      <c r="L97" s="13" t="n">
        <v>6213</v>
      </c>
      <c r="M97" s="13" t="n">
        <v>6210</v>
      </c>
      <c r="N97" s="13" t="n">
        <v>6206</v>
      </c>
      <c r="O97" s="13" t="n">
        <v>6203</v>
      </c>
      <c r="P97" s="13" t="n">
        <v>6200</v>
      </c>
      <c r="Q97" s="13" t="n">
        <v>6196</v>
      </c>
      <c r="R97" s="13" t="n">
        <v>6193</v>
      </c>
      <c r="S97" s="13" t="n">
        <v>6190</v>
      </c>
      <c r="T97" s="13" t="n">
        <v>6186</v>
      </c>
      <c r="U97" s="13" t="n">
        <v>6183</v>
      </c>
      <c r="V97" s="13" t="n">
        <v>6180</v>
      </c>
      <c r="W97" s="13" t="n">
        <v>6177</v>
      </c>
      <c r="X97" s="13" t="n">
        <v>6173</v>
      </c>
      <c r="Y97" s="13" t="n">
        <v>6170</v>
      </c>
      <c r="Z97" s="13" t="n">
        <v>6167</v>
      </c>
      <c r="AA97" s="13" t="n">
        <v>6163</v>
      </c>
      <c r="AB97" s="13" t="n">
        <v>6160</v>
      </c>
      <c r="AC97" s="13" t="n">
        <v>6157</v>
      </c>
      <c r="AD97" s="13" t="n">
        <v>6153</v>
      </c>
      <c r="AE97" s="13" t="n">
        <v>6150</v>
      </c>
      <c r="AF97" s="13" t="n">
        <v>6147</v>
      </c>
      <c r="AG97" s="13" t="n">
        <v>6143</v>
      </c>
      <c r="AH97" s="13" t="n">
        <v>6140</v>
      </c>
      <c r="AI97" s="13" t="n">
        <v>6137</v>
      </c>
      <c r="AJ97" s="13" t="n">
        <v>6133</v>
      </c>
      <c r="AK97" s="13" t="n">
        <v>6130</v>
      </c>
      <c r="AL97" s="13" t="n">
        <v>6127</v>
      </c>
      <c r="AM97" s="12" t="n">
        <v>0.001046</v>
      </c>
    </row>
    <row r="98" ht="15" customHeight="1">
      <c r="A98" s="11" t="inlineStr">
        <is>
          <t>CKI000:hdd_WestNorthCen</t>
        </is>
      </c>
      <c r="B98" s="14" t="inlineStr">
        <is>
          <t xml:space="preserve">   West North Central</t>
        </is>
      </c>
      <c r="C98" s="13" t="n">
        <v>6093</v>
      </c>
      <c r="D98" s="13" t="n">
        <v>6067</v>
      </c>
      <c r="E98" s="13" t="n">
        <v>6429</v>
      </c>
      <c r="F98" s="13" t="n">
        <v>6521</v>
      </c>
      <c r="G98" s="13" t="n">
        <v>6521</v>
      </c>
      <c r="H98" s="13" t="n">
        <v>6520</v>
      </c>
      <c r="I98" s="13" t="n">
        <v>6520</v>
      </c>
      <c r="J98" s="13" t="n">
        <v>6519</v>
      </c>
      <c r="K98" s="13" t="n">
        <v>6518</v>
      </c>
      <c r="L98" s="13" t="n">
        <v>6518</v>
      </c>
      <c r="M98" s="13" t="n">
        <v>6517</v>
      </c>
      <c r="N98" s="13" t="n">
        <v>6515</v>
      </c>
      <c r="O98" s="13" t="n">
        <v>6514</v>
      </c>
      <c r="P98" s="13" t="n">
        <v>6513</v>
      </c>
      <c r="Q98" s="13" t="n">
        <v>6512</v>
      </c>
      <c r="R98" s="13" t="n">
        <v>6510</v>
      </c>
      <c r="S98" s="13" t="n">
        <v>6509</v>
      </c>
      <c r="T98" s="13" t="n">
        <v>6508</v>
      </c>
      <c r="U98" s="13" t="n">
        <v>6506</v>
      </c>
      <c r="V98" s="13" t="n">
        <v>6505</v>
      </c>
      <c r="W98" s="13" t="n">
        <v>6504</v>
      </c>
      <c r="X98" s="13" t="n">
        <v>6502</v>
      </c>
      <c r="Y98" s="13" t="n">
        <v>6501</v>
      </c>
      <c r="Z98" s="13" t="n">
        <v>6499</v>
      </c>
      <c r="AA98" s="13" t="n">
        <v>6498</v>
      </c>
      <c r="AB98" s="13" t="n">
        <v>6496</v>
      </c>
      <c r="AC98" s="13" t="n">
        <v>6494</v>
      </c>
      <c r="AD98" s="13" t="n">
        <v>6493</v>
      </c>
      <c r="AE98" s="13" t="n">
        <v>6491</v>
      </c>
      <c r="AF98" s="13" t="n">
        <v>6490</v>
      </c>
      <c r="AG98" s="13" t="n">
        <v>6488</v>
      </c>
      <c r="AH98" s="13" t="n">
        <v>6486</v>
      </c>
      <c r="AI98" s="13" t="n">
        <v>6484</v>
      </c>
      <c r="AJ98" s="13" t="n">
        <v>6483</v>
      </c>
      <c r="AK98" s="13" t="n">
        <v>6481</v>
      </c>
      <c r="AL98" s="13" t="n">
        <v>6479</v>
      </c>
      <c r="AM98" s="12" t="n">
        <v>0.001934</v>
      </c>
    </row>
    <row r="99" ht="15" customHeight="1">
      <c r="A99" s="11" t="inlineStr">
        <is>
          <t>CKI000:hdd_SouthAtlantc</t>
        </is>
      </c>
      <c r="B99" s="14" t="inlineStr">
        <is>
          <t xml:space="preserve">   South Atlantic</t>
        </is>
      </c>
      <c r="C99" s="13" t="n">
        <v>2487</v>
      </c>
      <c r="D99" s="13" t="n">
        <v>2591</v>
      </c>
      <c r="E99" s="13" t="n">
        <v>2619</v>
      </c>
      <c r="F99" s="13" t="n">
        <v>2605</v>
      </c>
      <c r="G99" s="13" t="n">
        <v>2597</v>
      </c>
      <c r="H99" s="13" t="n">
        <v>2589</v>
      </c>
      <c r="I99" s="13" t="n">
        <v>2582</v>
      </c>
      <c r="J99" s="13" t="n">
        <v>2574</v>
      </c>
      <c r="K99" s="13" t="n">
        <v>2566</v>
      </c>
      <c r="L99" s="13" t="n">
        <v>2559</v>
      </c>
      <c r="M99" s="13" t="n">
        <v>2551</v>
      </c>
      <c r="N99" s="13" t="n">
        <v>2543</v>
      </c>
      <c r="O99" s="13" t="n">
        <v>2536</v>
      </c>
      <c r="P99" s="13" t="n">
        <v>2528</v>
      </c>
      <c r="Q99" s="13" t="n">
        <v>2521</v>
      </c>
      <c r="R99" s="13" t="n">
        <v>2513</v>
      </c>
      <c r="S99" s="13" t="n">
        <v>2505</v>
      </c>
      <c r="T99" s="13" t="n">
        <v>2498</v>
      </c>
      <c r="U99" s="13" t="n">
        <v>2490</v>
      </c>
      <c r="V99" s="13" t="n">
        <v>2483</v>
      </c>
      <c r="W99" s="13" t="n">
        <v>2475</v>
      </c>
      <c r="X99" s="13" t="n">
        <v>2468</v>
      </c>
      <c r="Y99" s="13" t="n">
        <v>2461</v>
      </c>
      <c r="Z99" s="13" t="n">
        <v>2453</v>
      </c>
      <c r="AA99" s="13" t="n">
        <v>2446</v>
      </c>
      <c r="AB99" s="13" t="n">
        <v>2439</v>
      </c>
      <c r="AC99" s="13" t="n">
        <v>2432</v>
      </c>
      <c r="AD99" s="13" t="n">
        <v>2424</v>
      </c>
      <c r="AE99" s="13" t="n">
        <v>2417</v>
      </c>
      <c r="AF99" s="13" t="n">
        <v>2410</v>
      </c>
      <c r="AG99" s="13" t="n">
        <v>2404</v>
      </c>
      <c r="AH99" s="13" t="n">
        <v>2397</v>
      </c>
      <c r="AI99" s="13" t="n">
        <v>2390</v>
      </c>
      <c r="AJ99" s="13" t="n">
        <v>2383</v>
      </c>
      <c r="AK99" s="13" t="n">
        <v>2376</v>
      </c>
      <c r="AL99" s="13" t="n">
        <v>2369</v>
      </c>
      <c r="AM99" s="12" t="n">
        <v>-0.002631</v>
      </c>
    </row>
    <row r="100" ht="15" customHeight="1">
      <c r="A100" s="11" t="inlineStr">
        <is>
          <t>CKI000:hdd_EastSouthCen</t>
        </is>
      </c>
      <c r="B100" s="14" t="inlineStr">
        <is>
          <t xml:space="preserve">   East South Central</t>
        </is>
      </c>
      <c r="C100" s="13" t="n">
        <v>3217</v>
      </c>
      <c r="D100" s="13" t="n">
        <v>3316</v>
      </c>
      <c r="E100" s="13" t="n">
        <v>3393</v>
      </c>
      <c r="F100" s="13" t="n">
        <v>3425</v>
      </c>
      <c r="G100" s="13" t="n">
        <v>3423</v>
      </c>
      <c r="H100" s="13" t="n">
        <v>3421</v>
      </c>
      <c r="I100" s="13" t="n">
        <v>3419</v>
      </c>
      <c r="J100" s="13" t="n">
        <v>3418</v>
      </c>
      <c r="K100" s="13" t="n">
        <v>3416</v>
      </c>
      <c r="L100" s="13" t="n">
        <v>3414</v>
      </c>
      <c r="M100" s="13" t="n">
        <v>3413</v>
      </c>
      <c r="N100" s="13" t="n">
        <v>3411</v>
      </c>
      <c r="O100" s="13" t="n">
        <v>3409</v>
      </c>
      <c r="P100" s="13" t="n">
        <v>3408</v>
      </c>
      <c r="Q100" s="13" t="n">
        <v>3406</v>
      </c>
      <c r="R100" s="13" t="n">
        <v>3404</v>
      </c>
      <c r="S100" s="13" t="n">
        <v>3403</v>
      </c>
      <c r="T100" s="13" t="n">
        <v>3401</v>
      </c>
      <c r="U100" s="13" t="n">
        <v>3399</v>
      </c>
      <c r="V100" s="13" t="n">
        <v>3397</v>
      </c>
      <c r="W100" s="13" t="n">
        <v>3395</v>
      </c>
      <c r="X100" s="13" t="n">
        <v>3394</v>
      </c>
      <c r="Y100" s="13" t="n">
        <v>3392</v>
      </c>
      <c r="Z100" s="13" t="n">
        <v>3390</v>
      </c>
      <c r="AA100" s="13" t="n">
        <v>3388</v>
      </c>
      <c r="AB100" s="13" t="n">
        <v>3386</v>
      </c>
      <c r="AC100" s="13" t="n">
        <v>3384</v>
      </c>
      <c r="AD100" s="13" t="n">
        <v>3383</v>
      </c>
      <c r="AE100" s="13" t="n">
        <v>3381</v>
      </c>
      <c r="AF100" s="13" t="n">
        <v>3379</v>
      </c>
      <c r="AG100" s="13" t="n">
        <v>3377</v>
      </c>
      <c r="AH100" s="13" t="n">
        <v>3375</v>
      </c>
      <c r="AI100" s="13" t="n">
        <v>3374</v>
      </c>
      <c r="AJ100" s="13" t="n">
        <v>3372</v>
      </c>
      <c r="AK100" s="13" t="n">
        <v>3370</v>
      </c>
      <c r="AL100" s="13" t="n">
        <v>3368</v>
      </c>
      <c r="AM100" s="12" t="n">
        <v>0.000458</v>
      </c>
    </row>
    <row r="101" ht="15" customHeight="1">
      <c r="A101" s="11" t="inlineStr">
        <is>
          <t>CKI000:hdd_WestSouthCen</t>
        </is>
      </c>
      <c r="B101" s="14" t="inlineStr">
        <is>
          <t xml:space="preserve">   West South Central</t>
        </is>
      </c>
      <c r="C101" s="13" t="n">
        <v>2089</v>
      </c>
      <c r="D101" s="13" t="n">
        <v>1903</v>
      </c>
      <c r="E101" s="13" t="n">
        <v>2019</v>
      </c>
      <c r="F101" s="13" t="n">
        <v>2071</v>
      </c>
      <c r="G101" s="13" t="n">
        <v>2065</v>
      </c>
      <c r="H101" s="13" t="n">
        <v>2059</v>
      </c>
      <c r="I101" s="13" t="n">
        <v>2054</v>
      </c>
      <c r="J101" s="13" t="n">
        <v>2049</v>
      </c>
      <c r="K101" s="13" t="n">
        <v>2043</v>
      </c>
      <c r="L101" s="13" t="n">
        <v>2038</v>
      </c>
      <c r="M101" s="13" t="n">
        <v>2033</v>
      </c>
      <c r="N101" s="13" t="n">
        <v>2027</v>
      </c>
      <c r="O101" s="13" t="n">
        <v>2022</v>
      </c>
      <c r="P101" s="13" t="n">
        <v>2017</v>
      </c>
      <c r="Q101" s="13" t="n">
        <v>2011</v>
      </c>
      <c r="R101" s="13" t="n">
        <v>2006</v>
      </c>
      <c r="S101" s="13" t="n">
        <v>2001</v>
      </c>
      <c r="T101" s="13" t="n">
        <v>1996</v>
      </c>
      <c r="U101" s="13" t="n">
        <v>1991</v>
      </c>
      <c r="V101" s="13" t="n">
        <v>1986</v>
      </c>
      <c r="W101" s="13" t="n">
        <v>1980</v>
      </c>
      <c r="X101" s="13" t="n">
        <v>1975</v>
      </c>
      <c r="Y101" s="13" t="n">
        <v>1970</v>
      </c>
      <c r="Z101" s="13" t="n">
        <v>1965</v>
      </c>
      <c r="AA101" s="13" t="n">
        <v>1960</v>
      </c>
      <c r="AB101" s="13" t="n">
        <v>1955</v>
      </c>
      <c r="AC101" s="13" t="n">
        <v>1950</v>
      </c>
      <c r="AD101" s="13" t="n">
        <v>1945</v>
      </c>
      <c r="AE101" s="13" t="n">
        <v>1940</v>
      </c>
      <c r="AF101" s="13" t="n">
        <v>1935</v>
      </c>
      <c r="AG101" s="13" t="n">
        <v>1930</v>
      </c>
      <c r="AH101" s="13" t="n">
        <v>1924</v>
      </c>
      <c r="AI101" s="13" t="n">
        <v>1919</v>
      </c>
      <c r="AJ101" s="13" t="n">
        <v>1914</v>
      </c>
      <c r="AK101" s="13" t="n">
        <v>1909</v>
      </c>
      <c r="AL101" s="13" t="n">
        <v>1904</v>
      </c>
      <c r="AM101" s="12" t="n">
        <v>1.5e-05</v>
      </c>
    </row>
    <row r="102" ht="15" customHeight="1">
      <c r="A102" s="11" t="inlineStr">
        <is>
          <t>CKI000:hdd_Mountain</t>
        </is>
      </c>
      <c r="B102" s="14" t="inlineStr">
        <is>
          <t xml:space="preserve">   Mountain</t>
        </is>
      </c>
      <c r="C102" s="13" t="n">
        <v>4602</v>
      </c>
      <c r="D102" s="13" t="n">
        <v>4670</v>
      </c>
      <c r="E102" s="13" t="n">
        <v>4743</v>
      </c>
      <c r="F102" s="13" t="n">
        <v>4897</v>
      </c>
      <c r="G102" s="13" t="n">
        <v>4888</v>
      </c>
      <c r="H102" s="13" t="n">
        <v>4878</v>
      </c>
      <c r="I102" s="13" t="n">
        <v>4868</v>
      </c>
      <c r="J102" s="13" t="n">
        <v>4858</v>
      </c>
      <c r="K102" s="13" t="n">
        <v>4847</v>
      </c>
      <c r="L102" s="13" t="n">
        <v>4836</v>
      </c>
      <c r="M102" s="13" t="n">
        <v>4826</v>
      </c>
      <c r="N102" s="13" t="n">
        <v>4815</v>
      </c>
      <c r="O102" s="13" t="n">
        <v>4804</v>
      </c>
      <c r="P102" s="13" t="n">
        <v>4793</v>
      </c>
      <c r="Q102" s="13" t="n">
        <v>4781</v>
      </c>
      <c r="R102" s="13" t="n">
        <v>4770</v>
      </c>
      <c r="S102" s="13" t="n">
        <v>4758</v>
      </c>
      <c r="T102" s="13" t="n">
        <v>4746</v>
      </c>
      <c r="U102" s="13" t="n">
        <v>4734</v>
      </c>
      <c r="V102" s="13" t="n">
        <v>4722</v>
      </c>
      <c r="W102" s="13" t="n">
        <v>4709</v>
      </c>
      <c r="X102" s="13" t="n">
        <v>4697</v>
      </c>
      <c r="Y102" s="13" t="n">
        <v>4684</v>
      </c>
      <c r="Z102" s="13" t="n">
        <v>4672</v>
      </c>
      <c r="AA102" s="13" t="n">
        <v>4659</v>
      </c>
      <c r="AB102" s="13" t="n">
        <v>4647</v>
      </c>
      <c r="AC102" s="13" t="n">
        <v>4634</v>
      </c>
      <c r="AD102" s="13" t="n">
        <v>4622</v>
      </c>
      <c r="AE102" s="13" t="n">
        <v>4609</v>
      </c>
      <c r="AF102" s="13" t="n">
        <v>4597</v>
      </c>
      <c r="AG102" s="13" t="n">
        <v>4584</v>
      </c>
      <c r="AH102" s="13" t="n">
        <v>4572</v>
      </c>
      <c r="AI102" s="13" t="n">
        <v>4559</v>
      </c>
      <c r="AJ102" s="13" t="n">
        <v>4547</v>
      </c>
      <c r="AK102" s="13" t="n">
        <v>4534</v>
      </c>
      <c r="AL102" s="13" t="n">
        <v>4522</v>
      </c>
      <c r="AM102" s="12" t="n">
        <v>-0.000947</v>
      </c>
    </row>
    <row r="103" ht="15" customHeight="1">
      <c r="A103" s="11" t="inlineStr">
        <is>
          <t>CKI000:hdd_Pacific</t>
        </is>
      </c>
      <c r="B103" s="14" t="inlineStr">
        <is>
          <t xml:space="preserve">   Pacific</t>
        </is>
      </c>
      <c r="C103" s="13" t="n">
        <v>2889</v>
      </c>
      <c r="D103" s="13" t="n">
        <v>2941</v>
      </c>
      <c r="E103" s="13" t="n">
        <v>3057</v>
      </c>
      <c r="F103" s="13" t="n">
        <v>3342</v>
      </c>
      <c r="G103" s="13" t="n">
        <v>3336</v>
      </c>
      <c r="H103" s="13" t="n">
        <v>3329</v>
      </c>
      <c r="I103" s="13" t="n">
        <v>3322</v>
      </c>
      <c r="J103" s="13" t="n">
        <v>3315</v>
      </c>
      <c r="K103" s="13" t="n">
        <v>3308</v>
      </c>
      <c r="L103" s="13" t="n">
        <v>3301</v>
      </c>
      <c r="M103" s="13" t="n">
        <v>3294</v>
      </c>
      <c r="N103" s="13" t="n">
        <v>3287</v>
      </c>
      <c r="O103" s="13" t="n">
        <v>3280</v>
      </c>
      <c r="P103" s="13" t="n">
        <v>3273</v>
      </c>
      <c r="Q103" s="13" t="n">
        <v>3266</v>
      </c>
      <c r="R103" s="13" t="n">
        <v>3260</v>
      </c>
      <c r="S103" s="13" t="n">
        <v>3253</v>
      </c>
      <c r="T103" s="13" t="n">
        <v>3246</v>
      </c>
      <c r="U103" s="13" t="n">
        <v>3239</v>
      </c>
      <c r="V103" s="13" t="n">
        <v>3233</v>
      </c>
      <c r="W103" s="13" t="n">
        <v>3226</v>
      </c>
      <c r="X103" s="13" t="n">
        <v>3219</v>
      </c>
      <c r="Y103" s="13" t="n">
        <v>3213</v>
      </c>
      <c r="Z103" s="13" t="n">
        <v>3206</v>
      </c>
      <c r="AA103" s="13" t="n">
        <v>3200</v>
      </c>
      <c r="AB103" s="13" t="n">
        <v>3193</v>
      </c>
      <c r="AC103" s="13" t="n">
        <v>3186</v>
      </c>
      <c r="AD103" s="13" t="n">
        <v>3179</v>
      </c>
      <c r="AE103" s="13" t="n">
        <v>3173</v>
      </c>
      <c r="AF103" s="13" t="n">
        <v>3166</v>
      </c>
      <c r="AG103" s="13" t="n">
        <v>3159</v>
      </c>
      <c r="AH103" s="13" t="n">
        <v>3152</v>
      </c>
      <c r="AI103" s="13" t="n">
        <v>3145</v>
      </c>
      <c r="AJ103" s="13" t="n">
        <v>3138</v>
      </c>
      <c r="AK103" s="13" t="n">
        <v>3131</v>
      </c>
      <c r="AL103" s="13" t="n">
        <v>3124</v>
      </c>
      <c r="AM103" s="12" t="n">
        <v>0.001777</v>
      </c>
    </row>
    <row r="104" ht="15" customHeight="1">
      <c r="A104" s="11" t="inlineStr">
        <is>
          <t>CKI000:hdd_UnitedStates</t>
        </is>
      </c>
      <c r="B104" s="10" t="inlineStr">
        <is>
          <t xml:space="preserve">      United States</t>
        </is>
      </c>
      <c r="C104" s="9" t="n">
        <v>4083.599609</v>
      </c>
      <c r="D104" s="9" t="n">
        <v>3988.969727</v>
      </c>
      <c r="E104" s="9" t="n">
        <v>4140.887695</v>
      </c>
      <c r="F104" s="9" t="n">
        <v>4191.869629</v>
      </c>
      <c r="G104" s="9" t="n">
        <v>4179.255859</v>
      </c>
      <c r="H104" s="9" t="n">
        <v>4166.383301</v>
      </c>
      <c r="I104" s="9" t="n">
        <v>4154.191895</v>
      </c>
      <c r="J104" s="9" t="n">
        <v>4141.889648</v>
      </c>
      <c r="K104" s="9" t="n">
        <v>4129.13916</v>
      </c>
      <c r="L104" s="9" t="n">
        <v>4117.100098</v>
      </c>
      <c r="M104" s="9" t="n">
        <v>4104.975586</v>
      </c>
      <c r="N104" s="9" t="n">
        <v>4092.428711</v>
      </c>
      <c r="O104" s="9" t="n">
        <v>4080.460449</v>
      </c>
      <c r="P104" s="9" t="n">
        <v>4068.263428</v>
      </c>
      <c r="Q104" s="9" t="n">
        <v>4056.018311</v>
      </c>
      <c r="R104" s="9" t="n">
        <v>4044.03418</v>
      </c>
      <c r="S104" s="9" t="n">
        <v>4031.935059</v>
      </c>
      <c r="T104" s="9" t="n">
        <v>4019.865234</v>
      </c>
      <c r="U104" s="9" t="n">
        <v>4007.560303</v>
      </c>
      <c r="V104" s="9" t="n">
        <v>3995.82666</v>
      </c>
      <c r="W104" s="9" t="n">
        <v>3983.509521</v>
      </c>
      <c r="X104" s="9" t="n">
        <v>3971.474854</v>
      </c>
      <c r="Y104" s="9" t="n">
        <v>3959.614746</v>
      </c>
      <c r="Z104" s="9" t="n">
        <v>3947.433105</v>
      </c>
      <c r="AA104" s="9" t="n">
        <v>3935.464844</v>
      </c>
      <c r="AB104" s="9" t="n">
        <v>3923.461914</v>
      </c>
      <c r="AC104" s="9" t="n">
        <v>3911.358887</v>
      </c>
      <c r="AD104" s="9" t="n">
        <v>3899.059326</v>
      </c>
      <c r="AE104" s="9" t="n">
        <v>3887.088135</v>
      </c>
      <c r="AF104" s="9" t="n">
        <v>3875.08374</v>
      </c>
      <c r="AG104" s="9" t="n">
        <v>3863.120117</v>
      </c>
      <c r="AH104" s="9" t="n">
        <v>3850.936768</v>
      </c>
      <c r="AI104" s="9" t="n">
        <v>3838.92334</v>
      </c>
      <c r="AJ104" s="9" t="n">
        <v>3826.952881</v>
      </c>
      <c r="AK104" s="9" t="n">
        <v>3815.161621</v>
      </c>
      <c r="AL104" s="9" t="n">
        <v>3803.554199</v>
      </c>
      <c r="AM104" s="8" t="n">
        <v>-0.001399</v>
      </c>
    </row>
    <row r="106" ht="15" customHeight="1">
      <c r="B106" s="10" t="inlineStr">
        <is>
          <t>Cooling Degree Days</t>
        </is>
      </c>
    </row>
    <row r="107" ht="15" customHeight="1">
      <c r="A107" s="11" t="inlineStr">
        <is>
          <t>CKI000:cdd_NewEngland</t>
        </is>
      </c>
      <c r="B107" s="14" t="inlineStr">
        <is>
          <t xml:space="preserve">   New England</t>
        </is>
      </c>
      <c r="C107" s="13" t="n">
        <v>558</v>
      </c>
      <c r="D107" s="13" t="n">
        <v>631</v>
      </c>
      <c r="E107" s="13" t="n">
        <v>499</v>
      </c>
      <c r="F107" s="13" t="n">
        <v>550</v>
      </c>
      <c r="G107" s="13" t="n">
        <v>556</v>
      </c>
      <c r="H107" s="13" t="n">
        <v>562</v>
      </c>
      <c r="I107" s="13" t="n">
        <v>567</v>
      </c>
      <c r="J107" s="13" t="n">
        <v>573</v>
      </c>
      <c r="K107" s="13" t="n">
        <v>579</v>
      </c>
      <c r="L107" s="13" t="n">
        <v>585</v>
      </c>
      <c r="M107" s="13" t="n">
        <v>591</v>
      </c>
      <c r="N107" s="13" t="n">
        <v>596</v>
      </c>
      <c r="O107" s="13" t="n">
        <v>602</v>
      </c>
      <c r="P107" s="13" t="n">
        <v>608</v>
      </c>
      <c r="Q107" s="13" t="n">
        <v>614</v>
      </c>
      <c r="R107" s="13" t="n">
        <v>620</v>
      </c>
      <c r="S107" s="13" t="n">
        <v>625</v>
      </c>
      <c r="T107" s="13" t="n">
        <v>631</v>
      </c>
      <c r="U107" s="13" t="n">
        <v>637</v>
      </c>
      <c r="V107" s="13" t="n">
        <v>643</v>
      </c>
      <c r="W107" s="13" t="n">
        <v>649</v>
      </c>
      <c r="X107" s="13" t="n">
        <v>654</v>
      </c>
      <c r="Y107" s="13" t="n">
        <v>660</v>
      </c>
      <c r="Z107" s="13" t="n">
        <v>666</v>
      </c>
      <c r="AA107" s="13" t="n">
        <v>672</v>
      </c>
      <c r="AB107" s="13" t="n">
        <v>678</v>
      </c>
      <c r="AC107" s="13" t="n">
        <v>684</v>
      </c>
      <c r="AD107" s="13" t="n">
        <v>690</v>
      </c>
      <c r="AE107" s="13" t="n">
        <v>695</v>
      </c>
      <c r="AF107" s="13" t="n">
        <v>701</v>
      </c>
      <c r="AG107" s="13" t="n">
        <v>707</v>
      </c>
      <c r="AH107" s="13" t="n">
        <v>713</v>
      </c>
      <c r="AI107" s="13" t="n">
        <v>719</v>
      </c>
      <c r="AJ107" s="13" t="n">
        <v>725</v>
      </c>
      <c r="AK107" s="13" t="n">
        <v>731</v>
      </c>
      <c r="AL107" s="13" t="n">
        <v>737</v>
      </c>
      <c r="AM107" s="12" t="n">
        <v>0.004578</v>
      </c>
    </row>
    <row r="108" ht="15" customHeight="1">
      <c r="A108" s="11" t="inlineStr">
        <is>
          <t>CKI000:cdd_MiddleAtlant</t>
        </is>
      </c>
      <c r="B108" s="14" t="inlineStr">
        <is>
          <t xml:space="preserve">   Middle Atlantic</t>
        </is>
      </c>
      <c r="C108" s="13" t="n">
        <v>804</v>
      </c>
      <c r="D108" s="13" t="n">
        <v>898</v>
      </c>
      <c r="E108" s="13" t="n">
        <v>735</v>
      </c>
      <c r="F108" s="13" t="n">
        <v>769</v>
      </c>
      <c r="G108" s="13" t="n">
        <v>776</v>
      </c>
      <c r="H108" s="13" t="n">
        <v>782</v>
      </c>
      <c r="I108" s="13" t="n">
        <v>789</v>
      </c>
      <c r="J108" s="13" t="n">
        <v>795</v>
      </c>
      <c r="K108" s="13" t="n">
        <v>802</v>
      </c>
      <c r="L108" s="13" t="n">
        <v>808</v>
      </c>
      <c r="M108" s="13" t="n">
        <v>815</v>
      </c>
      <c r="N108" s="13" t="n">
        <v>821</v>
      </c>
      <c r="O108" s="13" t="n">
        <v>828</v>
      </c>
      <c r="P108" s="13" t="n">
        <v>834</v>
      </c>
      <c r="Q108" s="13" t="n">
        <v>841</v>
      </c>
      <c r="R108" s="13" t="n">
        <v>847</v>
      </c>
      <c r="S108" s="13" t="n">
        <v>854</v>
      </c>
      <c r="T108" s="13" t="n">
        <v>860</v>
      </c>
      <c r="U108" s="13" t="n">
        <v>867</v>
      </c>
      <c r="V108" s="13" t="n">
        <v>873</v>
      </c>
      <c r="W108" s="13" t="n">
        <v>880</v>
      </c>
      <c r="X108" s="13" t="n">
        <v>886</v>
      </c>
      <c r="Y108" s="13" t="n">
        <v>892</v>
      </c>
      <c r="Z108" s="13" t="n">
        <v>899</v>
      </c>
      <c r="AA108" s="13" t="n">
        <v>905</v>
      </c>
      <c r="AB108" s="13" t="n">
        <v>912</v>
      </c>
      <c r="AC108" s="13" t="n">
        <v>918</v>
      </c>
      <c r="AD108" s="13" t="n">
        <v>925</v>
      </c>
      <c r="AE108" s="13" t="n">
        <v>931</v>
      </c>
      <c r="AF108" s="13" t="n">
        <v>937</v>
      </c>
      <c r="AG108" s="13" t="n">
        <v>944</v>
      </c>
      <c r="AH108" s="13" t="n">
        <v>950</v>
      </c>
      <c r="AI108" s="13" t="n">
        <v>957</v>
      </c>
      <c r="AJ108" s="13" t="n">
        <v>963</v>
      </c>
      <c r="AK108" s="13" t="n">
        <v>969</v>
      </c>
      <c r="AL108" s="13" t="n">
        <v>976</v>
      </c>
      <c r="AM108" s="12" t="n">
        <v>0.002453</v>
      </c>
    </row>
    <row r="109" ht="15" customHeight="1">
      <c r="A109" s="11" t="inlineStr">
        <is>
          <t>CKI000:cdd_EastNorthCen</t>
        </is>
      </c>
      <c r="B109" s="14" t="inlineStr">
        <is>
          <t xml:space="preserve">   East North Central</t>
        </is>
      </c>
      <c r="C109" s="13" t="n">
        <v>728</v>
      </c>
      <c r="D109" s="13" t="n">
        <v>947</v>
      </c>
      <c r="E109" s="13" t="n">
        <v>797</v>
      </c>
      <c r="F109" s="13" t="n">
        <v>770</v>
      </c>
      <c r="G109" s="13" t="n">
        <v>772</v>
      </c>
      <c r="H109" s="13" t="n">
        <v>773</v>
      </c>
      <c r="I109" s="13" t="n">
        <v>775</v>
      </c>
      <c r="J109" s="13" t="n">
        <v>777</v>
      </c>
      <c r="K109" s="13" t="n">
        <v>779</v>
      </c>
      <c r="L109" s="13" t="n">
        <v>781</v>
      </c>
      <c r="M109" s="13" t="n">
        <v>782</v>
      </c>
      <c r="N109" s="13" t="n">
        <v>784</v>
      </c>
      <c r="O109" s="13" t="n">
        <v>786</v>
      </c>
      <c r="P109" s="13" t="n">
        <v>788</v>
      </c>
      <c r="Q109" s="13" t="n">
        <v>790</v>
      </c>
      <c r="R109" s="13" t="n">
        <v>792</v>
      </c>
      <c r="S109" s="13" t="n">
        <v>793</v>
      </c>
      <c r="T109" s="13" t="n">
        <v>795</v>
      </c>
      <c r="U109" s="13" t="n">
        <v>797</v>
      </c>
      <c r="V109" s="13" t="n">
        <v>799</v>
      </c>
      <c r="W109" s="13" t="n">
        <v>801</v>
      </c>
      <c r="X109" s="13" t="n">
        <v>803</v>
      </c>
      <c r="Y109" s="13" t="n">
        <v>805</v>
      </c>
      <c r="Z109" s="13" t="n">
        <v>806</v>
      </c>
      <c r="AA109" s="13" t="n">
        <v>808</v>
      </c>
      <c r="AB109" s="13" t="n">
        <v>810</v>
      </c>
      <c r="AC109" s="13" t="n">
        <v>812</v>
      </c>
      <c r="AD109" s="13" t="n">
        <v>814</v>
      </c>
      <c r="AE109" s="13" t="n">
        <v>816</v>
      </c>
      <c r="AF109" s="13" t="n">
        <v>818</v>
      </c>
      <c r="AG109" s="13" t="n">
        <v>819</v>
      </c>
      <c r="AH109" s="13" t="n">
        <v>821</v>
      </c>
      <c r="AI109" s="13" t="n">
        <v>823</v>
      </c>
      <c r="AJ109" s="13" t="n">
        <v>825</v>
      </c>
      <c r="AK109" s="13" t="n">
        <v>827</v>
      </c>
      <c r="AL109" s="13" t="n">
        <v>829</v>
      </c>
      <c r="AM109" s="12" t="n">
        <v>-0.003906</v>
      </c>
    </row>
    <row r="110" ht="15" customHeight="1">
      <c r="A110" s="11" t="inlineStr">
        <is>
          <t>CKI000:cdd_WestNorthCen</t>
        </is>
      </c>
      <c r="B110" s="14" t="inlineStr">
        <is>
          <t xml:space="preserve">   West North Central</t>
        </is>
      </c>
      <c r="C110" s="13" t="n">
        <v>940</v>
      </c>
      <c r="D110" s="13" t="n">
        <v>1056</v>
      </c>
      <c r="E110" s="13" t="n">
        <v>996</v>
      </c>
      <c r="F110" s="13" t="n">
        <v>965</v>
      </c>
      <c r="G110" s="13" t="n">
        <v>967</v>
      </c>
      <c r="H110" s="13" t="n">
        <v>969</v>
      </c>
      <c r="I110" s="13" t="n">
        <v>970</v>
      </c>
      <c r="J110" s="13" t="n">
        <v>972</v>
      </c>
      <c r="K110" s="13" t="n">
        <v>974</v>
      </c>
      <c r="L110" s="13" t="n">
        <v>976</v>
      </c>
      <c r="M110" s="13" t="n">
        <v>978</v>
      </c>
      <c r="N110" s="13" t="n">
        <v>980</v>
      </c>
      <c r="O110" s="13" t="n">
        <v>981</v>
      </c>
      <c r="P110" s="13" t="n">
        <v>983</v>
      </c>
      <c r="Q110" s="13" t="n">
        <v>985</v>
      </c>
      <c r="R110" s="13" t="n">
        <v>987</v>
      </c>
      <c r="S110" s="13" t="n">
        <v>989</v>
      </c>
      <c r="T110" s="13" t="n">
        <v>991</v>
      </c>
      <c r="U110" s="13" t="n">
        <v>993</v>
      </c>
      <c r="V110" s="13" t="n">
        <v>995</v>
      </c>
      <c r="W110" s="13" t="n">
        <v>997</v>
      </c>
      <c r="X110" s="13" t="n">
        <v>999</v>
      </c>
      <c r="Y110" s="13" t="n">
        <v>1001</v>
      </c>
      <c r="Z110" s="13" t="n">
        <v>1003</v>
      </c>
      <c r="AA110" s="13" t="n">
        <v>1005</v>
      </c>
      <c r="AB110" s="13" t="n">
        <v>1007</v>
      </c>
      <c r="AC110" s="13" t="n">
        <v>1009</v>
      </c>
      <c r="AD110" s="13" t="n">
        <v>1011</v>
      </c>
      <c r="AE110" s="13" t="n">
        <v>1013</v>
      </c>
      <c r="AF110" s="13" t="n">
        <v>1015</v>
      </c>
      <c r="AG110" s="13" t="n">
        <v>1017</v>
      </c>
      <c r="AH110" s="13" t="n">
        <v>1019</v>
      </c>
      <c r="AI110" s="13" t="n">
        <v>1021</v>
      </c>
      <c r="AJ110" s="13" t="n">
        <v>1023</v>
      </c>
      <c r="AK110" s="13" t="n">
        <v>1025</v>
      </c>
      <c r="AL110" s="13" t="n">
        <v>1027</v>
      </c>
      <c r="AM110" s="12" t="n">
        <v>-0.000819</v>
      </c>
    </row>
    <row r="111" ht="15" customHeight="1">
      <c r="A111" s="11" t="inlineStr">
        <is>
          <t>CKI000:cdd_SouthAtlantc</t>
        </is>
      </c>
      <c r="B111" s="14" t="inlineStr">
        <is>
          <t xml:space="preserve">   South Atlantic</t>
        </is>
      </c>
      <c r="C111" s="13" t="n">
        <v>2403</v>
      </c>
      <c r="D111" s="13" t="n">
        <v>2367</v>
      </c>
      <c r="E111" s="13" t="n">
        <v>2141</v>
      </c>
      <c r="F111" s="13" t="n">
        <v>2200</v>
      </c>
      <c r="G111" s="13" t="n">
        <v>2209</v>
      </c>
      <c r="H111" s="13" t="n">
        <v>2218</v>
      </c>
      <c r="I111" s="13" t="n">
        <v>2226</v>
      </c>
      <c r="J111" s="13" t="n">
        <v>2235</v>
      </c>
      <c r="K111" s="13" t="n">
        <v>2244</v>
      </c>
      <c r="L111" s="13" t="n">
        <v>2253</v>
      </c>
      <c r="M111" s="13" t="n">
        <v>2261</v>
      </c>
      <c r="N111" s="13" t="n">
        <v>2270</v>
      </c>
      <c r="O111" s="13" t="n">
        <v>2279</v>
      </c>
      <c r="P111" s="13" t="n">
        <v>2288</v>
      </c>
      <c r="Q111" s="13" t="n">
        <v>2297</v>
      </c>
      <c r="R111" s="13" t="n">
        <v>2305</v>
      </c>
      <c r="S111" s="13" t="n">
        <v>2314</v>
      </c>
      <c r="T111" s="13" t="n">
        <v>2323</v>
      </c>
      <c r="U111" s="13" t="n">
        <v>2332</v>
      </c>
      <c r="V111" s="13" t="n">
        <v>2341</v>
      </c>
      <c r="W111" s="13" t="n">
        <v>2350</v>
      </c>
      <c r="X111" s="13" t="n">
        <v>2359</v>
      </c>
      <c r="Y111" s="13" t="n">
        <v>2367</v>
      </c>
      <c r="Z111" s="13" t="n">
        <v>2376</v>
      </c>
      <c r="AA111" s="13" t="n">
        <v>2385</v>
      </c>
      <c r="AB111" s="13" t="n">
        <v>2394</v>
      </c>
      <c r="AC111" s="13" t="n">
        <v>2403</v>
      </c>
      <c r="AD111" s="13" t="n">
        <v>2411</v>
      </c>
      <c r="AE111" s="13" t="n">
        <v>2420</v>
      </c>
      <c r="AF111" s="13" t="n">
        <v>2429</v>
      </c>
      <c r="AG111" s="13" t="n">
        <v>2437</v>
      </c>
      <c r="AH111" s="13" t="n">
        <v>2446</v>
      </c>
      <c r="AI111" s="13" t="n">
        <v>2455</v>
      </c>
      <c r="AJ111" s="13" t="n">
        <v>2463</v>
      </c>
      <c r="AK111" s="13" t="n">
        <v>2472</v>
      </c>
      <c r="AL111" s="13" t="n">
        <v>2481</v>
      </c>
      <c r="AM111" s="12" t="n">
        <v>0.001384</v>
      </c>
    </row>
    <row r="112" ht="15" customHeight="1">
      <c r="A112" s="11" t="inlineStr">
        <is>
          <t>CKI000:cdd_EastSouthCen</t>
        </is>
      </c>
      <c r="B112" s="14" t="inlineStr">
        <is>
          <t xml:space="preserve">   East South Central</t>
        </is>
      </c>
      <c r="C112" s="13" t="n">
        <v>1723</v>
      </c>
      <c r="D112" s="13" t="n">
        <v>1902</v>
      </c>
      <c r="E112" s="13" t="n">
        <v>1677</v>
      </c>
      <c r="F112" s="13" t="n">
        <v>1685</v>
      </c>
      <c r="G112" s="13" t="n">
        <v>1690</v>
      </c>
      <c r="H112" s="13" t="n">
        <v>1695</v>
      </c>
      <c r="I112" s="13" t="n">
        <v>1699</v>
      </c>
      <c r="J112" s="13" t="n">
        <v>1704</v>
      </c>
      <c r="K112" s="13" t="n">
        <v>1709</v>
      </c>
      <c r="L112" s="13" t="n">
        <v>1714</v>
      </c>
      <c r="M112" s="13" t="n">
        <v>1719</v>
      </c>
      <c r="N112" s="13" t="n">
        <v>1724</v>
      </c>
      <c r="O112" s="13" t="n">
        <v>1729</v>
      </c>
      <c r="P112" s="13" t="n">
        <v>1734</v>
      </c>
      <c r="Q112" s="13" t="n">
        <v>1738</v>
      </c>
      <c r="R112" s="13" t="n">
        <v>1743</v>
      </c>
      <c r="S112" s="13" t="n">
        <v>1748</v>
      </c>
      <c r="T112" s="13" t="n">
        <v>1753</v>
      </c>
      <c r="U112" s="13" t="n">
        <v>1758</v>
      </c>
      <c r="V112" s="13" t="n">
        <v>1763</v>
      </c>
      <c r="W112" s="13" t="n">
        <v>1768</v>
      </c>
      <c r="X112" s="13" t="n">
        <v>1772</v>
      </c>
      <c r="Y112" s="13" t="n">
        <v>1777</v>
      </c>
      <c r="Z112" s="13" t="n">
        <v>1782</v>
      </c>
      <c r="AA112" s="13" t="n">
        <v>1787</v>
      </c>
      <c r="AB112" s="13" t="n">
        <v>1792</v>
      </c>
      <c r="AC112" s="13" t="n">
        <v>1797</v>
      </c>
      <c r="AD112" s="13" t="n">
        <v>1802</v>
      </c>
      <c r="AE112" s="13" t="n">
        <v>1806</v>
      </c>
      <c r="AF112" s="13" t="n">
        <v>1811</v>
      </c>
      <c r="AG112" s="13" t="n">
        <v>1816</v>
      </c>
      <c r="AH112" s="13" t="n">
        <v>1821</v>
      </c>
      <c r="AI112" s="13" t="n">
        <v>1826</v>
      </c>
      <c r="AJ112" s="13" t="n">
        <v>1830</v>
      </c>
      <c r="AK112" s="13" t="n">
        <v>1835</v>
      </c>
      <c r="AL112" s="13" t="n">
        <v>1840</v>
      </c>
      <c r="AM112" s="12" t="n">
        <v>-0.000974</v>
      </c>
    </row>
    <row r="113" ht="15" customHeight="1">
      <c r="A113" s="11" t="inlineStr">
        <is>
          <t>CKI000:cdd_WestSouthCen</t>
        </is>
      </c>
      <c r="B113" s="14" t="inlineStr">
        <is>
          <t xml:space="preserve">   West South Central</t>
        </is>
      </c>
      <c r="C113" s="13" t="n">
        <v>2745</v>
      </c>
      <c r="D113" s="13" t="n">
        <v>2769</v>
      </c>
      <c r="E113" s="13" t="n">
        <v>2671</v>
      </c>
      <c r="F113" s="13" t="n">
        <v>2798</v>
      </c>
      <c r="G113" s="13" t="n">
        <v>2812</v>
      </c>
      <c r="H113" s="13" t="n">
        <v>2827</v>
      </c>
      <c r="I113" s="13" t="n">
        <v>2841</v>
      </c>
      <c r="J113" s="13" t="n">
        <v>2855</v>
      </c>
      <c r="K113" s="13" t="n">
        <v>2870</v>
      </c>
      <c r="L113" s="13" t="n">
        <v>2884</v>
      </c>
      <c r="M113" s="13" t="n">
        <v>2898</v>
      </c>
      <c r="N113" s="13" t="n">
        <v>2913</v>
      </c>
      <c r="O113" s="13" t="n">
        <v>2927</v>
      </c>
      <c r="P113" s="13" t="n">
        <v>2941</v>
      </c>
      <c r="Q113" s="13" t="n">
        <v>2955</v>
      </c>
      <c r="R113" s="13" t="n">
        <v>2970</v>
      </c>
      <c r="S113" s="13" t="n">
        <v>2984</v>
      </c>
      <c r="T113" s="13" t="n">
        <v>2998</v>
      </c>
      <c r="U113" s="13" t="n">
        <v>3013</v>
      </c>
      <c r="V113" s="13" t="n">
        <v>3027</v>
      </c>
      <c r="W113" s="13" t="n">
        <v>3041</v>
      </c>
      <c r="X113" s="13" t="n">
        <v>3056</v>
      </c>
      <c r="Y113" s="13" t="n">
        <v>3070</v>
      </c>
      <c r="Z113" s="13" t="n">
        <v>3084</v>
      </c>
      <c r="AA113" s="13" t="n">
        <v>3099</v>
      </c>
      <c r="AB113" s="13" t="n">
        <v>3113</v>
      </c>
      <c r="AC113" s="13" t="n">
        <v>3127</v>
      </c>
      <c r="AD113" s="13" t="n">
        <v>3142</v>
      </c>
      <c r="AE113" s="13" t="n">
        <v>3156</v>
      </c>
      <c r="AF113" s="13" t="n">
        <v>3170</v>
      </c>
      <c r="AG113" s="13" t="n">
        <v>3185</v>
      </c>
      <c r="AH113" s="13" t="n">
        <v>3199</v>
      </c>
      <c r="AI113" s="13" t="n">
        <v>3213</v>
      </c>
      <c r="AJ113" s="13" t="n">
        <v>3228</v>
      </c>
      <c r="AK113" s="13" t="n">
        <v>3242</v>
      </c>
      <c r="AL113" s="13" t="n">
        <v>3257</v>
      </c>
      <c r="AM113" s="12" t="n">
        <v>0.004786</v>
      </c>
    </row>
    <row r="114" ht="15" customHeight="1">
      <c r="A114" s="11" t="inlineStr">
        <is>
          <t>CKI000:cdd_Mountain</t>
        </is>
      </c>
      <c r="B114" s="14" t="inlineStr">
        <is>
          <t xml:space="preserve">   Mountain</t>
        </is>
      </c>
      <c r="C114" s="13" t="n">
        <v>1480</v>
      </c>
      <c r="D114" s="13" t="n">
        <v>1477</v>
      </c>
      <c r="E114" s="13" t="n">
        <v>1523</v>
      </c>
      <c r="F114" s="13" t="n">
        <v>1523</v>
      </c>
      <c r="G114" s="13" t="n">
        <v>1532</v>
      </c>
      <c r="H114" s="13" t="n">
        <v>1540</v>
      </c>
      <c r="I114" s="13" t="n">
        <v>1550</v>
      </c>
      <c r="J114" s="13" t="n">
        <v>1559</v>
      </c>
      <c r="K114" s="13" t="n">
        <v>1568</v>
      </c>
      <c r="L114" s="13" t="n">
        <v>1577</v>
      </c>
      <c r="M114" s="13" t="n">
        <v>1587</v>
      </c>
      <c r="N114" s="13" t="n">
        <v>1596</v>
      </c>
      <c r="O114" s="13" t="n">
        <v>1606</v>
      </c>
      <c r="P114" s="13" t="n">
        <v>1615</v>
      </c>
      <c r="Q114" s="13" t="n">
        <v>1625</v>
      </c>
      <c r="R114" s="13" t="n">
        <v>1635</v>
      </c>
      <c r="S114" s="13" t="n">
        <v>1645</v>
      </c>
      <c r="T114" s="13" t="n">
        <v>1655</v>
      </c>
      <c r="U114" s="13" t="n">
        <v>1665</v>
      </c>
      <c r="V114" s="13" t="n">
        <v>1676</v>
      </c>
      <c r="W114" s="13" t="n">
        <v>1686</v>
      </c>
      <c r="X114" s="13" t="n">
        <v>1697</v>
      </c>
      <c r="Y114" s="13" t="n">
        <v>1707</v>
      </c>
      <c r="Z114" s="13" t="n">
        <v>1718</v>
      </c>
      <c r="AA114" s="13" t="n">
        <v>1728</v>
      </c>
      <c r="AB114" s="13" t="n">
        <v>1739</v>
      </c>
      <c r="AC114" s="13" t="n">
        <v>1749</v>
      </c>
      <c r="AD114" s="13" t="n">
        <v>1760</v>
      </c>
      <c r="AE114" s="13" t="n">
        <v>1771</v>
      </c>
      <c r="AF114" s="13" t="n">
        <v>1781</v>
      </c>
      <c r="AG114" s="13" t="n">
        <v>1792</v>
      </c>
      <c r="AH114" s="13" t="n">
        <v>1803</v>
      </c>
      <c r="AI114" s="13" t="n">
        <v>1813</v>
      </c>
      <c r="AJ114" s="13" t="n">
        <v>1824</v>
      </c>
      <c r="AK114" s="13" t="n">
        <v>1835</v>
      </c>
      <c r="AL114" s="13" t="n">
        <v>1845</v>
      </c>
      <c r="AM114" s="12" t="n">
        <v>0.006565</v>
      </c>
    </row>
    <row r="115" ht="15" customHeight="1">
      <c r="A115" s="11" t="inlineStr">
        <is>
          <t>CKI000:cdd_Pacific</t>
        </is>
      </c>
      <c r="B115" s="14" t="inlineStr">
        <is>
          <t xml:space="preserve">   Pacific</t>
        </is>
      </c>
      <c r="C115" s="13" t="n">
        <v>1074</v>
      </c>
      <c r="D115" s="13" t="n">
        <v>926</v>
      </c>
      <c r="E115" s="13" t="n">
        <v>873</v>
      </c>
      <c r="F115" s="13" t="n">
        <v>965</v>
      </c>
      <c r="G115" s="13" t="n">
        <v>974</v>
      </c>
      <c r="H115" s="13" t="n">
        <v>983</v>
      </c>
      <c r="I115" s="13" t="n">
        <v>992</v>
      </c>
      <c r="J115" s="13" t="n">
        <v>1001</v>
      </c>
      <c r="K115" s="13" t="n">
        <v>1010</v>
      </c>
      <c r="L115" s="13" t="n">
        <v>1019</v>
      </c>
      <c r="M115" s="13" t="n">
        <v>1027</v>
      </c>
      <c r="N115" s="13" t="n">
        <v>1036</v>
      </c>
      <c r="O115" s="13" t="n">
        <v>1045</v>
      </c>
      <c r="P115" s="13" t="n">
        <v>1054</v>
      </c>
      <c r="Q115" s="13" t="n">
        <v>1063</v>
      </c>
      <c r="R115" s="13" t="n">
        <v>1071</v>
      </c>
      <c r="S115" s="13" t="n">
        <v>1080</v>
      </c>
      <c r="T115" s="13" t="n">
        <v>1089</v>
      </c>
      <c r="U115" s="13" t="n">
        <v>1098</v>
      </c>
      <c r="V115" s="13" t="n">
        <v>1106</v>
      </c>
      <c r="W115" s="13" t="n">
        <v>1115</v>
      </c>
      <c r="X115" s="13" t="n">
        <v>1124</v>
      </c>
      <c r="Y115" s="13" t="n">
        <v>1132</v>
      </c>
      <c r="Z115" s="13" t="n">
        <v>1141</v>
      </c>
      <c r="AA115" s="13" t="n">
        <v>1150</v>
      </c>
      <c r="AB115" s="13" t="n">
        <v>1158</v>
      </c>
      <c r="AC115" s="13" t="n">
        <v>1167</v>
      </c>
      <c r="AD115" s="13" t="n">
        <v>1176</v>
      </c>
      <c r="AE115" s="13" t="n">
        <v>1184</v>
      </c>
      <c r="AF115" s="13" t="n">
        <v>1193</v>
      </c>
      <c r="AG115" s="13" t="n">
        <v>1202</v>
      </c>
      <c r="AH115" s="13" t="n">
        <v>1210</v>
      </c>
      <c r="AI115" s="13" t="n">
        <v>1219</v>
      </c>
      <c r="AJ115" s="13" t="n">
        <v>1227</v>
      </c>
      <c r="AK115" s="13" t="n">
        <v>1236</v>
      </c>
      <c r="AL115" s="13" t="n">
        <v>1245</v>
      </c>
      <c r="AM115" s="12" t="n">
        <v>0.008744</v>
      </c>
    </row>
    <row r="116" ht="15" customHeight="1">
      <c r="A116" s="11" t="inlineStr">
        <is>
          <t>CKI000:cdd_UnitedStates</t>
        </is>
      </c>
      <c r="B116" s="10" t="inlineStr">
        <is>
          <t xml:space="preserve">      United States</t>
        </is>
      </c>
      <c r="C116" s="9" t="n">
        <v>1489.03833</v>
      </c>
      <c r="D116" s="9" t="n">
        <v>1528.476929</v>
      </c>
      <c r="E116" s="9" t="n">
        <v>1403.334595</v>
      </c>
      <c r="F116" s="9" t="n">
        <v>1449.539917</v>
      </c>
      <c r="G116" s="9" t="n">
        <v>1459.570557</v>
      </c>
      <c r="H116" s="9" t="n">
        <v>1469.341919</v>
      </c>
      <c r="I116" s="9" t="n">
        <v>1479.024048</v>
      </c>
      <c r="J116" s="9" t="n">
        <v>1488.880127</v>
      </c>
      <c r="K116" s="9" t="n">
        <v>1498.99646</v>
      </c>
      <c r="L116" s="9" t="n">
        <v>1508.877441</v>
      </c>
      <c r="M116" s="9" t="n">
        <v>1518.466309</v>
      </c>
      <c r="N116" s="9" t="n">
        <v>1528.460327</v>
      </c>
      <c r="O116" s="9" t="n">
        <v>1538.516846</v>
      </c>
      <c r="P116" s="9" t="n">
        <v>1548.451294</v>
      </c>
      <c r="Q116" s="9" t="n">
        <v>1558.54248</v>
      </c>
      <c r="R116" s="9" t="n">
        <v>1568.3479</v>
      </c>
      <c r="S116" s="9" t="n">
        <v>1578.361816</v>
      </c>
      <c r="T116" s="9" t="n">
        <v>1588.459961</v>
      </c>
      <c r="U116" s="9" t="n">
        <v>1598.82959</v>
      </c>
      <c r="V116" s="9" t="n">
        <v>1608.890137</v>
      </c>
      <c r="W116" s="9" t="n">
        <v>1619.177368</v>
      </c>
      <c r="X116" s="9" t="n">
        <v>1629.497803</v>
      </c>
      <c r="Y116" s="9" t="n">
        <v>1639.346069</v>
      </c>
      <c r="Z116" s="9" t="n">
        <v>1649.663696</v>
      </c>
      <c r="AA116" s="9" t="n">
        <v>1660.075317</v>
      </c>
      <c r="AB116" s="9" t="n">
        <v>1670.406738</v>
      </c>
      <c r="AC116" s="9" t="n">
        <v>1680.733521</v>
      </c>
      <c r="AD116" s="9" t="n">
        <v>1691.206055</v>
      </c>
      <c r="AE116" s="9" t="n">
        <v>1701.408569</v>
      </c>
      <c r="AF116" s="9" t="n">
        <v>1711.813354</v>
      </c>
      <c r="AG116" s="9" t="n">
        <v>1722.235718</v>
      </c>
      <c r="AH116" s="9" t="n">
        <v>1732.598267</v>
      </c>
      <c r="AI116" s="9" t="n">
        <v>1743.162842</v>
      </c>
      <c r="AJ116" s="9" t="n">
        <v>1753.391846</v>
      </c>
      <c r="AK116" s="9" t="n">
        <v>1763.827515</v>
      </c>
      <c r="AL116" s="9" t="n">
        <v>1774.346069</v>
      </c>
      <c r="AM116" s="8" t="n">
        <v>0.004397</v>
      </c>
    </row>
    <row r="117" ht="15" customHeight="1" thickBot="1"/>
    <row r="118" ht="15" customHeight="1">
      <c r="B118" s="39" t="inlineStr">
        <is>
          <t xml:space="preserve">   1/ Includes fuel consumption for district services.</t>
        </is>
      </c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</row>
    <row r="119" ht="15" customHeight="1">
      <c r="B119" s="7" t="inlineStr">
        <is>
          <t xml:space="preserve">   2/ Includes (but is not limited to) miscellaneous uses such as transformers, medical imaging and other medical equipment, elevators,</t>
        </is>
      </c>
    </row>
    <row r="120" ht="15" customHeight="1">
      <c r="B120" s="7" t="inlineStr">
        <is>
          <t>escalators, off-road electric vehicles, laboratory fume hoods, laundry equipment, coffee brewers, and water services.</t>
        </is>
      </c>
    </row>
    <row r="121" ht="15" customHeight="1">
      <c r="B121" s="7" t="inlineStr">
        <is>
          <t xml:space="preserve">   3/ Includes miscellaneous uses, such as emergency generators, combined heat and power in commercial buildings, and manufacturing</t>
        </is>
      </c>
    </row>
    <row r="122" ht="15" customHeight="1">
      <c r="B122" s="7" t="inlineStr">
        <is>
          <t>performed in commercial buildings.</t>
        </is>
      </c>
    </row>
    <row r="123" ht="15" customHeight="1">
      <c r="B123" s="7" t="inlineStr">
        <is>
          <t xml:space="preserve">   4/ Includes miscellaneous uses, such as cooking, emergency generators, and combined heat and power in commercial buildings.</t>
        </is>
      </c>
    </row>
    <row r="124" ht="15" customHeight="1">
      <c r="B124" s="7" t="inlineStr">
        <is>
          <t xml:space="preserve">   5/ Includes residual fuel oil, propane, coal, motor gasoline, and kerosene.</t>
        </is>
      </c>
    </row>
    <row r="125" ht="15" customHeight="1">
      <c r="B125" s="7" t="inlineStr">
        <is>
          <t xml:space="preserve">   6/ Includes (but is not limited to) miscellaneous uses such as transformers, medical imaging and other medical equipment, elevators,</t>
        </is>
      </c>
    </row>
    <row r="126" ht="15" customHeight="1">
      <c r="B126" s="7" t="inlineStr">
        <is>
          <t>escalators, off-road electric vehicles, laboratory fume hoods, laundry equipment, coffee brewers, water services, emergency generators,</t>
        </is>
      </c>
    </row>
    <row r="127" ht="15" customHeight="1">
      <c r="B127" s="7" t="inlineStr">
        <is>
          <t>combined heat and power in commercial buildings, manufacturing performed in commercial buildings, and cooking (distillate), plus</t>
        </is>
      </c>
    </row>
    <row r="128" ht="15" customHeight="1">
      <c r="B128" s="7" t="inlineStr">
        <is>
          <t>residual fuel oil, propane, coal, motor gasoline, kerosene, and marketed renewable fuels (biomass).</t>
        </is>
      </c>
    </row>
    <row r="129" ht="15" customHeight="1">
      <c r="B129" s="7" t="inlineStr">
        <is>
          <t xml:space="preserve">   7/ Consumption determined by using the fossil fuel equivalent of 9,510 Btu per kilowatthour.</t>
        </is>
      </c>
    </row>
    <row r="130" ht="15" customHeight="1">
      <c r="B130" s="7" t="inlineStr">
        <is>
          <t xml:space="preserve">   Btu = British thermal unit.</t>
        </is>
      </c>
    </row>
    <row r="131" ht="15" customHeight="1">
      <c r="B131" s="7" t="inlineStr">
        <is>
          <t xml:space="preserve">   PC = Personal computer.</t>
        </is>
      </c>
    </row>
    <row r="132" ht="15" customHeight="1">
      <c r="B132" s="7" t="inlineStr">
        <is>
          <t xml:space="preserve">   - - = Not applicable.</t>
        </is>
      </c>
    </row>
    <row r="133" ht="15" customHeight="1">
      <c r="B133" s="7" t="inlineStr">
        <is>
          <t xml:space="preserve">   Note:  Totals may not equal sum of components due to independent rounding.  Data for 2015</t>
        </is>
      </c>
    </row>
    <row r="134" ht="15" customHeight="1">
      <c r="B134" s="7" t="inlineStr">
        <is>
          <t>are model results and may differ from official EIA data reports.</t>
        </is>
      </c>
    </row>
    <row r="135" ht="15" customHeight="1">
      <c r="B135" s="7" t="inlineStr">
        <is>
          <t xml:space="preserve">   Source:  2015 consumption based on: U.S. Energy Information Administration (EIA), Monthly Energy Review,</t>
        </is>
      </c>
    </row>
    <row r="136" ht="15" customHeight="1">
      <c r="B136" s="7" t="inlineStr">
        <is>
          <t>October 2016.  2015 degree days based on state-level data from the National Oceanic and Atmospheric</t>
        </is>
      </c>
    </row>
    <row r="137" ht="15" customHeight="1">
      <c r="B137" s="7" t="inlineStr">
        <is>
          <t>Administration's Climatic Data Center and Climate Prediction Center.</t>
        </is>
      </c>
    </row>
    <row r="138" ht="15" customHeight="1">
      <c r="B138" s="7" t="inlineStr">
        <is>
          <t>2016:  EIA, Short-Term Energy Outlook, October 2016 and EIA, AEO2017 National Energy Modeling System run ref2017.d120816a.</t>
        </is>
      </c>
    </row>
    <row r="139" ht="15" customHeight="1">
      <c r="B139" s="7" t="inlineStr">
        <is>
          <t>Projections:  EIA, AEO2017 National Energy Modeling System run ref2017.d120816a.</t>
        </is>
      </c>
    </row>
  </sheetData>
  <mergeCells count="1">
    <mergeCell ref="B118:AM118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67"/>
  <sheetViews>
    <sheetView topLeftCell="A26" workbookViewId="0">
      <selection activeCell="B55" sqref="B55:B59"/>
    </sheetView>
  </sheetViews>
  <sheetFormatPr baseColWidth="8" defaultColWidth="8.85546875" defaultRowHeight="15"/>
  <cols>
    <col width="21" customWidth="1" min="1" max="1"/>
    <col width="13.140625" customWidth="1" min="2" max="2"/>
    <col width="11" customWidth="1" min="3" max="3"/>
  </cols>
  <sheetData>
    <row r="1">
      <c r="A1" s="30" t="inlineStr">
        <is>
          <t>Fraction of Commercial Floorspace that is New</t>
        </is>
      </c>
      <c r="B1" s="31" t="n"/>
      <c r="C1" s="31" t="n"/>
    </row>
    <row r="2">
      <c r="B2" t="n">
        <v>2015</v>
      </c>
      <c r="C2" t="n">
        <v>2016</v>
      </c>
      <c r="D2" t="n">
        <v>2017</v>
      </c>
      <c r="E2" t="n">
        <v>2018</v>
      </c>
      <c r="F2" t="n">
        <v>2019</v>
      </c>
      <c r="G2" t="n">
        <v>2020</v>
      </c>
      <c r="H2" t="n">
        <v>2021</v>
      </c>
      <c r="I2" t="n">
        <v>2022</v>
      </c>
      <c r="J2" t="n">
        <v>2023</v>
      </c>
      <c r="K2" t="n">
        <v>2024</v>
      </c>
      <c r="L2" t="n">
        <v>2025</v>
      </c>
      <c r="M2" t="n">
        <v>2026</v>
      </c>
      <c r="N2" t="n">
        <v>2027</v>
      </c>
      <c r="O2" t="n">
        <v>2028</v>
      </c>
      <c r="P2" t="n">
        <v>2029</v>
      </c>
      <c r="Q2" t="n">
        <v>2030</v>
      </c>
      <c r="R2" t="n">
        <v>2031</v>
      </c>
      <c r="S2" t="n">
        <v>2032</v>
      </c>
      <c r="T2" t="n">
        <v>2033</v>
      </c>
      <c r="U2" t="n">
        <v>2034</v>
      </c>
      <c r="V2" t="n">
        <v>2035</v>
      </c>
      <c r="W2" t="n">
        <v>2036</v>
      </c>
      <c r="X2" t="n">
        <v>2037</v>
      </c>
      <c r="Y2" t="n">
        <v>2038</v>
      </c>
      <c r="Z2" t="n">
        <v>2039</v>
      </c>
      <c r="AA2" t="n">
        <v>2040</v>
      </c>
      <c r="AB2" t="n">
        <v>2041</v>
      </c>
      <c r="AC2" t="n">
        <v>2042</v>
      </c>
      <c r="AD2" t="n">
        <v>2043</v>
      </c>
      <c r="AE2" t="n">
        <v>2044</v>
      </c>
      <c r="AF2" t="n">
        <v>2045</v>
      </c>
      <c r="AG2" t="n">
        <v>2046</v>
      </c>
      <c r="AH2" t="n">
        <v>2047</v>
      </c>
      <c r="AI2" t="n">
        <v>2048</v>
      </c>
      <c r="AJ2" t="n">
        <v>2049</v>
      </c>
      <c r="AK2" t="n">
        <v>2050</v>
      </c>
    </row>
    <row r="3">
      <c r="A3" t="inlineStr">
        <is>
          <t>Commercial floorspace</t>
        </is>
      </c>
      <c r="B3" s="24">
        <f>'AEO T5'!C19/'AEO T5'!C20</f>
        <v/>
      </c>
      <c r="C3" s="24">
        <f>'AEO T5'!D19/'AEO T5'!D20</f>
        <v/>
      </c>
      <c r="D3" s="24">
        <f>'AEO T5'!E19/'AEO T5'!E20</f>
        <v/>
      </c>
      <c r="E3" s="24">
        <f>'AEO T5'!F19/'AEO T5'!F20</f>
        <v/>
      </c>
      <c r="F3" s="24">
        <f>'AEO T5'!G19/'AEO T5'!G20</f>
        <v/>
      </c>
      <c r="G3" s="24">
        <f>'AEO T5'!H19/'AEO T5'!H20</f>
        <v/>
      </c>
      <c r="H3" s="24">
        <f>'AEO T5'!I19/'AEO T5'!I20</f>
        <v/>
      </c>
      <c r="I3" s="24">
        <f>'AEO T5'!J19/'AEO T5'!J20</f>
        <v/>
      </c>
      <c r="J3" s="24">
        <f>'AEO T5'!K19/'AEO T5'!K20</f>
        <v/>
      </c>
      <c r="K3" s="24">
        <f>'AEO T5'!L19/'AEO T5'!L20</f>
        <v/>
      </c>
      <c r="L3" s="24">
        <f>'AEO T5'!M19/'AEO T5'!M20</f>
        <v/>
      </c>
      <c r="M3" s="24">
        <f>'AEO T5'!N19/'AEO T5'!N20</f>
        <v/>
      </c>
      <c r="N3" s="24">
        <f>'AEO T5'!O19/'AEO T5'!O20</f>
        <v/>
      </c>
      <c r="O3" s="24">
        <f>'AEO T5'!P19/'AEO T5'!P20</f>
        <v/>
      </c>
      <c r="P3" s="24">
        <f>'AEO T5'!Q19/'AEO T5'!Q20</f>
        <v/>
      </c>
      <c r="Q3" s="24">
        <f>'AEO T5'!R19/'AEO T5'!R20</f>
        <v/>
      </c>
      <c r="R3" s="24">
        <f>'AEO T5'!S19/'AEO T5'!S20</f>
        <v/>
      </c>
      <c r="S3" s="24">
        <f>'AEO T5'!T19/'AEO T5'!T20</f>
        <v/>
      </c>
      <c r="T3" s="24">
        <f>'AEO T5'!U19/'AEO T5'!U20</f>
        <v/>
      </c>
      <c r="U3" s="24">
        <f>'AEO T5'!V19/'AEO T5'!V20</f>
        <v/>
      </c>
      <c r="V3" s="24">
        <f>'AEO T5'!W19/'AEO T5'!W20</f>
        <v/>
      </c>
      <c r="W3" s="24">
        <f>'AEO T5'!X19/'AEO T5'!X20</f>
        <v/>
      </c>
      <c r="X3" s="24">
        <f>'AEO T5'!Y19/'AEO T5'!Y20</f>
        <v/>
      </c>
      <c r="Y3" s="24">
        <f>'AEO T5'!Z19/'AEO T5'!Z20</f>
        <v/>
      </c>
      <c r="Z3" s="24">
        <f>'AEO T5'!AA19/'AEO T5'!AA20</f>
        <v/>
      </c>
      <c r="AA3" s="24">
        <f>'AEO T5'!AB19/'AEO T5'!AB20</f>
        <v/>
      </c>
      <c r="AB3" s="24">
        <f>'AEO T5'!AC19/'AEO T5'!AC20</f>
        <v/>
      </c>
      <c r="AC3" s="24">
        <f>'AEO T5'!AD19/'AEO T5'!AD20</f>
        <v/>
      </c>
      <c r="AD3" s="24">
        <f>'AEO T5'!AE19/'AEO T5'!AE20</f>
        <v/>
      </c>
      <c r="AE3" s="24">
        <f>'AEO T5'!AF19/'AEO T5'!AF20</f>
        <v/>
      </c>
      <c r="AF3" s="24">
        <f>'AEO T5'!AG19/'AEO T5'!AG20</f>
        <v/>
      </c>
      <c r="AG3" s="24">
        <f>'AEO T5'!AH19/'AEO T5'!AH20</f>
        <v/>
      </c>
      <c r="AH3" s="24">
        <f>'AEO T5'!AI19/'AEO T5'!AI20</f>
        <v/>
      </c>
      <c r="AI3" s="24">
        <f>'AEO T5'!AJ19/'AEO T5'!AJ20</f>
        <v/>
      </c>
      <c r="AJ3" s="24">
        <f>'AEO T5'!AK19/'AEO T5'!AK20</f>
        <v/>
      </c>
      <c r="AK3" s="24">
        <f>'AEO T5'!AL19/'AEO T5'!AL20</f>
        <v/>
      </c>
    </row>
    <row r="5">
      <c r="A5" t="inlineStr">
        <is>
          <t>Average</t>
        </is>
      </c>
      <c r="B5" s="26">
        <f>AVERAGE(B3:AK3)</f>
        <v/>
      </c>
    </row>
    <row r="8">
      <c r="A8" s="30" t="inlineStr">
        <is>
          <t>Fraction of Residential Homes that are New</t>
        </is>
      </c>
      <c r="B8" s="31" t="n"/>
      <c r="C8" s="31" t="n"/>
    </row>
    <row r="10">
      <c r="A10" t="inlineStr">
        <is>
          <t>Housing evolution rates from EIA NEMS documentation:</t>
        </is>
      </c>
    </row>
    <row r="12">
      <c r="B12" s="27" t="inlineStr">
        <is>
          <t>HDR value</t>
        </is>
      </c>
      <c r="C12" t="inlineStr">
        <is>
          <t>(Fraction of homes that survive each year)</t>
        </is>
      </c>
    </row>
    <row r="13">
      <c r="A13" t="inlineStr">
        <is>
          <t>Single-family homes</t>
        </is>
      </c>
      <c r="B13" t="n">
        <v>0.997</v>
      </c>
    </row>
    <row r="14">
      <c r="A14" t="inlineStr">
        <is>
          <t>Multifamily homes</t>
        </is>
      </c>
      <c r="B14" t="n">
        <v>0.995</v>
      </c>
    </row>
    <row r="15">
      <c r="A15" t="inlineStr">
        <is>
          <t>Mobile homes</t>
        </is>
      </c>
      <c r="B15" t="n">
        <v>0.966</v>
      </c>
    </row>
    <row r="17">
      <c r="A17" s="1" t="inlineStr">
        <is>
          <t>Surviving homes</t>
        </is>
      </c>
    </row>
    <row r="18">
      <c r="B18" t="n">
        <v>2015</v>
      </c>
      <c r="C18" t="n">
        <v>2016</v>
      </c>
      <c r="D18" t="n">
        <v>2017</v>
      </c>
      <c r="E18" t="n">
        <v>2018</v>
      </c>
      <c r="F18" t="n">
        <v>2019</v>
      </c>
      <c r="G18" t="n">
        <v>2020</v>
      </c>
      <c r="H18" t="n">
        <v>2021</v>
      </c>
      <c r="I18" t="n">
        <v>2022</v>
      </c>
      <c r="J18" t="n">
        <v>2023</v>
      </c>
      <c r="K18" t="n">
        <v>2024</v>
      </c>
      <c r="L18" t="n">
        <v>2025</v>
      </c>
      <c r="M18" t="n">
        <v>2026</v>
      </c>
      <c r="N18" t="n">
        <v>2027</v>
      </c>
      <c r="O18" t="n">
        <v>2028</v>
      </c>
      <c r="P18" t="n">
        <v>2029</v>
      </c>
      <c r="Q18" t="n">
        <v>2030</v>
      </c>
      <c r="R18" t="n">
        <v>2031</v>
      </c>
      <c r="S18" t="n">
        <v>2032</v>
      </c>
      <c r="T18" t="n">
        <v>2033</v>
      </c>
      <c r="U18" t="n">
        <v>2034</v>
      </c>
      <c r="V18" t="n">
        <v>2035</v>
      </c>
      <c r="W18" t="n">
        <v>2036</v>
      </c>
      <c r="X18" t="n">
        <v>2037</v>
      </c>
      <c r="Y18" t="n">
        <v>2038</v>
      </c>
      <c r="Z18" t="n">
        <v>2039</v>
      </c>
      <c r="AA18" t="n">
        <v>2040</v>
      </c>
      <c r="AB18" t="n">
        <v>2041</v>
      </c>
      <c r="AC18" t="n">
        <v>2042</v>
      </c>
      <c r="AD18" t="n">
        <v>2043</v>
      </c>
      <c r="AE18" t="n">
        <v>2044</v>
      </c>
      <c r="AF18" t="n">
        <v>2045</v>
      </c>
      <c r="AG18" t="n">
        <v>2046</v>
      </c>
      <c r="AH18" t="n">
        <v>2047</v>
      </c>
      <c r="AI18" t="n">
        <v>2048</v>
      </c>
      <c r="AJ18" t="n">
        <v>2049</v>
      </c>
      <c r="AK18" t="n">
        <v>2050</v>
      </c>
    </row>
    <row r="19">
      <c r="A19" t="inlineStr">
        <is>
          <t>Single-family homes</t>
        </is>
      </c>
      <c r="C19" s="29">
        <f>'AEO T4'!C17*$B13</f>
        <v/>
      </c>
      <c r="D19" s="29">
        <f>'AEO T4'!D17*$B13</f>
        <v/>
      </c>
      <c r="E19" s="29">
        <f>'AEO T4'!E17*$B13</f>
        <v/>
      </c>
      <c r="F19" s="29">
        <f>'AEO T4'!F17*$B13</f>
        <v/>
      </c>
      <c r="G19" s="29">
        <f>'AEO T4'!G17*$B13</f>
        <v/>
      </c>
      <c r="H19" s="29">
        <f>'AEO T4'!H17*$B13</f>
        <v/>
      </c>
      <c r="I19" s="29">
        <f>'AEO T4'!I17*$B13</f>
        <v/>
      </c>
      <c r="J19" s="29">
        <f>'AEO T4'!J17*$B13</f>
        <v/>
      </c>
      <c r="K19" s="29">
        <f>'AEO T4'!K17*$B13</f>
        <v/>
      </c>
      <c r="L19" s="29">
        <f>'AEO T4'!L17*$B13</f>
        <v/>
      </c>
      <c r="M19" s="29">
        <f>'AEO T4'!M17*$B13</f>
        <v/>
      </c>
      <c r="N19" s="29">
        <f>'AEO T4'!N17*$B13</f>
        <v/>
      </c>
      <c r="O19" s="29">
        <f>'AEO T4'!O17*$B13</f>
        <v/>
      </c>
      <c r="P19" s="29">
        <f>'AEO T4'!P17*$B13</f>
        <v/>
      </c>
      <c r="Q19" s="29">
        <f>'AEO T4'!Q17*$B13</f>
        <v/>
      </c>
      <c r="R19" s="29">
        <f>'AEO T4'!R17*$B13</f>
        <v/>
      </c>
      <c r="S19" s="29">
        <f>'AEO T4'!S17*$B13</f>
        <v/>
      </c>
      <c r="T19" s="29">
        <f>'AEO T4'!T17*$B13</f>
        <v/>
      </c>
      <c r="U19" s="29">
        <f>'AEO T4'!U17*$B13</f>
        <v/>
      </c>
      <c r="V19" s="29">
        <f>'AEO T4'!V17*$B13</f>
        <v/>
      </c>
      <c r="W19" s="29">
        <f>'AEO T4'!W17*$B13</f>
        <v/>
      </c>
      <c r="X19" s="29">
        <f>'AEO T4'!X17*$B13</f>
        <v/>
      </c>
      <c r="Y19" s="29">
        <f>'AEO T4'!Y17*$B13</f>
        <v/>
      </c>
      <c r="Z19" s="29">
        <f>'AEO T4'!Z17*$B13</f>
        <v/>
      </c>
      <c r="AA19" s="29">
        <f>'AEO T4'!AA17*$B13</f>
        <v/>
      </c>
      <c r="AB19" s="29">
        <f>'AEO T4'!AB17*$B13</f>
        <v/>
      </c>
      <c r="AC19" s="29">
        <f>'AEO T4'!AC17*$B13</f>
        <v/>
      </c>
      <c r="AD19" s="29">
        <f>'AEO T4'!AD17*$B13</f>
        <v/>
      </c>
      <c r="AE19" s="29">
        <f>'AEO T4'!AE17*$B13</f>
        <v/>
      </c>
      <c r="AF19" s="29">
        <f>'AEO T4'!AF17*$B13</f>
        <v/>
      </c>
      <c r="AG19" s="29">
        <f>'AEO T4'!AG17*$B13</f>
        <v/>
      </c>
      <c r="AH19" s="29">
        <f>'AEO T4'!AH17*$B13</f>
        <v/>
      </c>
      <c r="AI19" s="29">
        <f>'AEO T4'!AI17*$B13</f>
        <v/>
      </c>
      <c r="AJ19" s="29">
        <f>'AEO T4'!AJ17*$B13</f>
        <v/>
      </c>
      <c r="AK19" s="29">
        <f>'AEO T4'!AK17*$B13</f>
        <v/>
      </c>
    </row>
    <row r="20">
      <c r="A20" t="inlineStr">
        <is>
          <t>Multifamily homes</t>
        </is>
      </c>
      <c r="C20" s="29">
        <f>'AEO T4'!C18*$B14</f>
        <v/>
      </c>
      <c r="D20" s="29">
        <f>'AEO T4'!D18*$B14</f>
        <v/>
      </c>
      <c r="E20" s="29">
        <f>'AEO T4'!E18*$B14</f>
        <v/>
      </c>
      <c r="F20" s="29">
        <f>'AEO T4'!F18*$B14</f>
        <v/>
      </c>
      <c r="G20" s="29">
        <f>'AEO T4'!G18*$B14</f>
        <v/>
      </c>
      <c r="H20" s="29">
        <f>'AEO T4'!H18*$B14</f>
        <v/>
      </c>
      <c r="I20" s="29">
        <f>'AEO T4'!I18*$B14</f>
        <v/>
      </c>
      <c r="J20" s="29">
        <f>'AEO T4'!J18*$B14</f>
        <v/>
      </c>
      <c r="K20" s="29">
        <f>'AEO T4'!K18*$B14</f>
        <v/>
      </c>
      <c r="L20" s="29">
        <f>'AEO T4'!L18*$B14</f>
        <v/>
      </c>
      <c r="M20" s="29">
        <f>'AEO T4'!M18*$B14</f>
        <v/>
      </c>
      <c r="N20" s="29">
        <f>'AEO T4'!N18*$B14</f>
        <v/>
      </c>
      <c r="O20" s="29">
        <f>'AEO T4'!O18*$B14</f>
        <v/>
      </c>
      <c r="P20" s="29">
        <f>'AEO T4'!P18*$B14</f>
        <v/>
      </c>
      <c r="Q20" s="29">
        <f>'AEO T4'!Q18*$B14</f>
        <v/>
      </c>
      <c r="R20" s="29">
        <f>'AEO T4'!R18*$B14</f>
        <v/>
      </c>
      <c r="S20" s="29">
        <f>'AEO T4'!S18*$B14</f>
        <v/>
      </c>
      <c r="T20" s="29">
        <f>'AEO T4'!T18*$B14</f>
        <v/>
      </c>
      <c r="U20" s="29">
        <f>'AEO T4'!U18*$B14</f>
        <v/>
      </c>
      <c r="V20" s="29">
        <f>'AEO T4'!V18*$B14</f>
        <v/>
      </c>
      <c r="W20" s="29">
        <f>'AEO T4'!W18*$B14</f>
        <v/>
      </c>
      <c r="X20" s="29">
        <f>'AEO T4'!X18*$B14</f>
        <v/>
      </c>
      <c r="Y20" s="29">
        <f>'AEO T4'!Y18*$B14</f>
        <v/>
      </c>
      <c r="Z20" s="29">
        <f>'AEO T4'!Z18*$B14</f>
        <v/>
      </c>
      <c r="AA20" s="29">
        <f>'AEO T4'!AA18*$B14</f>
        <v/>
      </c>
      <c r="AB20" s="29">
        <f>'AEO T4'!AB18*$B14</f>
        <v/>
      </c>
      <c r="AC20" s="29">
        <f>'AEO T4'!AC18*$B14</f>
        <v/>
      </c>
      <c r="AD20" s="29">
        <f>'AEO T4'!AD18*$B14</f>
        <v/>
      </c>
      <c r="AE20" s="29">
        <f>'AEO T4'!AE18*$B14</f>
        <v/>
      </c>
      <c r="AF20" s="29">
        <f>'AEO T4'!AF18*$B14</f>
        <v/>
      </c>
      <c r="AG20" s="29">
        <f>'AEO T4'!AG18*$B14</f>
        <v/>
      </c>
      <c r="AH20" s="29">
        <f>'AEO T4'!AH18*$B14</f>
        <v/>
      </c>
      <c r="AI20" s="29">
        <f>'AEO T4'!AI18*$B14</f>
        <v/>
      </c>
      <c r="AJ20" s="29">
        <f>'AEO T4'!AJ18*$B14</f>
        <v/>
      </c>
      <c r="AK20" s="29">
        <f>'AEO T4'!AK18*$B14</f>
        <v/>
      </c>
    </row>
    <row r="21">
      <c r="A21" t="inlineStr">
        <is>
          <t>Mobile homes</t>
        </is>
      </c>
      <c r="C21" s="29">
        <f>'AEO T4'!C19*$B15</f>
        <v/>
      </c>
      <c r="D21" s="29">
        <f>'AEO T4'!D19*$B15</f>
        <v/>
      </c>
      <c r="E21" s="29">
        <f>'AEO T4'!E19*$B15</f>
        <v/>
      </c>
      <c r="F21" s="29">
        <f>'AEO T4'!F19*$B15</f>
        <v/>
      </c>
      <c r="G21" s="29">
        <f>'AEO T4'!G19*$B15</f>
        <v/>
      </c>
      <c r="H21" s="29">
        <f>'AEO T4'!H19*$B15</f>
        <v/>
      </c>
      <c r="I21" s="29">
        <f>'AEO T4'!I19*$B15</f>
        <v/>
      </c>
      <c r="J21" s="29">
        <f>'AEO T4'!J19*$B15</f>
        <v/>
      </c>
      <c r="K21" s="29">
        <f>'AEO T4'!K19*$B15</f>
        <v/>
      </c>
      <c r="L21" s="29">
        <f>'AEO T4'!L19*$B15</f>
        <v/>
      </c>
      <c r="M21" s="29">
        <f>'AEO T4'!M19*$B15</f>
        <v/>
      </c>
      <c r="N21" s="29">
        <f>'AEO T4'!N19*$B15</f>
        <v/>
      </c>
      <c r="O21" s="29">
        <f>'AEO T4'!O19*$B15</f>
        <v/>
      </c>
      <c r="P21" s="29">
        <f>'AEO T4'!P19*$B15</f>
        <v/>
      </c>
      <c r="Q21" s="29">
        <f>'AEO T4'!Q19*$B15</f>
        <v/>
      </c>
      <c r="R21" s="29">
        <f>'AEO T4'!R19*$B15</f>
        <v/>
      </c>
      <c r="S21" s="29">
        <f>'AEO T4'!S19*$B15</f>
        <v/>
      </c>
      <c r="T21" s="29">
        <f>'AEO T4'!T19*$B15</f>
        <v/>
      </c>
      <c r="U21" s="29">
        <f>'AEO T4'!U19*$B15</f>
        <v/>
      </c>
      <c r="V21" s="29">
        <f>'AEO T4'!V19*$B15</f>
        <v/>
      </c>
      <c r="W21" s="29">
        <f>'AEO T4'!W19*$B15</f>
        <v/>
      </c>
      <c r="X21" s="29">
        <f>'AEO T4'!X19*$B15</f>
        <v/>
      </c>
      <c r="Y21" s="29">
        <f>'AEO T4'!Y19*$B15</f>
        <v/>
      </c>
      <c r="Z21" s="29">
        <f>'AEO T4'!Z19*$B15</f>
        <v/>
      </c>
      <c r="AA21" s="29">
        <f>'AEO T4'!AA19*$B15</f>
        <v/>
      </c>
      <c r="AB21" s="29">
        <f>'AEO T4'!AB19*$B15</f>
        <v/>
      </c>
      <c r="AC21" s="29">
        <f>'AEO T4'!AC19*$B15</f>
        <v/>
      </c>
      <c r="AD21" s="29">
        <f>'AEO T4'!AD19*$B15</f>
        <v/>
      </c>
      <c r="AE21" s="29">
        <f>'AEO T4'!AE19*$B15</f>
        <v/>
      </c>
      <c r="AF21" s="29">
        <f>'AEO T4'!AF19*$B15</f>
        <v/>
      </c>
      <c r="AG21" s="29">
        <f>'AEO T4'!AG19*$B15</f>
        <v/>
      </c>
      <c r="AH21" s="29">
        <f>'AEO T4'!AH19*$B15</f>
        <v/>
      </c>
      <c r="AI21" s="29">
        <f>'AEO T4'!AI19*$B15</f>
        <v/>
      </c>
      <c r="AJ21" s="29">
        <f>'AEO T4'!AJ19*$B15</f>
        <v/>
      </c>
      <c r="AK21" s="29">
        <f>'AEO T4'!AK19*$B15</f>
        <v/>
      </c>
    </row>
    <row r="23">
      <c r="A23" s="1" t="inlineStr">
        <is>
          <t>Newly built homes</t>
        </is>
      </c>
    </row>
    <row r="24">
      <c r="B24" t="n">
        <v>2015</v>
      </c>
      <c r="C24" t="n">
        <v>2016</v>
      </c>
      <c r="D24" t="n">
        <v>2017</v>
      </c>
      <c r="E24" t="n">
        <v>2018</v>
      </c>
      <c r="F24" t="n">
        <v>2019</v>
      </c>
      <c r="G24" t="n">
        <v>2020</v>
      </c>
      <c r="H24" t="n">
        <v>2021</v>
      </c>
      <c r="I24" t="n">
        <v>2022</v>
      </c>
      <c r="J24" t="n">
        <v>2023</v>
      </c>
      <c r="K24" t="n">
        <v>2024</v>
      </c>
      <c r="L24" t="n">
        <v>2025</v>
      </c>
      <c r="M24" t="n">
        <v>2026</v>
      </c>
      <c r="N24" t="n">
        <v>2027</v>
      </c>
      <c r="O24" t="n">
        <v>2028</v>
      </c>
      <c r="P24" t="n">
        <v>2029</v>
      </c>
      <c r="Q24" t="n">
        <v>2030</v>
      </c>
      <c r="R24" t="n">
        <v>2031</v>
      </c>
      <c r="S24" t="n">
        <v>2032</v>
      </c>
      <c r="T24" t="n">
        <v>2033</v>
      </c>
      <c r="U24" t="n">
        <v>2034</v>
      </c>
      <c r="V24" t="n">
        <v>2035</v>
      </c>
      <c r="W24" t="n">
        <v>2036</v>
      </c>
      <c r="X24" t="n">
        <v>2037</v>
      </c>
      <c r="Y24" t="n">
        <v>2038</v>
      </c>
      <c r="Z24" t="n">
        <v>2039</v>
      </c>
      <c r="AA24" t="n">
        <v>2040</v>
      </c>
      <c r="AB24" t="n">
        <v>2041</v>
      </c>
      <c r="AC24" t="n">
        <v>2042</v>
      </c>
      <c r="AD24" t="n">
        <v>2043</v>
      </c>
      <c r="AE24" t="n">
        <v>2044</v>
      </c>
      <c r="AF24" t="n">
        <v>2045</v>
      </c>
      <c r="AG24" t="n">
        <v>2046</v>
      </c>
      <c r="AH24" t="n">
        <v>2047</v>
      </c>
      <c r="AI24" t="n">
        <v>2048</v>
      </c>
      <c r="AJ24" t="n">
        <v>2049</v>
      </c>
      <c r="AK24" t="n">
        <v>2050</v>
      </c>
    </row>
    <row r="25">
      <c r="A25" t="inlineStr">
        <is>
          <t>Single-family homes</t>
        </is>
      </c>
      <c r="C25" s="29">
        <f>'AEO T4'!D17-C19</f>
        <v/>
      </c>
      <c r="D25" s="29">
        <f>'AEO T4'!E17-D19</f>
        <v/>
      </c>
      <c r="E25" s="29">
        <f>'AEO T4'!F17-E19</f>
        <v/>
      </c>
      <c r="F25" s="29">
        <f>'AEO T4'!G17-F19</f>
        <v/>
      </c>
      <c r="G25" s="29">
        <f>'AEO T4'!H17-G19</f>
        <v/>
      </c>
      <c r="H25" s="29">
        <f>'AEO T4'!I17-H19</f>
        <v/>
      </c>
      <c r="I25" s="29">
        <f>'AEO T4'!J17-I19</f>
        <v/>
      </c>
      <c r="J25" s="29">
        <f>'AEO T4'!K17-J19</f>
        <v/>
      </c>
      <c r="K25" s="29">
        <f>'AEO T4'!L17-K19</f>
        <v/>
      </c>
      <c r="L25" s="29">
        <f>'AEO T4'!M17-L19</f>
        <v/>
      </c>
      <c r="M25" s="29">
        <f>'AEO T4'!N17-M19</f>
        <v/>
      </c>
      <c r="N25" s="29">
        <f>'AEO T4'!O17-N19</f>
        <v/>
      </c>
      <c r="O25" s="29">
        <f>'AEO T4'!P17-O19</f>
        <v/>
      </c>
      <c r="P25" s="29">
        <f>'AEO T4'!Q17-P19</f>
        <v/>
      </c>
      <c r="Q25" s="29">
        <f>'AEO T4'!R17-Q19</f>
        <v/>
      </c>
      <c r="R25" s="29">
        <f>'AEO T4'!S17-R19</f>
        <v/>
      </c>
      <c r="S25" s="29">
        <f>'AEO T4'!T17-S19</f>
        <v/>
      </c>
      <c r="T25" s="29">
        <f>'AEO T4'!U17-T19</f>
        <v/>
      </c>
      <c r="U25" s="29">
        <f>'AEO T4'!V17-U19</f>
        <v/>
      </c>
      <c r="V25" s="29">
        <f>'AEO T4'!W17-V19</f>
        <v/>
      </c>
      <c r="W25" s="29">
        <f>'AEO T4'!X17-W19</f>
        <v/>
      </c>
      <c r="X25" s="29">
        <f>'AEO T4'!Y17-X19</f>
        <v/>
      </c>
      <c r="Y25" s="29">
        <f>'AEO T4'!Z17-Y19</f>
        <v/>
      </c>
      <c r="Z25" s="29">
        <f>'AEO T4'!AA17-Z19</f>
        <v/>
      </c>
      <c r="AA25" s="29">
        <f>'AEO T4'!AB17-AA19</f>
        <v/>
      </c>
      <c r="AB25" s="29">
        <f>'AEO T4'!AC17-AB19</f>
        <v/>
      </c>
      <c r="AC25" s="29">
        <f>'AEO T4'!AD17-AC19</f>
        <v/>
      </c>
      <c r="AD25" s="29">
        <f>'AEO T4'!AE17-AD19</f>
        <v/>
      </c>
      <c r="AE25" s="29">
        <f>'AEO T4'!AF17-AE19</f>
        <v/>
      </c>
      <c r="AF25" s="29">
        <f>'AEO T4'!AG17-AF19</f>
        <v/>
      </c>
      <c r="AG25" s="29">
        <f>'AEO T4'!AH17-AG19</f>
        <v/>
      </c>
      <c r="AH25" s="29">
        <f>'AEO T4'!AI17-AH19</f>
        <v/>
      </c>
      <c r="AI25" s="29">
        <f>'AEO T4'!AJ17-AI19</f>
        <v/>
      </c>
      <c r="AJ25" s="29">
        <f>'AEO T4'!AK17-AJ19</f>
        <v/>
      </c>
      <c r="AK25" s="29">
        <f>'AEO T4'!AL17-AK19</f>
        <v/>
      </c>
    </row>
    <row r="26">
      <c r="A26" t="inlineStr">
        <is>
          <t>Multifamily homes</t>
        </is>
      </c>
      <c r="C26" s="29">
        <f>'AEO T4'!D18-C20</f>
        <v/>
      </c>
      <c r="D26" s="29">
        <f>'AEO T4'!E18-D20</f>
        <v/>
      </c>
      <c r="E26" s="29">
        <f>'AEO T4'!F18-E20</f>
        <v/>
      </c>
      <c r="F26" s="29">
        <f>'AEO T4'!G18-F20</f>
        <v/>
      </c>
      <c r="G26" s="29">
        <f>'AEO T4'!H18-G20</f>
        <v/>
      </c>
      <c r="H26" s="29">
        <f>'AEO T4'!I18-H20</f>
        <v/>
      </c>
      <c r="I26" s="29">
        <f>'AEO T4'!J18-I20</f>
        <v/>
      </c>
      <c r="J26" s="29">
        <f>'AEO T4'!K18-J20</f>
        <v/>
      </c>
      <c r="K26" s="29">
        <f>'AEO T4'!L18-K20</f>
        <v/>
      </c>
      <c r="L26" s="29">
        <f>'AEO T4'!M18-L20</f>
        <v/>
      </c>
      <c r="M26" s="29">
        <f>'AEO T4'!N18-M20</f>
        <v/>
      </c>
      <c r="N26" s="29">
        <f>'AEO T4'!O18-N20</f>
        <v/>
      </c>
      <c r="O26" s="29">
        <f>'AEO T4'!P18-O20</f>
        <v/>
      </c>
      <c r="P26" s="29">
        <f>'AEO T4'!Q18-P20</f>
        <v/>
      </c>
      <c r="Q26" s="29">
        <f>'AEO T4'!R18-Q20</f>
        <v/>
      </c>
      <c r="R26" s="29">
        <f>'AEO T4'!S18-R20</f>
        <v/>
      </c>
      <c r="S26" s="29">
        <f>'AEO T4'!T18-S20</f>
        <v/>
      </c>
      <c r="T26" s="29">
        <f>'AEO T4'!U18-T20</f>
        <v/>
      </c>
      <c r="U26" s="29">
        <f>'AEO T4'!V18-U20</f>
        <v/>
      </c>
      <c r="V26" s="29">
        <f>'AEO T4'!W18-V20</f>
        <v/>
      </c>
      <c r="W26" s="29">
        <f>'AEO T4'!X18-W20</f>
        <v/>
      </c>
      <c r="X26" s="29">
        <f>'AEO T4'!Y18-X20</f>
        <v/>
      </c>
      <c r="Y26" s="29">
        <f>'AEO T4'!Z18-Y20</f>
        <v/>
      </c>
      <c r="Z26" s="29">
        <f>'AEO T4'!AA18-Z20</f>
        <v/>
      </c>
      <c r="AA26" s="29">
        <f>'AEO T4'!AB18-AA20</f>
        <v/>
      </c>
      <c r="AB26" s="29">
        <f>'AEO T4'!AC18-AB20</f>
        <v/>
      </c>
      <c r="AC26" s="29">
        <f>'AEO T4'!AD18-AC20</f>
        <v/>
      </c>
      <c r="AD26" s="29">
        <f>'AEO T4'!AE18-AD20</f>
        <v/>
      </c>
      <c r="AE26" s="29">
        <f>'AEO T4'!AF18-AE20</f>
        <v/>
      </c>
      <c r="AF26" s="29">
        <f>'AEO T4'!AG18-AF20</f>
        <v/>
      </c>
      <c r="AG26" s="29">
        <f>'AEO T4'!AH18-AG20</f>
        <v/>
      </c>
      <c r="AH26" s="29">
        <f>'AEO T4'!AI18-AH20</f>
        <v/>
      </c>
      <c r="AI26" s="29">
        <f>'AEO T4'!AJ18-AI20</f>
        <v/>
      </c>
      <c r="AJ26" s="29">
        <f>'AEO T4'!AK18-AJ20</f>
        <v/>
      </c>
      <c r="AK26" s="29">
        <f>'AEO T4'!AL18-AK20</f>
        <v/>
      </c>
    </row>
    <row r="27">
      <c r="A27" t="inlineStr">
        <is>
          <t>Mobile homes</t>
        </is>
      </c>
      <c r="C27" s="29">
        <f>'AEO T4'!D19-C21</f>
        <v/>
      </c>
      <c r="D27" s="29">
        <f>'AEO T4'!E19-D21</f>
        <v/>
      </c>
      <c r="E27" s="29">
        <f>'AEO T4'!F19-E21</f>
        <v/>
      </c>
      <c r="F27" s="29">
        <f>'AEO T4'!G19-F21</f>
        <v/>
      </c>
      <c r="G27" s="29">
        <f>'AEO T4'!H19-G21</f>
        <v/>
      </c>
      <c r="H27" s="29">
        <f>'AEO T4'!I19-H21</f>
        <v/>
      </c>
      <c r="I27" s="29">
        <f>'AEO T4'!J19-I21</f>
        <v/>
      </c>
      <c r="J27" s="29">
        <f>'AEO T4'!K19-J21</f>
        <v/>
      </c>
      <c r="K27" s="29">
        <f>'AEO T4'!L19-K21</f>
        <v/>
      </c>
      <c r="L27" s="29">
        <f>'AEO T4'!M19-L21</f>
        <v/>
      </c>
      <c r="M27" s="29">
        <f>'AEO T4'!N19-M21</f>
        <v/>
      </c>
      <c r="N27" s="29">
        <f>'AEO T4'!O19-N21</f>
        <v/>
      </c>
      <c r="O27" s="29">
        <f>'AEO T4'!P19-O21</f>
        <v/>
      </c>
      <c r="P27" s="29">
        <f>'AEO T4'!Q19-P21</f>
        <v/>
      </c>
      <c r="Q27" s="29">
        <f>'AEO T4'!R19-Q21</f>
        <v/>
      </c>
      <c r="R27" s="29">
        <f>'AEO T4'!S19-R21</f>
        <v/>
      </c>
      <c r="S27" s="29">
        <f>'AEO T4'!T19-S21</f>
        <v/>
      </c>
      <c r="T27" s="29">
        <f>'AEO T4'!U19-T21</f>
        <v/>
      </c>
      <c r="U27" s="29">
        <f>'AEO T4'!V19-U21</f>
        <v/>
      </c>
      <c r="V27" s="29">
        <f>'AEO T4'!W19-V21</f>
        <v/>
      </c>
      <c r="W27" s="29">
        <f>'AEO T4'!X19-W21</f>
        <v/>
      </c>
      <c r="X27" s="29">
        <f>'AEO T4'!Y19-X21</f>
        <v/>
      </c>
      <c r="Y27" s="29">
        <f>'AEO T4'!Z19-Y21</f>
        <v/>
      </c>
      <c r="Z27" s="29">
        <f>'AEO T4'!AA19-Z21</f>
        <v/>
      </c>
      <c r="AA27" s="29">
        <f>'AEO T4'!AB19-AA21</f>
        <v/>
      </c>
      <c r="AB27" s="29">
        <f>'AEO T4'!AC19-AB21</f>
        <v/>
      </c>
      <c r="AC27" s="29">
        <f>'AEO T4'!AD19-AC21</f>
        <v/>
      </c>
      <c r="AD27" s="29">
        <f>'AEO T4'!AE19-AD21</f>
        <v/>
      </c>
      <c r="AE27" s="29">
        <f>'AEO T4'!AF19-AE21</f>
        <v/>
      </c>
      <c r="AF27" s="29">
        <f>'AEO T4'!AG19-AF21</f>
        <v/>
      </c>
      <c r="AG27" s="29">
        <f>'AEO T4'!AH19-AG21</f>
        <v/>
      </c>
      <c r="AH27" s="29">
        <f>'AEO T4'!AI19-AH21</f>
        <v/>
      </c>
      <c r="AI27" s="29">
        <f>'AEO T4'!AJ19-AI21</f>
        <v/>
      </c>
      <c r="AJ27" s="29">
        <f>'AEO T4'!AK19-AJ21</f>
        <v/>
      </c>
      <c r="AK27" s="29">
        <f>'AEO T4'!AL19-AK21</f>
        <v/>
      </c>
    </row>
    <row r="29">
      <c r="A29" s="1" t="inlineStr">
        <is>
          <t>Fraction of homes that are new</t>
        </is>
      </c>
    </row>
    <row r="30">
      <c r="B30" t="n">
        <v>2015</v>
      </c>
      <c r="C30" t="n">
        <v>2016</v>
      </c>
      <c r="D30" t="n">
        <v>2017</v>
      </c>
      <c r="E30" t="n">
        <v>2018</v>
      </c>
      <c r="F30" t="n">
        <v>2019</v>
      </c>
      <c r="G30" t="n">
        <v>2020</v>
      </c>
      <c r="H30" t="n">
        <v>2021</v>
      </c>
      <c r="I30" t="n">
        <v>2022</v>
      </c>
      <c r="J30" t="n">
        <v>2023</v>
      </c>
      <c r="K30" t="n">
        <v>2024</v>
      </c>
      <c r="L30" t="n">
        <v>2025</v>
      </c>
      <c r="M30" t="n">
        <v>2026</v>
      </c>
      <c r="N30" t="n">
        <v>2027</v>
      </c>
      <c r="O30" t="n">
        <v>2028</v>
      </c>
      <c r="P30" t="n">
        <v>2029</v>
      </c>
      <c r="Q30" t="n">
        <v>2030</v>
      </c>
      <c r="R30" t="n">
        <v>2031</v>
      </c>
      <c r="S30" t="n">
        <v>2032</v>
      </c>
      <c r="T30" t="n">
        <v>2033</v>
      </c>
      <c r="U30" t="n">
        <v>2034</v>
      </c>
      <c r="V30" t="n">
        <v>2035</v>
      </c>
      <c r="W30" t="n">
        <v>2036</v>
      </c>
      <c r="X30" t="n">
        <v>2037</v>
      </c>
      <c r="Y30" t="n">
        <v>2038</v>
      </c>
      <c r="Z30" t="n">
        <v>2039</v>
      </c>
      <c r="AA30" t="n">
        <v>2040</v>
      </c>
      <c r="AB30" t="n">
        <v>2041</v>
      </c>
      <c r="AC30" t="n">
        <v>2042</v>
      </c>
      <c r="AD30" t="n">
        <v>2043</v>
      </c>
      <c r="AE30" t="n">
        <v>2044</v>
      </c>
      <c r="AF30" t="n">
        <v>2045</v>
      </c>
      <c r="AG30" t="n">
        <v>2046</v>
      </c>
      <c r="AH30" t="n">
        <v>2047</v>
      </c>
      <c r="AI30" t="n">
        <v>2048</v>
      </c>
      <c r="AJ30" t="n">
        <v>2049</v>
      </c>
      <c r="AK30" t="n">
        <v>2050</v>
      </c>
    </row>
    <row r="31">
      <c r="A31" t="inlineStr">
        <is>
          <t>Single-family homes</t>
        </is>
      </c>
      <c r="C31" s="24">
        <f>C25/C19</f>
        <v/>
      </c>
      <c r="D31" s="24">
        <f>D25/D19</f>
        <v/>
      </c>
      <c r="E31" s="24">
        <f>E25/E19</f>
        <v/>
      </c>
      <c r="F31" s="24">
        <f>F25/F19</f>
        <v/>
      </c>
      <c r="G31" s="24">
        <f>G25/G19</f>
        <v/>
      </c>
      <c r="H31" s="24">
        <f>H25/H19</f>
        <v/>
      </c>
      <c r="I31" s="24">
        <f>I25/I19</f>
        <v/>
      </c>
      <c r="J31" s="24">
        <f>J25/J19</f>
        <v/>
      </c>
      <c r="K31" s="24">
        <f>K25/K19</f>
        <v/>
      </c>
      <c r="L31" s="24">
        <f>L25/L19</f>
        <v/>
      </c>
      <c r="M31" s="24">
        <f>M25/M19</f>
        <v/>
      </c>
      <c r="N31" s="24">
        <f>N25/N19</f>
        <v/>
      </c>
      <c r="O31" s="24">
        <f>O25/O19</f>
        <v/>
      </c>
      <c r="P31" s="24">
        <f>P25/P19</f>
        <v/>
      </c>
      <c r="Q31" s="24">
        <f>Q25/Q19</f>
        <v/>
      </c>
      <c r="R31" s="24">
        <f>R25/R19</f>
        <v/>
      </c>
      <c r="S31" s="24">
        <f>S25/S19</f>
        <v/>
      </c>
      <c r="T31" s="24">
        <f>T25/T19</f>
        <v/>
      </c>
      <c r="U31" s="24">
        <f>U25/U19</f>
        <v/>
      </c>
      <c r="V31" s="24">
        <f>V25/V19</f>
        <v/>
      </c>
      <c r="W31" s="24">
        <f>W25/W19</f>
        <v/>
      </c>
      <c r="X31" s="24">
        <f>X25/X19</f>
        <v/>
      </c>
      <c r="Y31" s="24">
        <f>Y25/Y19</f>
        <v/>
      </c>
      <c r="Z31" s="24">
        <f>Z25/Z19</f>
        <v/>
      </c>
      <c r="AA31" s="24">
        <f>AA25/AA19</f>
        <v/>
      </c>
      <c r="AB31" s="24">
        <f>AB25/AB19</f>
        <v/>
      </c>
      <c r="AC31" s="24">
        <f>AC25/AC19</f>
        <v/>
      </c>
      <c r="AD31" s="24">
        <f>AD25/AD19</f>
        <v/>
      </c>
      <c r="AE31" s="24">
        <f>AE25/AE19</f>
        <v/>
      </c>
      <c r="AF31" s="24">
        <f>AF25/AF19</f>
        <v/>
      </c>
      <c r="AG31" s="24">
        <f>AG25/AG19</f>
        <v/>
      </c>
      <c r="AH31" s="24">
        <f>AH25/AH19</f>
        <v/>
      </c>
      <c r="AI31" s="24">
        <f>AI25/AI19</f>
        <v/>
      </c>
      <c r="AJ31" s="24">
        <f>AJ25/AJ19</f>
        <v/>
      </c>
      <c r="AK31" s="24">
        <f>AK25/AK19</f>
        <v/>
      </c>
    </row>
    <row r="32">
      <c r="A32" t="inlineStr">
        <is>
          <t>Multifamily homes</t>
        </is>
      </c>
      <c r="C32" s="24">
        <f>C26/C20</f>
        <v/>
      </c>
      <c r="D32" s="24">
        <f>D26/D20</f>
        <v/>
      </c>
      <c r="E32" s="24">
        <f>E26/E20</f>
        <v/>
      </c>
      <c r="F32" s="24">
        <f>F26/F20</f>
        <v/>
      </c>
      <c r="G32" s="24">
        <f>G26/G20</f>
        <v/>
      </c>
      <c r="H32" s="24">
        <f>H26/H20</f>
        <v/>
      </c>
      <c r="I32" s="24">
        <f>I26/I20</f>
        <v/>
      </c>
      <c r="J32" s="24">
        <f>J26/J20</f>
        <v/>
      </c>
      <c r="K32" s="24">
        <f>K26/K20</f>
        <v/>
      </c>
      <c r="L32" s="24">
        <f>L26/L20</f>
        <v/>
      </c>
      <c r="M32" s="24">
        <f>M26/M20</f>
        <v/>
      </c>
      <c r="N32" s="24">
        <f>N26/N20</f>
        <v/>
      </c>
      <c r="O32" s="24">
        <f>O26/O20</f>
        <v/>
      </c>
      <c r="P32" s="24">
        <f>P26/P20</f>
        <v/>
      </c>
      <c r="Q32" s="24">
        <f>Q26/Q20</f>
        <v/>
      </c>
      <c r="R32" s="24">
        <f>R26/R20</f>
        <v/>
      </c>
      <c r="S32" s="24">
        <f>S26/S20</f>
        <v/>
      </c>
      <c r="T32" s="24">
        <f>T26/T20</f>
        <v/>
      </c>
      <c r="U32" s="24">
        <f>U26/U20</f>
        <v/>
      </c>
      <c r="V32" s="24">
        <f>V26/V20</f>
        <v/>
      </c>
      <c r="W32" s="24">
        <f>W26/W20</f>
        <v/>
      </c>
      <c r="X32" s="24">
        <f>X26/X20</f>
        <v/>
      </c>
      <c r="Y32" s="24">
        <f>Y26/Y20</f>
        <v/>
      </c>
      <c r="Z32" s="24">
        <f>Z26/Z20</f>
        <v/>
      </c>
      <c r="AA32" s="24">
        <f>AA26/AA20</f>
        <v/>
      </c>
      <c r="AB32" s="24">
        <f>AB26/AB20</f>
        <v/>
      </c>
      <c r="AC32" s="24">
        <f>AC26/AC20</f>
        <v/>
      </c>
      <c r="AD32" s="24">
        <f>AD26/AD20</f>
        <v/>
      </c>
      <c r="AE32" s="24">
        <f>AE26/AE20</f>
        <v/>
      </c>
      <c r="AF32" s="24">
        <f>AF26/AF20</f>
        <v/>
      </c>
      <c r="AG32" s="24">
        <f>AG26/AG20</f>
        <v/>
      </c>
      <c r="AH32" s="24">
        <f>AH26/AH20</f>
        <v/>
      </c>
      <c r="AI32" s="24">
        <f>AI26/AI20</f>
        <v/>
      </c>
      <c r="AJ32" s="24">
        <f>AJ26/AJ20</f>
        <v/>
      </c>
      <c r="AK32" s="24">
        <f>AK26/AK20</f>
        <v/>
      </c>
    </row>
    <row r="33">
      <c r="A33" t="inlineStr">
        <is>
          <t>Mobile homes</t>
        </is>
      </c>
      <c r="C33" s="24">
        <f>C27/C21</f>
        <v/>
      </c>
      <c r="D33" s="24">
        <f>D27/D21</f>
        <v/>
      </c>
      <c r="E33" s="24">
        <f>E27/E21</f>
        <v/>
      </c>
      <c r="F33" s="24">
        <f>F27/F21</f>
        <v/>
      </c>
      <c r="G33" s="24">
        <f>G27/G21</f>
        <v/>
      </c>
      <c r="H33" s="24">
        <f>H27/H21</f>
        <v/>
      </c>
      <c r="I33" s="24">
        <f>I27/I21</f>
        <v/>
      </c>
      <c r="J33" s="24">
        <f>J27/J21</f>
        <v/>
      </c>
      <c r="K33" s="24">
        <f>K27/K21</f>
        <v/>
      </c>
      <c r="L33" s="24">
        <f>L27/L21</f>
        <v/>
      </c>
      <c r="M33" s="24">
        <f>M27/M21</f>
        <v/>
      </c>
      <c r="N33" s="24">
        <f>N27/N21</f>
        <v/>
      </c>
      <c r="O33" s="24">
        <f>O27/O21</f>
        <v/>
      </c>
      <c r="P33" s="24">
        <f>P27/P21</f>
        <v/>
      </c>
      <c r="Q33" s="24">
        <f>Q27/Q21</f>
        <v/>
      </c>
      <c r="R33" s="24">
        <f>R27/R21</f>
        <v/>
      </c>
      <c r="S33" s="24">
        <f>S27/S21</f>
        <v/>
      </c>
      <c r="T33" s="24">
        <f>T27/T21</f>
        <v/>
      </c>
      <c r="U33" s="24">
        <f>U27/U21</f>
        <v/>
      </c>
      <c r="V33" s="24">
        <f>V27/V21</f>
        <v/>
      </c>
      <c r="W33" s="24">
        <f>W27/W21</f>
        <v/>
      </c>
      <c r="X33" s="24">
        <f>X27/X21</f>
        <v/>
      </c>
      <c r="Y33" s="24">
        <f>Y27/Y21</f>
        <v/>
      </c>
      <c r="Z33" s="24">
        <f>Z27/Z21</f>
        <v/>
      </c>
      <c r="AA33" s="24">
        <f>AA27/AA21</f>
        <v/>
      </c>
      <c r="AB33" s="24">
        <f>AB27/AB21</f>
        <v/>
      </c>
      <c r="AC33" s="24">
        <f>AC27/AC21</f>
        <v/>
      </c>
      <c r="AD33" s="24">
        <f>AD27/AD21</f>
        <v/>
      </c>
      <c r="AE33" s="24">
        <f>AE27/AE21</f>
        <v/>
      </c>
      <c r="AF33" s="24">
        <f>AF27/AF21</f>
        <v/>
      </c>
      <c r="AG33" s="24">
        <f>AG27/AG21</f>
        <v/>
      </c>
      <c r="AH33" s="24">
        <f>AH27/AH21</f>
        <v/>
      </c>
      <c r="AI33" s="24">
        <f>AI27/AI21</f>
        <v/>
      </c>
      <c r="AJ33" s="24">
        <f>AJ27/AJ21</f>
        <v/>
      </c>
      <c r="AK33" s="24">
        <f>AK27/AK21</f>
        <v/>
      </c>
    </row>
    <row r="34">
      <c r="C34" s="25" t="n"/>
    </row>
    <row r="35">
      <c r="A35" s="1" t="inlineStr">
        <is>
          <t>Average fraction of homes that are new by home type</t>
        </is>
      </c>
    </row>
    <row r="36">
      <c r="A36" t="inlineStr">
        <is>
          <t>Single-family homes</t>
        </is>
      </c>
      <c r="B36" s="26">
        <f>AVERAGE(C31:AK31)</f>
        <v/>
      </c>
    </row>
    <row r="37">
      <c r="A37" t="inlineStr">
        <is>
          <t>Multifamily homes</t>
        </is>
      </c>
      <c r="B37" s="26">
        <f>AVERAGE(C32:AK32)</f>
        <v/>
      </c>
    </row>
    <row r="38">
      <c r="A38" t="inlineStr">
        <is>
          <t>Mobile homes</t>
        </is>
      </c>
      <c r="B38" s="26">
        <f>AVERAGE(C33:AK33)</f>
        <v/>
      </c>
    </row>
    <row r="40">
      <c r="A40" s="1" t="inlineStr">
        <is>
          <t>Weighted average fraction of homes that are new</t>
        </is>
      </c>
    </row>
    <row r="41">
      <c r="A41" t="inlineStr">
        <is>
          <t>All homes</t>
        </is>
      </c>
      <c r="B41" s="25">
        <f>SUMPRODUCT(B36:B38,'AEO T4'!D17:D19)/SUM('AEO T4'!D17:D19)</f>
        <v/>
      </c>
    </row>
    <row r="44">
      <c r="A44" s="30" t="inlineStr">
        <is>
          <t>Share of Components That is New This Year</t>
        </is>
      </c>
      <c r="B44" s="31" t="n"/>
      <c r="C44" s="31" t="n"/>
    </row>
    <row r="46">
      <c r="A46" t="inlineStr">
        <is>
          <t>The share of new components is the share of old components that are replaced in surviving</t>
        </is>
      </c>
    </row>
    <row r="47">
      <c r="A47" t="inlineStr">
        <is>
          <t>buildings, plus the share of components in new buildings (which equals the share of new</t>
        </is>
      </c>
    </row>
    <row r="48">
      <c r="A48" t="inlineStr">
        <is>
          <t>buildings, because all components in new buildings are new components).</t>
        </is>
      </c>
    </row>
    <row r="50">
      <c r="A50" s="1" t="inlineStr">
        <is>
          <t>Share of Buildings that are Surviving</t>
        </is>
      </c>
    </row>
    <row r="51">
      <c r="A51" t="inlineStr">
        <is>
          <t>Commercial</t>
        </is>
      </c>
      <c r="B51" s="24">
        <f>1-B5</f>
        <v/>
      </c>
    </row>
    <row r="52">
      <c r="A52" t="inlineStr">
        <is>
          <t>Residential</t>
        </is>
      </c>
      <c r="B52" s="26">
        <f>1-B41</f>
        <v/>
      </c>
    </row>
    <row r="54">
      <c r="A54" s="1" t="inlineStr">
        <is>
          <t>Replacement rate of components in surviving buildings</t>
        </is>
      </c>
    </row>
    <row r="55">
      <c r="A55" t="inlineStr">
        <is>
          <t>heating</t>
        </is>
      </c>
      <c r="B55" s="4">
        <f>1/'Component Lifetimes'!B2</f>
        <v/>
      </c>
    </row>
    <row r="56">
      <c r="A56" t="inlineStr">
        <is>
          <t>cooling and ventilation</t>
        </is>
      </c>
      <c r="B56" s="4">
        <f>1/'Component Lifetimes'!B3</f>
        <v/>
      </c>
    </row>
    <row r="57">
      <c r="A57" t="inlineStr">
        <is>
          <t>lighting</t>
        </is>
      </c>
      <c r="B57" s="4">
        <f>1/'Component Lifetimes'!B5</f>
        <v/>
      </c>
    </row>
    <row r="58">
      <c r="A58" t="inlineStr">
        <is>
          <t>appliances</t>
        </is>
      </c>
      <c r="B58" s="4">
        <f>1/'Component Lifetimes'!B6</f>
        <v/>
      </c>
    </row>
    <row r="59">
      <c r="A59" t="inlineStr">
        <is>
          <t>other component</t>
        </is>
      </c>
      <c r="B59" s="4">
        <f>1/'Component Lifetimes'!B7</f>
        <v/>
      </c>
    </row>
    <row r="61">
      <c r="A61" s="1" t="inlineStr">
        <is>
          <t>Replacement rate of all components</t>
        </is>
      </c>
    </row>
    <row r="62">
      <c r="B62" t="inlineStr">
        <is>
          <t>Commercial</t>
        </is>
      </c>
      <c r="C62" t="inlineStr">
        <is>
          <t>Residential</t>
        </is>
      </c>
    </row>
    <row r="63">
      <c r="A63" t="inlineStr">
        <is>
          <t>heating</t>
        </is>
      </c>
      <c r="B63" s="28">
        <f>($B55*$B$51)+B$5</f>
        <v/>
      </c>
      <c r="C63" s="28">
        <f>($B55*$B$52)+B$41</f>
        <v/>
      </c>
    </row>
    <row r="64">
      <c r="A64" t="inlineStr">
        <is>
          <t>cooling and ventilation</t>
        </is>
      </c>
      <c r="B64" s="28">
        <f>($B56*$B$51)+B$5</f>
        <v/>
      </c>
      <c r="C64" s="28">
        <f>($B56*$B$52)+B$41</f>
        <v/>
      </c>
    </row>
    <row r="65">
      <c r="A65" t="inlineStr">
        <is>
          <t>lighting</t>
        </is>
      </c>
      <c r="B65" s="28">
        <f>($B57*$B$51)+B$5</f>
        <v/>
      </c>
      <c r="C65" s="28">
        <f>($B57*$B$52)+B$41</f>
        <v/>
      </c>
    </row>
    <row r="66">
      <c r="A66" t="inlineStr">
        <is>
          <t>appliances</t>
        </is>
      </c>
      <c r="B66" s="28">
        <f>($B58*$B$51)+B$5</f>
        <v/>
      </c>
      <c r="C66" s="28">
        <f>($B58*$B$52)+B$41</f>
        <v/>
      </c>
    </row>
    <row r="67">
      <c r="A67" t="inlineStr">
        <is>
          <t>other component</t>
        </is>
      </c>
      <c r="B67" s="28">
        <f>($B59*$B$51)+B$5</f>
        <v/>
      </c>
      <c r="C67" s="28">
        <f>($B59*$B$52)+B$41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G39" sqref="G39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>
        <f>Calculations!C63</f>
        <v/>
      </c>
      <c r="C2" s="4">
        <f>B2</f>
        <v/>
      </c>
      <c r="D2" s="4">
        <f>Calculations!B63</f>
        <v/>
      </c>
    </row>
    <row r="3">
      <c r="A3" t="inlineStr">
        <is>
          <t>cooling and ventilation</t>
        </is>
      </c>
      <c r="B3" s="4">
        <f>Calculations!C64</f>
        <v/>
      </c>
      <c r="C3" s="4">
        <f>B3</f>
        <v/>
      </c>
      <c r="D3" s="4">
        <f>Calculations!B64</f>
        <v/>
      </c>
    </row>
    <row r="4">
      <c r="A4" t="inlineStr">
        <is>
          <t>envelope</t>
        </is>
      </c>
      <c r="B4" s="5" t="n">
        <v>0</v>
      </c>
      <c r="C4" s="5" t="n">
        <v>0</v>
      </c>
      <c r="D4" s="5" t="n">
        <v>0</v>
      </c>
    </row>
    <row r="5">
      <c r="A5" t="inlineStr">
        <is>
          <t>lighting</t>
        </is>
      </c>
      <c r="B5" s="4">
        <f>Calculations!C65</f>
        <v/>
      </c>
      <c r="C5" s="4">
        <f>B5</f>
        <v/>
      </c>
      <c r="D5" s="4">
        <f>Calculations!B65</f>
        <v/>
      </c>
    </row>
    <row r="6">
      <c r="A6" t="inlineStr">
        <is>
          <t>appliances</t>
        </is>
      </c>
      <c r="B6" s="4">
        <f>Calculations!C66</f>
        <v/>
      </c>
      <c r="C6" s="4">
        <f>B6</f>
        <v/>
      </c>
      <c r="D6" s="4">
        <f>Calculations!B66</f>
        <v/>
      </c>
    </row>
    <row r="7">
      <c r="A7" t="inlineStr">
        <is>
          <t>other component</t>
        </is>
      </c>
      <c r="B7" s="4">
        <f>Calculations!C67</f>
        <v/>
      </c>
      <c r="C7" s="4">
        <f>B7</f>
        <v/>
      </c>
      <c r="D7" s="4">
        <f>Calculations!B67</f>
        <v/>
      </c>
    </row>
    <row r="8">
      <c r="D8" s="4" t="n"/>
    </row>
    <row r="10">
      <c r="A10" s="1" t="inlineStr">
        <is>
          <t>For states</t>
        </is>
      </c>
    </row>
    <row r="11">
      <c r="B11" s="2" t="inlineStr">
        <is>
          <t>Lifetime (yr)</t>
        </is>
      </c>
      <c r="C11" t="inlineStr">
        <is>
          <t>urban residential</t>
        </is>
      </c>
      <c r="D11" t="inlineStr">
        <is>
          <t>rural residential</t>
        </is>
      </c>
      <c r="E11" t="inlineStr">
        <is>
          <t>commercial</t>
        </is>
      </c>
    </row>
    <row r="12">
      <c r="A12" t="inlineStr">
        <is>
          <t>heating</t>
        </is>
      </c>
      <c r="B12" s="3" t="n">
        <v>19</v>
      </c>
      <c r="C12" t="n">
        <v>0.05263157894736842</v>
      </c>
      <c r="D12" t="n">
        <v>0.05263157894736842</v>
      </c>
      <c r="E12" t="n">
        <v>0.05263157894736842</v>
      </c>
    </row>
    <row r="13">
      <c r="A13" t="inlineStr">
        <is>
          <t>cooling and ventilation</t>
        </is>
      </c>
      <c r="B13" s="3" t="n">
        <v>15.83333333333333</v>
      </c>
      <c r="C13" t="n">
        <v>0.0625</v>
      </c>
      <c r="D13" t="n">
        <v>0.0625</v>
      </c>
      <c r="E13" t="n">
        <v>0.0625</v>
      </c>
    </row>
    <row r="14">
      <c r="A14" t="inlineStr">
        <is>
          <t>envelope</t>
        </is>
      </c>
      <c r="B14" s="3" t="n">
        <v>51.81818181818182</v>
      </c>
      <c r="C14" t="n">
        <v>0</v>
      </c>
      <c r="D14" t="n">
        <v>0</v>
      </c>
      <c r="E14" t="n">
        <v>0</v>
      </c>
    </row>
    <row r="15">
      <c r="A15" t="inlineStr">
        <is>
          <t>lighting</t>
        </is>
      </c>
      <c r="B15" s="3" t="n">
        <v>9.132420091324201</v>
      </c>
      <c r="C15" t="n">
        <v>0.1111111111111111</v>
      </c>
      <c r="D15" t="n">
        <v>0.1111111111111111</v>
      </c>
      <c r="E15" t="n">
        <v>0.1111111111111111</v>
      </c>
    </row>
    <row r="16">
      <c r="A16" t="inlineStr">
        <is>
          <t>appliances</t>
        </is>
      </c>
      <c r="B16" s="3" t="n">
        <v>13.53333333333333</v>
      </c>
      <c r="C16" t="n">
        <v>0.07142857142857142</v>
      </c>
      <c r="D16" t="n">
        <v>0.07142857142857142</v>
      </c>
      <c r="E16" t="n">
        <v>0.07142857142857142</v>
      </c>
    </row>
    <row r="17">
      <c r="A17" t="inlineStr">
        <is>
          <t>other component</t>
        </is>
      </c>
      <c r="B17" s="3" t="n">
        <v>15.4</v>
      </c>
      <c r="C17" t="n">
        <v>0.06666666666666667</v>
      </c>
      <c r="D17" t="n">
        <v>0.06666666666666667</v>
      </c>
      <c r="E17" t="n">
        <v>0.06666666666666667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3"/>
    <outlinePr summaryBelow="1" summaryRight="1"/>
    <pageSetUpPr/>
  </sheetPr>
  <dimension ref="A1:D8"/>
  <sheetViews>
    <sheetView workbookViewId="0">
      <selection activeCell="H33" sqref="H33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 ht="45" customHeight="1">
      <c r="A1" s="34" t="inlineStr">
        <is>
          <t>Share of New Components Energy Use (dimensionless)</t>
        </is>
      </c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 t="n">
        <v>0.0528909</v>
      </c>
      <c r="C2" s="4" t="n">
        <v>0.0528908</v>
      </c>
      <c r="D2" s="4" t="n">
        <v>0.0524449</v>
      </c>
    </row>
    <row r="3">
      <c r="A3" t="inlineStr">
        <is>
          <t>cooling and ventilation</t>
        </is>
      </c>
      <c r="B3" s="4" t="n">
        <v>0.0628078</v>
      </c>
      <c r="C3" s="4" t="n">
        <v>0.0628079</v>
      </c>
      <c r="D3" s="4" t="n">
        <v>0.0622779</v>
      </c>
    </row>
    <row r="4">
      <c r="A4" t="inlineStr">
        <is>
          <t>envelope</t>
        </is>
      </c>
      <c r="B4" t="n">
        <v>0</v>
      </c>
      <c r="C4" t="n">
        <v>0</v>
      </c>
      <c r="D4" t="n">
        <v>0</v>
      </c>
    </row>
    <row r="5">
      <c r="A5" t="inlineStr">
        <is>
          <t>lighting</t>
        </is>
      </c>
      <c r="B5" s="4" t="n">
        <v>0.111658</v>
      </c>
      <c r="C5" s="4" t="n">
        <v>0.111658</v>
      </c>
      <c r="D5" s="4" t="n">
        <v>0.110716</v>
      </c>
    </row>
    <row r="6">
      <c r="A6" t="inlineStr">
        <is>
          <t>appliances</t>
        </is>
      </c>
      <c r="B6" s="4" t="n">
        <v>0.07178030000000001</v>
      </c>
      <c r="C6" s="4" t="n">
        <v>0.0717802</v>
      </c>
      <c r="D6" s="4" t="n">
        <v>0.0711749</v>
      </c>
    </row>
    <row r="7">
      <c r="A7" t="inlineStr">
        <is>
          <t>other component</t>
        </is>
      </c>
      <c r="B7" s="4" t="n">
        <v>0.06699479999999999</v>
      </c>
      <c r="C7" s="4" t="n">
        <v>0.0669949</v>
      </c>
      <c r="D7" s="4" t="n">
        <v>0.06642960000000001</v>
      </c>
    </row>
    <row r="8">
      <c r="D8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2018-01-10T20:44:14Z</dcterms:created>
  <dcterms:modified xsi:type="dcterms:W3CDTF">2026-08-17T23:00:50Z</dcterms:modified>
  <cp:lastModifiedBy>Olivia Ashmoore</cp:lastModifiedBy>
</cp:coreProperties>
</file>