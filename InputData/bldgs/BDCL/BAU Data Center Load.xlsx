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A\bldgs\BDCL\"/>
    </mc:Choice>
  </mc:AlternateContent>
  <xr:revisionPtr revIDLastSave="0" documentId="8_{E839FFB4-2DA8-4FD9-9133-E130BFBD5B17}"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F167" i="10"/>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E167" i="10"/>
  <c r="D167" i="10"/>
  <c r="B167" i="10"/>
  <c r="C167" i="10" s="1"/>
  <c r="AC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R165" i="10"/>
  <c r="S165" i="10" s="1"/>
  <c r="T165" i="10" s="1"/>
  <c r="U165" i="10" s="1"/>
  <c r="V165" i="10" s="1"/>
  <c r="W165" i="10" s="1"/>
  <c r="X165" i="10" s="1"/>
  <c r="Y165" i="10" s="1"/>
  <c r="Z165" i="10" s="1"/>
  <c r="AA165" i="10" s="1"/>
  <c r="AB165" i="10" s="1"/>
  <c r="F165" i="10"/>
  <c r="G165" i="10" s="1"/>
  <c r="H165" i="10" s="1"/>
  <c r="I165" i="10" s="1"/>
  <c r="J165" i="10" s="1"/>
  <c r="K165" i="10" s="1"/>
  <c r="L165" i="10" s="1"/>
  <c r="M165" i="10" s="1"/>
  <c r="N165" i="10" s="1"/>
  <c r="O165" i="10" s="1"/>
  <c r="P165" i="10" s="1"/>
  <c r="Q165" i="10" s="1"/>
  <c r="C165" i="10"/>
  <c r="D165" i="10" s="1"/>
  <c r="E165" i="10" s="1"/>
  <c r="B165" i="10"/>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B159" i="10"/>
  <c r="AB158" i="10"/>
  <c r="C158" i="10"/>
  <c r="D158" i="10" s="1"/>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C157" i="10"/>
  <c r="B157" i="10"/>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B155" i="10"/>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AC152" i="10"/>
  <c r="C152" i="10"/>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E151" i="10"/>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C151" i="10"/>
  <c r="D151" i="10" s="1"/>
  <c r="B151" i="10"/>
  <c r="AC150" i="10"/>
  <c r="B150" i="10"/>
  <c r="C150" i="10" s="1"/>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B148" i="10"/>
  <c r="AC147" i="10"/>
  <c r="E147" i="10"/>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C147" i="10" s="1"/>
  <c r="D147" i="10" s="1"/>
  <c r="AC146" i="10"/>
  <c r="E146" i="10"/>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D146" i="10"/>
  <c r="C146" i="10"/>
  <c r="B146" i="10"/>
  <c r="AC145" i="10"/>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D143" i="10"/>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C143" i="10"/>
  <c r="B143" i="10"/>
  <c r="AC142" i="10"/>
  <c r="I142" i="10"/>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C142" i="10" s="1"/>
  <c r="D142" i="10" s="1"/>
  <c r="E142" i="10" s="1"/>
  <c r="F142" i="10" s="1"/>
  <c r="G142" i="10" s="1"/>
  <c r="H142" i="10" s="1"/>
  <c r="AC141" i="10"/>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B141" i="10"/>
  <c r="AC140" i="10"/>
  <c r="C140" i="10" s="1"/>
  <c r="D140" i="10" s="1"/>
  <c r="E140" i="10" s="1"/>
  <c r="F140" i="10" s="1"/>
  <c r="G140" i="10" s="1"/>
  <c r="H140" i="10" s="1"/>
  <c r="I140" i="10"/>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F139" i="10"/>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C139" i="10"/>
  <c r="D139" i="10" s="1"/>
  <c r="E139" i="10" s="1"/>
  <c r="B139" i="10"/>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B137" i="10"/>
  <c r="AC136" i="10"/>
  <c r="B136" i="10"/>
  <c r="AC135" i="10"/>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B133" i="10"/>
  <c r="AC132" i="10"/>
  <c r="Q132" i="10"/>
  <c r="R132" i="10" s="1"/>
  <c r="S132" i="10" s="1"/>
  <c r="T132" i="10" s="1"/>
  <c r="U132" i="10" s="1"/>
  <c r="V132" i="10" s="1"/>
  <c r="W132" i="10" s="1"/>
  <c r="X132" i="10" s="1"/>
  <c r="Y132" i="10" s="1"/>
  <c r="Z132" i="10" s="1"/>
  <c r="AA132" i="10" s="1"/>
  <c r="AB132" i="10" s="1"/>
  <c r="B132" i="10"/>
  <c r="C132" i="10" s="1"/>
  <c r="D132" i="10" s="1"/>
  <c r="E132" i="10" s="1"/>
  <c r="F132" i="10" s="1"/>
  <c r="G132" i="10" s="1"/>
  <c r="H132" i="10" s="1"/>
  <c r="I132" i="10" s="1"/>
  <c r="J132" i="10" s="1"/>
  <c r="K132" i="10" s="1"/>
  <c r="L132" i="10" s="1"/>
  <c r="M132" i="10" s="1"/>
  <c r="N132" i="10" s="1"/>
  <c r="O132" i="10" s="1"/>
  <c r="P132" i="10" s="1"/>
  <c r="AC131" i="10"/>
  <c r="E131" i="10"/>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D131" i="10"/>
  <c r="C131" i="10"/>
  <c r="B131" i="10"/>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B129" i="10"/>
  <c r="C129" i="10" s="1"/>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B127" i="10"/>
  <c r="AC126" i="10"/>
  <c r="C126" i="10" s="1"/>
  <c r="D126" i="10"/>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B126" i="10"/>
  <c r="AC125" i="10"/>
  <c r="E125" i="10"/>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D125" i="10"/>
  <c r="B125" i="10"/>
  <c r="C125" i="10" s="1"/>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I122" i="10"/>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C122" i="10" s="1"/>
  <c r="D122" i="10" s="1"/>
  <c r="E122" i="10" s="1"/>
  <c r="F122" i="10" s="1"/>
  <c r="G122" i="10" s="1"/>
  <c r="H122" i="10" s="1"/>
  <c r="AC121" i="10"/>
  <c r="H121" i="10"/>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C121" i="10" s="1"/>
  <c r="D121" i="10" s="1"/>
  <c r="E121" i="10" s="1"/>
  <c r="F121" i="10" s="1"/>
  <c r="G121" i="10" s="1"/>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C118" i="10" s="1"/>
  <c r="D118" i="10" s="1"/>
  <c r="E118" i="10" s="1"/>
  <c r="F118" i="10" s="1"/>
  <c r="G118" i="10" s="1"/>
  <c r="H118" i="10" s="1"/>
  <c r="I118" i="10" s="1"/>
  <c r="J118" i="10" s="1"/>
  <c r="K118" i="10"/>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I117" i="10"/>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C117" i="10"/>
  <c r="D117" i="10" s="1"/>
  <c r="E117" i="10" s="1"/>
  <c r="F117" i="10" s="1"/>
  <c r="G117" i="10" s="1"/>
  <c r="H117" i="10" s="1"/>
  <c r="B117" i="10"/>
  <c r="AC116" i="10"/>
  <c r="I116" i="10"/>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C116" i="10" s="1"/>
  <c r="D116" i="10" s="1"/>
  <c r="E116" i="10" s="1"/>
  <c r="F116" i="10" s="1"/>
  <c r="G116" i="10" s="1"/>
  <c r="H116" i="10" s="1"/>
  <c r="AC115" i="10"/>
  <c r="B115" i="10"/>
  <c r="AC114" i="10"/>
  <c r="B114" i="10"/>
  <c r="AC113" i="10"/>
  <c r="C113" i="10"/>
  <c r="B113" i="10"/>
  <c r="AC108" i="10"/>
  <c r="E108" i="10"/>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C108" i="10"/>
  <c r="D108" i="10" s="1"/>
  <c r="B108" i="10"/>
  <c r="AC107" i="10"/>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E106" i="10"/>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D106" i="10"/>
  <c r="C106" i="10"/>
  <c r="AC105" i="10"/>
  <c r="B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AC104" i="10"/>
  <c r="C104" i="10" s="1"/>
  <c r="D104" i="10"/>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AC102" i="10"/>
  <c r="I102" i="10"/>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C102" i="10"/>
  <c r="D102" i="10" s="1"/>
  <c r="E102" i="10" s="1"/>
  <c r="F102" i="10" s="1"/>
  <c r="G102" i="10" s="1"/>
  <c r="H102" i="10" s="1"/>
  <c r="B102" i="10"/>
  <c r="AC101" i="10"/>
  <c r="D101" i="10"/>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C101" i="10"/>
  <c r="B101" i="10"/>
  <c r="AC100" i="10"/>
  <c r="G100" i="10"/>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C100" i="10" s="1"/>
  <c r="D100" i="10" s="1"/>
  <c r="E100" i="10" s="1"/>
  <c r="F100" i="10" s="1"/>
  <c r="AC99" i="10"/>
  <c r="B99" i="10"/>
  <c r="AC98" i="10"/>
  <c r="Q98" i="10"/>
  <c r="R98" i="10" s="1"/>
  <c r="S98" i="10" s="1"/>
  <c r="T98" i="10" s="1"/>
  <c r="U98" i="10" s="1"/>
  <c r="V98" i="10" s="1"/>
  <c r="W98" i="10" s="1"/>
  <c r="X98" i="10" s="1"/>
  <c r="Y98" i="10" s="1"/>
  <c r="Z98" i="10" s="1"/>
  <c r="AA98" i="10" s="1"/>
  <c r="AB98" i="10" s="1"/>
  <c r="E98" i="10"/>
  <c r="F98" i="10" s="1"/>
  <c r="G98" i="10" s="1"/>
  <c r="H98" i="10" s="1"/>
  <c r="I98" i="10" s="1"/>
  <c r="J98" i="10" s="1"/>
  <c r="K98" i="10" s="1"/>
  <c r="L98" i="10" s="1"/>
  <c r="M98" i="10" s="1"/>
  <c r="N98" i="10" s="1"/>
  <c r="O98" i="10" s="1"/>
  <c r="P98" i="10" s="1"/>
  <c r="D98" i="10"/>
  <c r="C98" i="10"/>
  <c r="B98" i="10"/>
  <c r="AC97" i="10"/>
  <c r="M97" i="10"/>
  <c r="N97" i="10" s="1"/>
  <c r="O97" i="10" s="1"/>
  <c r="P97" i="10" s="1"/>
  <c r="Q97" i="10" s="1"/>
  <c r="R97" i="10" s="1"/>
  <c r="S97" i="10" s="1"/>
  <c r="T97" i="10" s="1"/>
  <c r="U97" i="10" s="1"/>
  <c r="V97" i="10" s="1"/>
  <c r="W97" i="10" s="1"/>
  <c r="X97" i="10" s="1"/>
  <c r="Y97" i="10" s="1"/>
  <c r="Z97" i="10" s="1"/>
  <c r="AA97" i="10" s="1"/>
  <c r="AB97" i="10" s="1"/>
  <c r="B97" i="10"/>
  <c r="C97" i="10" s="1"/>
  <c r="D97" i="10" s="1"/>
  <c r="E97" i="10" s="1"/>
  <c r="F97" i="10" s="1"/>
  <c r="G97" i="10" s="1"/>
  <c r="H97" i="10" s="1"/>
  <c r="I97" i="10" s="1"/>
  <c r="J97" i="10" s="1"/>
  <c r="K97" i="10" s="1"/>
  <c r="L97" i="10" s="1"/>
  <c r="AC96" i="10"/>
  <c r="C96" i="10" s="1"/>
  <c r="D96" i="10" s="1"/>
  <c r="E96" i="10" s="1"/>
  <c r="F96" i="10" s="1"/>
  <c r="G96" i="10" s="1"/>
  <c r="H96" i="10"/>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F95" i="10"/>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C95" i="10"/>
  <c r="D95" i="10" s="1"/>
  <c r="E95" i="10" s="1"/>
  <c r="B95" i="10"/>
  <c r="AC94" i="10"/>
  <c r="B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AC93" i="10"/>
  <c r="B93" i="10"/>
  <c r="AC92" i="10"/>
  <c r="B92" i="10"/>
  <c r="AC91" i="10"/>
  <c r="V91" i="10"/>
  <c r="W91" i="10" s="1"/>
  <c r="X91" i="10" s="1"/>
  <c r="Y91" i="10" s="1"/>
  <c r="Z91" i="10" s="1"/>
  <c r="AA91" i="10" s="1"/>
  <c r="AB91" i="10" s="1"/>
  <c r="U91" i="10"/>
  <c r="C91" i="10"/>
  <c r="D91" i="10" s="1"/>
  <c r="E91" i="10" s="1"/>
  <c r="F91" i="10" s="1"/>
  <c r="G91" i="10" s="1"/>
  <c r="H91" i="10" s="1"/>
  <c r="I91" i="10" s="1"/>
  <c r="J91" i="10" s="1"/>
  <c r="K91" i="10" s="1"/>
  <c r="L91" i="10" s="1"/>
  <c r="M91" i="10" s="1"/>
  <c r="N91" i="10" s="1"/>
  <c r="O91" i="10" s="1"/>
  <c r="P91" i="10" s="1"/>
  <c r="Q91" i="10" s="1"/>
  <c r="R91" i="10" s="1"/>
  <c r="S91" i="10" s="1"/>
  <c r="T91" i="10" s="1"/>
  <c r="B91" i="10"/>
  <c r="AC90" i="10"/>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89" i="10"/>
  <c r="B89" i="10"/>
  <c r="AC88" i="10"/>
  <c r="F88" i="10"/>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C88" i="10"/>
  <c r="D88" i="10" s="1"/>
  <c r="E88" i="10" s="1"/>
  <c r="B88" i="10"/>
  <c r="AC87" i="10"/>
  <c r="D87" i="10"/>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C87" i="10"/>
  <c r="B87" i="10"/>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C84" i="10" s="1"/>
  <c r="D84" i="10" s="1"/>
  <c r="E84" i="10" s="1"/>
  <c r="F84" i="10" s="1"/>
  <c r="G84" i="10" s="1"/>
  <c r="H84" i="10" s="1"/>
  <c r="I84" i="10" s="1"/>
  <c r="J84" i="10" s="1"/>
  <c r="K84" i="10" s="1"/>
  <c r="L84" i="10"/>
  <c r="M84" i="10" s="1"/>
  <c r="N84" i="10" s="1"/>
  <c r="O84" i="10" s="1"/>
  <c r="P84" i="10" s="1"/>
  <c r="Q84" i="10" s="1"/>
  <c r="R84" i="10" s="1"/>
  <c r="S84" i="10" s="1"/>
  <c r="T84" i="10" s="1"/>
  <c r="U84" i="10" s="1"/>
  <c r="V84" i="10" s="1"/>
  <c r="W84" i="10" s="1"/>
  <c r="X84" i="10" s="1"/>
  <c r="Y84" i="10" s="1"/>
  <c r="Z84" i="10" s="1"/>
  <c r="AA84" i="10" s="1"/>
  <c r="AB84" i="10" s="1"/>
  <c r="B84" i="10"/>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C81" i="10" s="1"/>
  <c r="D81" i="10" s="1"/>
  <c r="E81" i="10" s="1"/>
  <c r="F81" i="10" s="1"/>
  <c r="G81" i="10" s="1"/>
  <c r="H81" i="10" s="1"/>
  <c r="I81" i="10" s="1"/>
  <c r="J81" i="10" s="1"/>
  <c r="K81" i="10"/>
  <c r="L81" i="10" s="1"/>
  <c r="M81" i="10" s="1"/>
  <c r="N81" i="10" s="1"/>
  <c r="O81" i="10" s="1"/>
  <c r="P81" i="10" s="1"/>
  <c r="Q81" i="10" s="1"/>
  <c r="R81" i="10" s="1"/>
  <c r="S81" i="10" s="1"/>
  <c r="T81" i="10" s="1"/>
  <c r="U81" i="10" s="1"/>
  <c r="V81" i="10" s="1"/>
  <c r="W81" i="10" s="1"/>
  <c r="X81" i="10" s="1"/>
  <c r="Y81" i="10" s="1"/>
  <c r="Z81" i="10" s="1"/>
  <c r="AA81" i="10" s="1"/>
  <c r="AB81" i="10" s="1"/>
  <c r="B81" i="10"/>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C78" i="10" s="1"/>
  <c r="D78" i="10" s="1"/>
  <c r="E78" i="10" s="1"/>
  <c r="F78" i="10"/>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J77" i="10"/>
  <c r="K77" i="10" s="1"/>
  <c r="L77" i="10" s="1"/>
  <c r="M77" i="10" s="1"/>
  <c r="N77" i="10" s="1"/>
  <c r="O77" i="10" s="1"/>
  <c r="P77" i="10" s="1"/>
  <c r="Q77" i="10" s="1"/>
  <c r="R77" i="10" s="1"/>
  <c r="S77" i="10" s="1"/>
  <c r="T77" i="10" s="1"/>
  <c r="U77" i="10" s="1"/>
  <c r="V77" i="10" s="1"/>
  <c r="W77" i="10" s="1"/>
  <c r="X77" i="10" s="1"/>
  <c r="Y77" i="10" s="1"/>
  <c r="Z77" i="10" s="1"/>
  <c r="AA77" i="10" s="1"/>
  <c r="AB77" i="10" s="1"/>
  <c r="C77" i="10"/>
  <c r="D77" i="10" s="1"/>
  <c r="E77" i="10" s="1"/>
  <c r="F77" i="10" s="1"/>
  <c r="G77" i="10" s="1"/>
  <c r="H77" i="10" s="1"/>
  <c r="I77" i="10" s="1"/>
  <c r="B77" i="10"/>
  <c r="AC76" i="10"/>
  <c r="B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AC75" i="10"/>
  <c r="C75" i="10" s="1"/>
  <c r="D75" i="10" s="1"/>
  <c r="E75" i="10" s="1"/>
  <c r="Q75" i="10"/>
  <c r="R75" i="10" s="1"/>
  <c r="S75" i="10" s="1"/>
  <c r="T75" i="10" s="1"/>
  <c r="U75" i="10" s="1"/>
  <c r="V75" i="10" s="1"/>
  <c r="W75" i="10" s="1"/>
  <c r="X75" i="10" s="1"/>
  <c r="Y75" i="10" s="1"/>
  <c r="Z75" i="10" s="1"/>
  <c r="AA75" i="10" s="1"/>
  <c r="AB75" i="10" s="1"/>
  <c r="F75" i="10"/>
  <c r="G75" i="10" s="1"/>
  <c r="H75" i="10" s="1"/>
  <c r="I75" i="10" s="1"/>
  <c r="J75" i="10" s="1"/>
  <c r="K75" i="10" s="1"/>
  <c r="L75" i="10" s="1"/>
  <c r="M75" i="10" s="1"/>
  <c r="N75" i="10" s="1"/>
  <c r="O75" i="10" s="1"/>
  <c r="P75" i="10" s="1"/>
  <c r="B75" i="10"/>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E72" i="10"/>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B72" i="10"/>
  <c r="C72" i="10" s="1"/>
  <c r="D72" i="10" s="1"/>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B70" i="10"/>
  <c r="AC69" i="10"/>
  <c r="D69" i="10"/>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C69" i="10"/>
  <c r="B69" i="10"/>
  <c r="AC68" i="10"/>
  <c r="H68" i="10"/>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C68" i="10"/>
  <c r="D68" i="10" s="1"/>
  <c r="E68" i="10" s="1"/>
  <c r="F68" i="10" s="1"/>
  <c r="G68" i="10" s="1"/>
  <c r="B68" i="10"/>
  <c r="AC67" i="10"/>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AC66" i="10"/>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B65" i="10"/>
  <c r="C65" i="10" s="1"/>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D63" i="10"/>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C63" i="10" s="1"/>
  <c r="AC62" i="10"/>
  <c r="B62" i="10"/>
  <c r="C62" i="10" s="1"/>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AC61" i="10"/>
  <c r="C61" i="10" s="1"/>
  <c r="D61" i="10"/>
  <c r="E61" i="10" s="1"/>
  <c r="B61" i="10"/>
  <c r="AC56" i="10"/>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C55" i="10"/>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E54" i="10"/>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D54" i="10" s="1"/>
  <c r="AC53" i="10"/>
  <c r="C53" i="10"/>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B53" i="10"/>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B51" i="10"/>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C49" i="10" s="1"/>
  <c r="D49" i="10"/>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AC48" i="10"/>
  <c r="F48" i="10"/>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E48" i="10"/>
  <c r="B48" i="10"/>
  <c r="C48" i="10" s="1"/>
  <c r="D48" i="10" s="1"/>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B44" i="10"/>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F42" i="10"/>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C42" i="10"/>
  <c r="D42" i="10" s="1"/>
  <c r="E42" i="10" s="1"/>
  <c r="B42" i="10"/>
  <c r="AC41" i="10"/>
  <c r="H41" i="10"/>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F41" i="10"/>
  <c r="G41" i="10" s="1"/>
  <c r="B41" i="10"/>
  <c r="C41" i="10" s="1"/>
  <c r="D41" i="10" s="1"/>
  <c r="E41" i="10" s="1"/>
  <c r="AC40" i="10"/>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B39" i="10"/>
  <c r="AC38" i="10"/>
  <c r="P38" i="10"/>
  <c r="Q38" i="10" s="1"/>
  <c r="R38" i="10" s="1"/>
  <c r="S38" i="10" s="1"/>
  <c r="T38" i="10" s="1"/>
  <c r="U38" i="10" s="1"/>
  <c r="V38" i="10" s="1"/>
  <c r="W38" i="10" s="1"/>
  <c r="X38" i="10" s="1"/>
  <c r="Y38" i="10" s="1"/>
  <c r="Z38" i="10" s="1"/>
  <c r="AA38" i="10" s="1"/>
  <c r="AB38" i="10" s="1"/>
  <c r="E38" i="10"/>
  <c r="F38" i="10" s="1"/>
  <c r="G38" i="10" s="1"/>
  <c r="H38" i="10" s="1"/>
  <c r="I38" i="10" s="1"/>
  <c r="J38" i="10" s="1"/>
  <c r="K38" i="10" s="1"/>
  <c r="L38" i="10" s="1"/>
  <c r="M38" i="10" s="1"/>
  <c r="N38" i="10" s="1"/>
  <c r="O38" i="10" s="1"/>
  <c r="B38" i="10"/>
  <c r="C38" i="10" s="1"/>
  <c r="D38" i="10" s="1"/>
  <c r="AC37" i="10"/>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B34" i="10"/>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C31" i="10" s="1"/>
  <c r="E31" i="10"/>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D31" i="10"/>
  <c r="B31" i="10"/>
  <c r="AC30" i="10"/>
  <c r="E30" i="10"/>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C30" i="10" s="1"/>
  <c r="D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D27" i="10"/>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C27" i="10" s="1"/>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D25" i="10"/>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C25" i="10"/>
  <c r="B25" i="10"/>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B23" i="10"/>
  <c r="AC22" i="10"/>
  <c r="B22" i="10"/>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B17" i="10"/>
  <c r="AC16" i="10"/>
  <c r="P16" i="10"/>
  <c r="Q16" i="10" s="1"/>
  <c r="R16" i="10" s="1"/>
  <c r="S16" i="10" s="1"/>
  <c r="T16" i="10" s="1"/>
  <c r="U16" i="10" s="1"/>
  <c r="V16" i="10" s="1"/>
  <c r="W16" i="10" s="1"/>
  <c r="X16" i="10" s="1"/>
  <c r="Y16" i="10" s="1"/>
  <c r="Z16" i="10" s="1"/>
  <c r="AA16" i="10" s="1"/>
  <c r="AB16" i="10" s="1"/>
  <c r="E16" i="10"/>
  <c r="F16" i="10" s="1"/>
  <c r="G16" i="10" s="1"/>
  <c r="H16" i="10" s="1"/>
  <c r="I16" i="10" s="1"/>
  <c r="J16" i="10" s="1"/>
  <c r="K16" i="10" s="1"/>
  <c r="L16" i="10" s="1"/>
  <c r="M16" i="10" s="1"/>
  <c r="N16" i="10" s="1"/>
  <c r="O16" i="10" s="1"/>
  <c r="B16" i="10"/>
  <c r="C16" i="10" s="1"/>
  <c r="D16" i="10" s="1"/>
  <c r="AC15" i="10"/>
  <c r="D15" i="10"/>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C15" i="10"/>
  <c r="B15" i="10"/>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B13" i="10"/>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B11" i="10"/>
  <c r="AC10" i="10"/>
  <c r="G10" i="10"/>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C10" i="10"/>
  <c r="D10" i="10" s="1"/>
  <c r="E10" i="10" s="1"/>
  <c r="F10" i="10" s="1"/>
  <c r="B10" i="10"/>
  <c r="AC9" i="10"/>
  <c r="B9" i="10"/>
  <c r="B4" i="10"/>
  <c r="G9" i="9"/>
  <c r="F9" i="9"/>
  <c r="E9" i="9"/>
  <c r="D9" i="9"/>
  <c r="C9" i="9"/>
  <c r="B9" i="9"/>
  <c r="A9" i="9"/>
  <c r="B1" i="9"/>
  <c r="F54" i="7"/>
  <c r="E54" i="7"/>
  <c r="D54" i="7"/>
  <c r="C54" i="7"/>
  <c r="F53" i="7"/>
  <c r="E53" i="7"/>
  <c r="D53" i="7"/>
  <c r="C53" i="7"/>
  <c r="H52" i="7"/>
  <c r="F52" i="7"/>
  <c r="E52" i="7"/>
  <c r="D52" i="7"/>
  <c r="C52" i="7"/>
  <c r="G52" i="7" s="1"/>
  <c r="F51" i="7"/>
  <c r="E51" i="7"/>
  <c r="D51" i="7"/>
  <c r="C51" i="7"/>
  <c r="H51" i="7" s="1"/>
  <c r="F50" i="7"/>
  <c r="E50" i="7"/>
  <c r="D50" i="7"/>
  <c r="C50" i="7"/>
  <c r="H49" i="7"/>
  <c r="F49" i="7"/>
  <c r="G49" i="7" s="1"/>
  <c r="E49" i="7"/>
  <c r="D49" i="7"/>
  <c r="C49" i="7"/>
  <c r="F48" i="7"/>
  <c r="E48" i="7"/>
  <c r="H48" i="7" s="1"/>
  <c r="D48" i="7"/>
  <c r="C48" i="7"/>
  <c r="F47" i="7"/>
  <c r="E47" i="7"/>
  <c r="D47" i="7"/>
  <c r="C47" i="7"/>
  <c r="F46" i="7"/>
  <c r="E46" i="7"/>
  <c r="D46" i="7"/>
  <c r="C46" i="7"/>
  <c r="F45" i="7"/>
  <c r="E45" i="7"/>
  <c r="D45" i="7"/>
  <c r="H45" i="7" s="1"/>
  <c r="C45" i="7"/>
  <c r="H44" i="7"/>
  <c r="F44" i="7"/>
  <c r="G44" i="7" s="1"/>
  <c r="E44" i="7"/>
  <c r="D44" i="7"/>
  <c r="C44" i="7"/>
  <c r="F43" i="7"/>
  <c r="E43" i="7"/>
  <c r="D43" i="7"/>
  <c r="C43" i="7"/>
  <c r="F42" i="7"/>
  <c r="E42" i="7"/>
  <c r="D42" i="7"/>
  <c r="C42" i="7"/>
  <c r="F41" i="7"/>
  <c r="E41" i="7"/>
  <c r="D41" i="7"/>
  <c r="H41" i="7" s="1"/>
  <c r="C41" i="7"/>
  <c r="H40" i="7"/>
  <c r="G40" i="7"/>
  <c r="F40" i="7"/>
  <c r="E40" i="7"/>
  <c r="D40" i="7"/>
  <c r="C40" i="7"/>
  <c r="F39" i="7"/>
  <c r="E39" i="7"/>
  <c r="D39" i="7"/>
  <c r="C39" i="7"/>
  <c r="F38" i="7"/>
  <c r="E38" i="7"/>
  <c r="D38" i="7"/>
  <c r="C38" i="7"/>
  <c r="H38" i="7" s="1"/>
  <c r="F37" i="7"/>
  <c r="E37" i="7"/>
  <c r="D37" i="7"/>
  <c r="G37" i="7" s="1"/>
  <c r="C37" i="7"/>
  <c r="F36" i="7"/>
  <c r="H36" i="7" s="1"/>
  <c r="E36" i="7"/>
  <c r="D36" i="7"/>
  <c r="C36" i="7"/>
  <c r="H35" i="7"/>
  <c r="F35" i="7"/>
  <c r="E35" i="7"/>
  <c r="D35" i="7"/>
  <c r="C35" i="7"/>
  <c r="F34" i="7"/>
  <c r="E34" i="7"/>
  <c r="D34" i="7"/>
  <c r="H34" i="7" s="1"/>
  <c r="C34" i="7"/>
  <c r="F33" i="7"/>
  <c r="E33" i="7"/>
  <c r="D33" i="7"/>
  <c r="H33" i="7" s="1"/>
  <c r="C33" i="7"/>
  <c r="H32" i="7"/>
  <c r="G32" i="7"/>
  <c r="F32" i="7"/>
  <c r="E32" i="7"/>
  <c r="D32" i="7"/>
  <c r="C32" i="7"/>
  <c r="F31" i="7"/>
  <c r="E31" i="7"/>
  <c r="D31" i="7"/>
  <c r="C31" i="7"/>
  <c r="F30" i="7"/>
  <c r="E30" i="7"/>
  <c r="D30" i="7"/>
  <c r="H30" i="7" s="1"/>
  <c r="C30" i="7"/>
  <c r="F29" i="7"/>
  <c r="E29" i="7"/>
  <c r="D29" i="7"/>
  <c r="H29" i="7" s="1"/>
  <c r="C29" i="7"/>
  <c r="H28" i="7"/>
  <c r="G28" i="7"/>
  <c r="F28" i="7"/>
  <c r="E28" i="7"/>
  <c r="D28" i="7"/>
  <c r="C28" i="7"/>
  <c r="H27" i="7"/>
  <c r="F27" i="7"/>
  <c r="E27" i="7"/>
  <c r="D27" i="7"/>
  <c r="C27" i="7"/>
  <c r="F26" i="7"/>
  <c r="E26" i="7"/>
  <c r="D26" i="7"/>
  <c r="C26" i="7"/>
  <c r="F25" i="7"/>
  <c r="E25" i="7"/>
  <c r="D25" i="7"/>
  <c r="H25" i="7" s="1"/>
  <c r="C25" i="7"/>
  <c r="F24" i="7"/>
  <c r="E24" i="7"/>
  <c r="D24" i="7"/>
  <c r="C24" i="7"/>
  <c r="F23" i="7"/>
  <c r="G23" i="7" s="1"/>
  <c r="E23" i="7"/>
  <c r="D23" i="7"/>
  <c r="H23" i="7" s="1"/>
  <c r="C23" i="7"/>
  <c r="F22" i="7"/>
  <c r="E22" i="7"/>
  <c r="D22" i="7"/>
  <c r="C22" i="7"/>
  <c r="F21" i="7"/>
  <c r="E21" i="7"/>
  <c r="D21" i="7"/>
  <c r="H21" i="7" s="1"/>
  <c r="C21" i="7"/>
  <c r="F20" i="7"/>
  <c r="E20" i="7"/>
  <c r="D20" i="7"/>
  <c r="C20" i="7"/>
  <c r="H19" i="7"/>
  <c r="G19" i="7"/>
  <c r="F19" i="7"/>
  <c r="E19" i="7"/>
  <c r="D19" i="7"/>
  <c r="C19" i="7"/>
  <c r="F18" i="7"/>
  <c r="E18" i="7"/>
  <c r="D18" i="7"/>
  <c r="C18" i="7"/>
  <c r="F17" i="7"/>
  <c r="H17" i="7" s="1"/>
  <c r="E17" i="7"/>
  <c r="D17" i="7"/>
  <c r="C17" i="7"/>
  <c r="F16" i="7"/>
  <c r="E16" i="7"/>
  <c r="D16" i="7"/>
  <c r="C16" i="7"/>
  <c r="F15" i="7"/>
  <c r="G15" i="7" s="1"/>
  <c r="E15" i="7"/>
  <c r="D15" i="7"/>
  <c r="C15" i="7"/>
  <c r="F14" i="7"/>
  <c r="E14" i="7"/>
  <c r="D14" i="7"/>
  <c r="C14" i="7"/>
  <c r="H13" i="7"/>
  <c r="F13" i="7"/>
  <c r="E13" i="7"/>
  <c r="D13" i="7"/>
  <c r="C13" i="7"/>
  <c r="F12" i="7"/>
  <c r="E12" i="7"/>
  <c r="D12" i="7"/>
  <c r="H12" i="7" s="1"/>
  <c r="C12" i="7"/>
  <c r="F11" i="7"/>
  <c r="G11" i="7" s="1"/>
  <c r="E11" i="7"/>
  <c r="D11" i="7"/>
  <c r="C11" i="7"/>
  <c r="F10" i="7"/>
  <c r="E10" i="7"/>
  <c r="D10" i="7"/>
  <c r="C10" i="7"/>
  <c r="H9" i="7"/>
  <c r="F9" i="7"/>
  <c r="E9" i="7"/>
  <c r="D9" i="7"/>
  <c r="C9" i="7"/>
  <c r="F8" i="7"/>
  <c r="E8" i="7"/>
  <c r="D8" i="7"/>
  <c r="H8" i="7" s="1"/>
  <c r="C8" i="7"/>
  <c r="H7" i="7"/>
  <c r="G7" i="7"/>
  <c r="F7" i="7"/>
  <c r="E7" i="7"/>
  <c r="D7" i="7"/>
  <c r="C7" i="7"/>
  <c r="B2" i="1"/>
  <c r="B2" i="9" s="1"/>
  <c r="R5" i="9" s="1"/>
  <c r="W5" i="9" l="1"/>
  <c r="Y5" i="9"/>
  <c r="M5" i="9"/>
  <c r="S5" i="9"/>
  <c r="T5" i="9"/>
  <c r="U5" i="9"/>
  <c r="V5" i="9"/>
  <c r="X5" i="9"/>
  <c r="D5" i="9"/>
  <c r="E5" i="9"/>
  <c r="G5" i="9"/>
  <c r="H5" i="9"/>
  <c r="B5" i="10"/>
  <c r="F5" i="9"/>
  <c r="I5" i="9"/>
  <c r="F61" i="10"/>
  <c r="H18" i="7"/>
  <c r="G18" i="7"/>
  <c r="H53" i="7"/>
  <c r="G53" i="7"/>
  <c r="H14" i="7"/>
  <c r="G14" i="7"/>
  <c r="H10" i="7"/>
  <c r="G10" i="7"/>
  <c r="V21" i="10"/>
  <c r="W21" i="10" s="1"/>
  <c r="X21" i="10" s="1"/>
  <c r="Y21" i="10" s="1"/>
  <c r="Z21" i="10" s="1"/>
  <c r="AA21" i="10" s="1"/>
  <c r="AB21" i="10" s="1"/>
  <c r="H15" i="7"/>
  <c r="G45" i="7"/>
  <c r="G29" i="7"/>
  <c r="G33" i="7"/>
  <c r="G41" i="7"/>
  <c r="G46" i="7"/>
  <c r="H46" i="7"/>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H54" i="7"/>
  <c r="G54" i="7"/>
  <c r="G25" i="7"/>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I9" i="9"/>
  <c r="H9" i="9"/>
  <c r="H11" i="7"/>
  <c r="H16" i="7"/>
  <c r="G51" i="7"/>
  <c r="H20" i="7"/>
  <c r="G20" i="7"/>
  <c r="G36" i="7"/>
  <c r="G8" i="7"/>
  <c r="H47" i="7"/>
  <c r="G47" i="7"/>
  <c r="G30" i="7"/>
  <c r="G34" i="7"/>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H37" i="7"/>
  <c r="G12" i="7"/>
  <c r="H26" i="7"/>
  <c r="G26" i="7"/>
  <c r="G21" i="7"/>
  <c r="G9" i="7"/>
  <c r="G17" i="7"/>
  <c r="G38" i="7"/>
  <c r="G48" i="7"/>
  <c r="G24" i="7"/>
  <c r="H24" i="7"/>
  <c r="H50" i="7"/>
  <c r="G50" i="7"/>
  <c r="G16" i="7"/>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H22" i="7"/>
  <c r="G22" i="7"/>
  <c r="G27" i="7"/>
  <c r="D113" i="10"/>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J5" i="9"/>
  <c r="Q5" i="9"/>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G39" i="7"/>
  <c r="H39" i="7"/>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G43" i="7"/>
  <c r="H43" i="7"/>
  <c r="B57" i="10"/>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P5" i="9"/>
  <c r="O5" i="9"/>
  <c r="N5" i="9"/>
  <c r="AB5" i="9"/>
  <c r="C5" i="9"/>
  <c r="Z5" i="9"/>
  <c r="AA5" i="9"/>
  <c r="B5" i="9"/>
  <c r="K5" i="9"/>
  <c r="C9" i="10"/>
  <c r="C92" i="10"/>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H31" i="7"/>
  <c r="G31" i="7"/>
  <c r="G35" i="7"/>
  <c r="L5" i="9"/>
  <c r="B161" i="10"/>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H42" i="7"/>
  <c r="G42" i="7"/>
  <c r="C17" i="10"/>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G13" i="7"/>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C155" i="10"/>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C99" i="10"/>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109" i="10"/>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57" i="10" l="1"/>
  <c r="C171" i="10" s="1"/>
  <c r="C2" i="11" s="1"/>
  <c r="D9" i="10"/>
  <c r="B171" i="10"/>
  <c r="B2" i="11" s="1"/>
  <c r="B172" i="10"/>
  <c r="B2" i="12" s="1"/>
  <c r="B173" i="10"/>
  <c r="B2" i="13" s="1"/>
  <c r="F109" i="10"/>
  <c r="F172" i="10" s="1"/>
  <c r="F2" i="12" s="1"/>
  <c r="G61" i="10"/>
  <c r="E109" i="10"/>
  <c r="E172" i="10" s="1"/>
  <c r="E2" i="12" s="1"/>
  <c r="C161" i="10"/>
  <c r="E113" i="10"/>
  <c r="D161" i="10"/>
  <c r="D173" i="10" s="1"/>
  <c r="D2" i="13" s="1"/>
  <c r="C109" i="10"/>
  <c r="C172" i="10"/>
  <c r="C2" i="12" s="1"/>
  <c r="C173" i="10"/>
  <c r="C2" i="13" s="1"/>
  <c r="D109" i="10"/>
  <c r="D172" i="10" s="1"/>
  <c r="D2" i="12" s="1"/>
  <c r="G109" i="10" l="1"/>
  <c r="G172" i="10" s="1"/>
  <c r="G2" i="12" s="1"/>
  <c r="H61" i="10"/>
  <c r="E161" i="10"/>
  <c r="E173" i="10" s="1"/>
  <c r="E2" i="13" s="1"/>
  <c r="F113" i="10"/>
  <c r="D57" i="10"/>
  <c r="D171" i="10" s="1"/>
  <c r="D2" i="11" s="1"/>
  <c r="E9" i="10"/>
  <c r="F161" i="10" l="1"/>
  <c r="F173" i="10" s="1"/>
  <c r="F2" i="13" s="1"/>
  <c r="G113" i="10"/>
  <c r="H109" i="10"/>
  <c r="H172" i="10" s="1"/>
  <c r="H2" i="12" s="1"/>
  <c r="I61" i="10"/>
  <c r="F9" i="10"/>
  <c r="E57" i="10"/>
  <c r="E171" i="10" s="1"/>
  <c r="E2" i="11" s="1"/>
  <c r="F57" i="10" l="1"/>
  <c r="F171" i="10" s="1"/>
  <c r="F2" i="11" s="1"/>
  <c r="G9" i="10"/>
  <c r="J61" i="10"/>
  <c r="I109" i="10"/>
  <c r="I172" i="10" s="1"/>
  <c r="I2" i="12" s="1"/>
  <c r="H113" i="10"/>
  <c r="G161" i="10"/>
  <c r="G173" i="10" s="1"/>
  <c r="G2" i="13" s="1"/>
  <c r="I113" i="10" l="1"/>
  <c r="H161" i="10"/>
  <c r="H173" i="10" s="1"/>
  <c r="H2" i="13" s="1"/>
  <c r="J109" i="10"/>
  <c r="J172" i="10" s="1"/>
  <c r="J2" i="12" s="1"/>
  <c r="K61" i="10"/>
  <c r="G57" i="10"/>
  <c r="G171" i="10" s="1"/>
  <c r="G2" i="11" s="1"/>
  <c r="H9" i="10"/>
  <c r="H57" i="10" l="1"/>
  <c r="H171" i="10" s="1"/>
  <c r="H2" i="11" s="1"/>
  <c r="I9" i="10"/>
  <c r="K109" i="10"/>
  <c r="K172" i="10" s="1"/>
  <c r="K2" i="12" s="1"/>
  <c r="L61" i="10"/>
  <c r="I161" i="10"/>
  <c r="I173" i="10" s="1"/>
  <c r="I2" i="13" s="1"/>
  <c r="J113" i="10"/>
  <c r="L109" i="10" l="1"/>
  <c r="L172" i="10" s="1"/>
  <c r="L2" i="12" s="1"/>
  <c r="M61" i="10"/>
  <c r="J161" i="10"/>
  <c r="J173" i="10" s="1"/>
  <c r="J2" i="13" s="1"/>
  <c r="K113" i="10"/>
  <c r="I57" i="10"/>
  <c r="I171" i="10" s="1"/>
  <c r="I2" i="11" s="1"/>
  <c r="J9" i="10"/>
  <c r="K161" i="10" l="1"/>
  <c r="K173" i="10" s="1"/>
  <c r="K2" i="13" s="1"/>
  <c r="L113" i="10"/>
  <c r="J57" i="10"/>
  <c r="J171" i="10" s="1"/>
  <c r="J2" i="11" s="1"/>
  <c r="K9" i="10"/>
  <c r="N61" i="10"/>
  <c r="M109" i="10"/>
  <c r="M172" i="10" s="1"/>
  <c r="M2" i="12" s="1"/>
  <c r="L9" i="10" l="1"/>
  <c r="K57" i="10"/>
  <c r="K171" i="10" s="1"/>
  <c r="K2" i="11" s="1"/>
  <c r="M113" i="10"/>
  <c r="L161" i="10"/>
  <c r="L173" i="10" s="1"/>
  <c r="L2" i="13" s="1"/>
  <c r="N109" i="10"/>
  <c r="N172" i="10" s="1"/>
  <c r="N2" i="12" s="1"/>
  <c r="O61" i="10"/>
  <c r="M9" i="10" l="1"/>
  <c r="L57" i="10"/>
  <c r="L171" i="10" s="1"/>
  <c r="L2" i="11" s="1"/>
  <c r="P61" i="10"/>
  <c r="O109" i="10"/>
  <c r="O172" i="10" s="1"/>
  <c r="O2" i="12" s="1"/>
  <c r="M161" i="10"/>
  <c r="M173" i="10" s="1"/>
  <c r="M2" i="13" s="1"/>
  <c r="N113" i="10"/>
  <c r="N9" i="10" l="1"/>
  <c r="M57" i="10"/>
  <c r="M171" i="10" s="1"/>
  <c r="M2" i="11" s="1"/>
  <c r="N161" i="10"/>
  <c r="N173" i="10" s="1"/>
  <c r="N2" i="13" s="1"/>
  <c r="O113" i="10"/>
  <c r="P109" i="10"/>
  <c r="P172" i="10" s="1"/>
  <c r="P2" i="12" s="1"/>
  <c r="Q61" i="10"/>
  <c r="O161" i="10" l="1"/>
  <c r="O173" i="10" s="1"/>
  <c r="O2" i="13" s="1"/>
  <c r="P113" i="10"/>
  <c r="N57" i="10"/>
  <c r="N171" i="10" s="1"/>
  <c r="N2" i="11" s="1"/>
  <c r="O9" i="10"/>
  <c r="Q109" i="10"/>
  <c r="Q172" i="10" s="1"/>
  <c r="Q2" i="12" s="1"/>
  <c r="R61" i="10"/>
  <c r="R109" i="10" l="1"/>
  <c r="R172" i="10" s="1"/>
  <c r="R2" i="12" s="1"/>
  <c r="S61" i="10"/>
  <c r="O57" i="10"/>
  <c r="O171" i="10" s="1"/>
  <c r="O2" i="11" s="1"/>
  <c r="P9" i="10"/>
  <c r="P161" i="10"/>
  <c r="P173" i="10" s="1"/>
  <c r="P2" i="13" s="1"/>
  <c r="Q113" i="10"/>
  <c r="Q161" i="10" l="1"/>
  <c r="Q173" i="10" s="1"/>
  <c r="Q2" i="13" s="1"/>
  <c r="R113" i="10"/>
  <c r="P57" i="10"/>
  <c r="P171" i="10" s="1"/>
  <c r="P2" i="11" s="1"/>
  <c r="Q9" i="10"/>
  <c r="T61" i="10"/>
  <c r="S109" i="10"/>
  <c r="S172" i="10" s="1"/>
  <c r="S2" i="12" s="1"/>
  <c r="U61" i="10" l="1"/>
  <c r="T109" i="10"/>
  <c r="T172" i="10" s="1"/>
  <c r="T2" i="12" s="1"/>
  <c r="Q57" i="10"/>
  <c r="Q171" i="10" s="1"/>
  <c r="Q2" i="11" s="1"/>
  <c r="R9" i="10"/>
  <c r="R161" i="10"/>
  <c r="R173" i="10" s="1"/>
  <c r="R2" i="13" s="1"/>
  <c r="S113" i="10"/>
  <c r="S161" i="10" l="1"/>
  <c r="S173" i="10" s="1"/>
  <c r="S2" i="13" s="1"/>
  <c r="T113" i="10"/>
  <c r="R57" i="10"/>
  <c r="R171" i="10" s="1"/>
  <c r="R2" i="11" s="1"/>
  <c r="S9" i="10"/>
  <c r="V61" i="10"/>
  <c r="U109" i="10"/>
  <c r="U172" i="10" s="1"/>
  <c r="U2" i="12" s="1"/>
  <c r="V109" i="10" l="1"/>
  <c r="V172" i="10" s="1"/>
  <c r="V2" i="12" s="1"/>
  <c r="W61" i="10"/>
  <c r="T9" i="10"/>
  <c r="S57" i="10"/>
  <c r="S171" i="10" s="1"/>
  <c r="S2" i="11" s="1"/>
  <c r="U113" i="10"/>
  <c r="T161" i="10"/>
  <c r="T173" i="10" s="1"/>
  <c r="T2" i="13" s="1"/>
  <c r="V113" i="10" l="1"/>
  <c r="U161" i="10"/>
  <c r="U173" i="10" s="1"/>
  <c r="U2" i="13" s="1"/>
  <c r="U9" i="10"/>
  <c r="T57" i="10"/>
  <c r="T171" i="10" s="1"/>
  <c r="T2" i="11" s="1"/>
  <c r="X61" i="10"/>
  <c r="W109" i="10"/>
  <c r="W172" i="10" s="1"/>
  <c r="W2" i="12" s="1"/>
  <c r="V9" i="10" l="1"/>
  <c r="U57" i="10"/>
  <c r="U171" i="10" s="1"/>
  <c r="U2" i="11" s="1"/>
  <c r="Y61" i="10"/>
  <c r="X109" i="10"/>
  <c r="X172" i="10" s="1"/>
  <c r="X2" i="12" s="1"/>
  <c r="V161" i="10"/>
  <c r="V173" i="10" s="1"/>
  <c r="V2" i="13" s="1"/>
  <c r="W113" i="10"/>
  <c r="X113" i="10" l="1"/>
  <c r="W161" i="10"/>
  <c r="W173" i="10" s="1"/>
  <c r="W2" i="13" s="1"/>
  <c r="Y109" i="10"/>
  <c r="Y172" i="10" s="1"/>
  <c r="Y2" i="12" s="1"/>
  <c r="Z61" i="10"/>
  <c r="V57" i="10"/>
  <c r="V171" i="10" s="1"/>
  <c r="V2" i="11" s="1"/>
  <c r="W9" i="10"/>
  <c r="Z109" i="10" l="1"/>
  <c r="Z172" i="10" s="1"/>
  <c r="Z2" i="12" s="1"/>
  <c r="AA61" i="10"/>
  <c r="W57" i="10"/>
  <c r="W171" i="10" s="1"/>
  <c r="W2" i="11" s="1"/>
  <c r="X9" i="10"/>
  <c r="X161" i="10"/>
  <c r="X173" i="10" s="1"/>
  <c r="X2" i="13" s="1"/>
  <c r="Y113" i="10"/>
  <c r="Y161" i="10" l="1"/>
  <c r="Y173" i="10" s="1"/>
  <c r="Y2" i="13" s="1"/>
  <c r="Z113" i="10"/>
  <c r="X57" i="10"/>
  <c r="X171" i="10" s="1"/>
  <c r="X2" i="11" s="1"/>
  <c r="Y9" i="10"/>
  <c r="AB61" i="10"/>
  <c r="AB109" i="10" s="1"/>
  <c r="AB172" i="10" s="1"/>
  <c r="AB2" i="12" s="1"/>
  <c r="AA109" i="10"/>
  <c r="AA172" i="10" s="1"/>
  <c r="AA2" i="12" s="1"/>
  <c r="Y57" i="10" l="1"/>
  <c r="Y171" i="10" s="1"/>
  <c r="Y2" i="11" s="1"/>
  <c r="Z9" i="10"/>
  <c r="AA113" i="10"/>
  <c r="Z161" i="10"/>
  <c r="Z173" i="10" s="1"/>
  <c r="Z2" i="13" s="1"/>
  <c r="AB113" i="10" l="1"/>
  <c r="AB161" i="10" s="1"/>
  <c r="AB173" i="10" s="1"/>
  <c r="AB2" i="13" s="1"/>
  <c r="AA161" i="10"/>
  <c r="AA173" i="10" s="1"/>
  <c r="AA2" i="13" s="1"/>
  <c r="AA9" i="10"/>
  <c r="Z57" i="10"/>
  <c r="Z171" i="10" s="1"/>
  <c r="Z2" i="11" s="1"/>
  <c r="AA57" i="10" l="1"/>
  <c r="AA171" i="10" s="1"/>
  <c r="AA2" i="11" s="1"/>
  <c r="AB9" i="10"/>
  <c r="AB57" i="10" s="1"/>
  <c r="AB171" i="10" s="1"/>
  <c r="AB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<sst xmlns="http://schemas.openxmlformats.org/spreadsheetml/2006/main" count="725" uniqueCount="267">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</sst>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12</v>
      </c>
      <c r="C1" s="11">
        <v>46266</v>
      </c>
      <c r="F1" s="1" t="s">
        <v>2</v>
      </c>
      <c r="G1" s="1" t="s">
        <v>3</v>
      </c>
    </row>
    <row r="2" spans="1:7" x14ac:dyDescent="0.45">
      <c r="A2" s="1" t="s">
        <v>4</v>
      </c>
      <c r="B2" t="str">
        <f>INDEX($G$2:$G$49,MATCH($B$1,$F$2:$F$49,0))</f>
        <v>CA</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California</v>
      </c>
    </row>
    <row r="2" spans="1:28" x14ac:dyDescent="0.45">
      <c r="B2" t="str">
        <f>About!B2</f>
        <v>CA</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California</v>
      </c>
    </row>
    <row r="5" spans="1:29" x14ac:dyDescent="0.45">
      <c r="A5" t="s">
        <v>246</v>
      </c>
      <c r="B5" t="str">
        <f>About!$B$2</f>
        <v>CA</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6922094.2513705185</v>
      </c>
      <c r="C171">
        <f>IF('State Calculations'!C$5&lt;&gt;"",B171*(1+'State Calculations'!C$5),IFERROR(INDEX(C9:C56,MATCH($B$5,$A9:$A56,0))/C57*C165,0))</f>
        <v>7470324.158746344</v>
      </c>
      <c r="D171">
        <f>IF('State Calculations'!D$5&lt;&gt;"",C171*(1+'State Calculations'!D$5),IFERROR(INDEX(D9:D56,MATCH($B$5,$A9:$A56,0))/D57*D165,0))</f>
        <v>8034288.7674402557</v>
      </c>
      <c r="E171">
        <f>IF('State Calculations'!E$5&lt;&gt;"",D171*(1+'State Calculations'!E$5),IFERROR(INDEX(E9:E56,MATCH($B$5,$A9:$A56,0))/E57*E165,0))</f>
        <v>8605271.3395755179</v>
      </c>
      <c r="F171">
        <f>IF('State Calculations'!F$5&lt;&gt;"",E171*(1+'State Calculations'!F$5),IFERROR(INDEX(F9:F56,MATCH($B$5,$A9:$A56,0))/F57*F165,0))</f>
        <v>9169410.9020336792</v>
      </c>
      <c r="G171">
        <f>IF('State Calculations'!G$5&lt;&gt;"",F171*(1+'State Calculations'!G$5),IFERROR(INDEX(G9:G56,MATCH($B$5,$A9:$A56,0))/G57*G165,0))</f>
        <v>9704464.9787182268</v>
      </c>
      <c r="H171">
        <f>IF('State Calculations'!H$5&lt;&gt;"",G171*(1+'State Calculations'!H$5),IFERROR(INDEX(H9:H56,MATCH($B$5,$A9:$A56,0))/H57*H165,0))</f>
        <v>10174430.429430341</v>
      </c>
      <c r="I171">
        <f>IF('State Calculations'!I$5&lt;&gt;"",H171*(1+'State Calculations'!I$5),IFERROR(INDEX(I9:I56,MATCH($B$5,$A9:$A56,0))/I57*I165,0))</f>
        <v>10267172.670039464</v>
      </c>
      <c r="J171">
        <f>IF('State Calculations'!J$5&lt;&gt;"",I171*(1+'State Calculations'!J$5),IFERROR(INDEX(J9:J56,MATCH($B$5,$A9:$A56,0))/J57*J165,0))</f>
        <v>10345190.701506691</v>
      </c>
      <c r="K171">
        <f>IF('State Calculations'!K$5&lt;&gt;"",J171*(1+'State Calculations'!K$5),IFERROR(INDEX(K9:K56,MATCH($B$5,$A9:$A56,0))/K57*K165,0))</f>
        <v>10405549.143436264</v>
      </c>
      <c r="L171">
        <f>IF('State Calculations'!L$5&lt;&gt;"",K171*(1+'State Calculations'!L$5),IFERROR(INDEX(L9:L56,MATCH($B$5,$A9:$A56,0))/L57*L165,0))</f>
        <v>10444837.60917501</v>
      </c>
      <c r="M171">
        <f>IF('State Calculations'!M$5&lt;&gt;"",L171*(1+'State Calculations'!M$5),IFERROR(INDEX(M9:M56,MATCH($B$5,$A9:$A56,0))/M57*M165,0))</f>
        <v>10459138.043817697</v>
      </c>
      <c r="N171">
        <f>IF('State Calculations'!N$5&lt;&gt;"",M171*(1+'State Calculations'!N$5),IFERROR(INDEX(N9:N56,MATCH($B$5,$A9:$A56,0))/N57*N165,0))</f>
        <v>10455275.080398465</v>
      </c>
      <c r="O171">
        <f>IF('State Calculations'!O$5&lt;&gt;"",N171*(1+'State Calculations'!O$5),IFERROR(INDEX(O9:O56,MATCH($B$5,$A9:$A56,0))/O57*O165,0))</f>
        <v>10449144.907955749</v>
      </c>
      <c r="P171">
        <f>IF('State Calculations'!P$5&lt;&gt;"",O171*(1+'State Calculations'!P$5),IFERROR(INDEX(P9:P56,MATCH($B$5,$A9:$A56,0))/P57*P165,0))</f>
        <v>10440647.509057917</v>
      </c>
      <c r="Q171">
        <f>IF('State Calculations'!Q$5&lt;&gt;"",P171*(1+'State Calculations'!Q$5),IFERROR(INDEX(Q9:Q56,MATCH($B$5,$A9:$A56,0))/Q57*Q165,0))</f>
        <v>10429680.204490546</v>
      </c>
      <c r="R171">
        <f>IF('State Calculations'!R$5&lt;&gt;"",Q171*(1+'State Calculations'!R$5),IFERROR(INDEX(R9:R56,MATCH($B$5,$A9:$A56,0))/R57*R165,0))</f>
        <v>10416137.804848099</v>
      </c>
      <c r="S171">
        <f>IF('State Calculations'!S$5&lt;&gt;"",R171*(1+'State Calculations'!S$5),IFERROR(INDEX(S9:S56,MATCH($B$5,$A9:$A56,0))/S57*S165,0))</f>
        <v>10412053.051129712</v>
      </c>
      <c r="T171">
        <f>IF('State Calculations'!T$5&lt;&gt;"",S171*(1+'State Calculations'!T$5),IFERROR(INDEX(T9:T56,MATCH($B$5,$A9:$A56,0))/T57*T165,0))</f>
        <v>10407790.791947316</v>
      </c>
      <c r="U171">
        <f>IF('State Calculations'!U$5&lt;&gt;"",T171*(1+'State Calculations'!U$5),IFERROR(INDEX(U9:U56,MATCH($B$5,$A9:$A56,0))/U57*U165,0))</f>
        <v>10403349.183393555</v>
      </c>
      <c r="V171">
        <f>IF('State Calculations'!V$5&lt;&gt;"",U171*(1+'State Calculations'!V$5),IFERROR(INDEX(V9:V56,MATCH($B$5,$A9:$A56,0))/V57*V165,0))</f>
        <v>10398726.372859681</v>
      </c>
      <c r="W171">
        <f>IF('State Calculations'!W$5&lt;&gt;"",V171*(1+'State Calculations'!W$5),IFERROR(INDEX(W9:W56,MATCH($B$5,$A9:$A56,0))/W57*W165,0))</f>
        <v>10393920.499332311</v>
      </c>
      <c r="X171">
        <f>IF('State Calculations'!X$5&lt;&gt;"",W171*(1+'State Calculations'!X$5),IFERROR(INDEX(X9:X56,MATCH($B$5,$A9:$A56,0))/X57*X165,0))</f>
        <v>10392670.508443337</v>
      </c>
      <c r="Y171">
        <f>IF('State Calculations'!Y$5&lt;&gt;"",X171*(1+'State Calculations'!Y$5),IFERROR(INDEX(Y9:Y56,MATCH($B$5,$A9:$A56,0))/Y57*Y165,0))</f>
        <v>10391408.789435709</v>
      </c>
      <c r="Z171">
        <f>IF('State Calculations'!Z$5&lt;&gt;"",Y171*(1+'State Calculations'!Z$5),IFERROR(INDEX(Z9:Z56,MATCH($B$5,$A9:$A56,0))/Z57*Z165,0))</f>
        <v>10390135.312420197</v>
      </c>
      <c r="AA171">
        <f>IF('State Calculations'!AA$5&lt;&gt;"",Z171*(1+'State Calculations'!AA$5),IFERROR(INDEX(AA9:AA56,MATCH($B$5,$A9:$A56,0))/AA57*AA165,0))</f>
        <v>10388850.047476908</v>
      </c>
      <c r="AB171">
        <f>IF('State Calculations'!AB$5&lt;&gt;"",AA171*(1+'State Calculations'!AB$5),IFERROR(INDEX(AB9:AB56,MATCH($B$5,$A9:$A56,0))/AB57*AB165,0))</f>
        <v>10387552.964655632</v>
      </c>
    </row>
    <row r="172" spans="1:29" x14ac:dyDescent="0.45">
      <c r="A172" s="1" t="s">
        <v>262</v>
      </c>
      <c r="B172">
        <f>IF('State Calculations'!B$5&lt;&gt;"",A172*(1+'State Calculations'!B$5),IFERROR(INDEX(B61:B108,MATCH($B$5,$A61:$A108,0))/B109*B166,0))</f>
        <v>6922094.2513705185</v>
      </c>
      <c r="C172">
        <f>IF('State Calculations'!C$5&lt;&gt;"",B172*(1+'State Calculations'!C$5),IFERROR(INDEX(C61:C108,MATCH($B$5,$A61:$A108,0))/C109*C166,0))</f>
        <v>7974746.784135933</v>
      </c>
      <c r="D172">
        <f>IF('State Calculations'!D$5&lt;&gt;"",C172*(1+'State Calculations'!D$5),IFERROR(INDEX(D61:D108,MATCH($B$5,$A61:$A108,0))/D109*D166,0))</f>
        <v>9128800.5671701394</v>
      </c>
      <c r="E172">
        <f>IF('State Calculations'!E$5&lt;&gt;"",D172*(1+'State Calculations'!E$5),IFERROR(INDEX(E61:E108,MATCH($B$5,$A61:$A108,0))/E109*E166,0))</f>
        <v>10372062.174075205</v>
      </c>
      <c r="F172">
        <f>IF('State Calculations'!F$5&lt;&gt;"",E172*(1+'State Calculations'!F$5),IFERROR(INDEX(F61:F108,MATCH($B$5,$A61:$A108,0))/F109*F166,0))</f>
        <v>11679166.644106213</v>
      </c>
      <c r="G172">
        <f>IF('State Calculations'!G$5&lt;&gt;"",F172*(1+'State Calculations'!G$5),IFERROR(INDEX(G61:G108,MATCH($B$5,$A61:$A108,0))/G109*G166,0))</f>
        <v>13004883.426741714</v>
      </c>
      <c r="H172">
        <f>IF('State Calculations'!H$5&lt;&gt;"",G172*(1+'State Calculations'!H$5),IFERROR(INDEX(H61:H108,MATCH($B$5,$A61:$A108,0))/H109*H166,0))</f>
        <v>14275300.180473404</v>
      </c>
      <c r="I172">
        <f>IF('State Calculations'!I$5&lt;&gt;"",H172*(1+'State Calculations'!I$5),IFERROR(INDEX(I61:I108,MATCH($B$5,$A61:$A108,0))/I109*I166,0))</f>
        <v>14552066.541850766</v>
      </c>
      <c r="J172">
        <f>IF('State Calculations'!J$5&lt;&gt;"",I172*(1+'State Calculations'!J$5),IFERROR(INDEX(J61:J108,MATCH($B$5,$A61:$A108,0))/J109*J166,0))</f>
        <v>14803102.785064142</v>
      </c>
      <c r="K172">
        <f>IF('State Calculations'!K$5&lt;&gt;"",J172*(1+'State Calculations'!K$5),IFERROR(INDEX(K61:K108,MATCH($B$5,$A61:$A108,0))/K109*K166,0))</f>
        <v>15023208.172260413</v>
      </c>
      <c r="L172">
        <f>IF('State Calculations'!L$5&lt;&gt;"",K172*(1+'State Calculations'!L$5),IFERROR(INDEX(L61:L108,MATCH($B$5,$A61:$A108,0))/L109*L166,0))</f>
        <v>15206644.0836045</v>
      </c>
      <c r="M172">
        <f>IF('State Calculations'!M$5&lt;&gt;"",L172*(1+'State Calculations'!M$5),IFERROR(INDEX(M61:M108,MATCH($B$5,$A61:$A108,0))/M109*M166,0))</f>
        <v>15347165.975587975</v>
      </c>
      <c r="N172">
        <f>IF('State Calculations'!N$5&lt;&gt;"",M172*(1+'State Calculations'!N$5),IFERROR(INDEX(N61:N108,MATCH($B$5,$A61:$A108,0))/N109*N166,0))</f>
        <v>15368194.386910832</v>
      </c>
      <c r="O172">
        <f>IF('State Calculations'!O$5&lt;&gt;"",N172*(1+'State Calculations'!O$5),IFERROR(INDEX(O61:O108,MATCH($B$5,$A61:$A108,0))/O109*O166,0))</f>
        <v>15385341.425878979</v>
      </c>
      <c r="P172">
        <f>IF('State Calculations'!P$5&lt;&gt;"",O172*(1+'State Calculations'!P$5),IFERROR(INDEX(P61:P108,MATCH($B$5,$A61:$A108,0))/P109*P166,0))</f>
        <v>15398463.600257335</v>
      </c>
      <c r="Q172">
        <f>IF('State Calculations'!Q$5&lt;&gt;"",P172*(1+'State Calculations'!Q$5),IFERROR(INDEX(Q61:Q108,MATCH($B$5,$A61:$A108,0))/Q109*Q166,0))</f>
        <v>15407415.947165566</v>
      </c>
      <c r="R172">
        <f>IF('State Calculations'!R$5&lt;&gt;"",Q172*(1+'State Calculations'!R$5),IFERROR(INDEX(R61:R108,MATCH($B$5,$A61:$A108,0))/R109*R166,0))</f>
        <v>15412052.353701424</v>
      </c>
      <c r="S172">
        <f>IF('State Calculations'!S$5&lt;&gt;"",R172*(1+'State Calculations'!S$5),IFERROR(INDEX(S61:S108,MATCH($B$5,$A61:$A108,0))/S109*S166,0))</f>
        <v>15411916.385845598</v>
      </c>
      <c r="T172">
        <f>IF('State Calculations'!T$5&lt;&gt;"",S172*(1+'State Calculations'!T$5),IFERROR(INDEX(T61:T108,MATCH($B$5,$A61:$A108,0))/T109*T166,0))</f>
        <v>15411484.330027483</v>
      </c>
      <c r="U172">
        <f>IF('State Calculations'!U$5&lt;&gt;"",T172*(1+'State Calculations'!U$5),IFERROR(INDEX(U61:U108,MATCH($B$5,$A61:$A108,0))/U109*U166,0))</f>
        <v>15410753.696070688</v>
      </c>
      <c r="V172">
        <f>IF('State Calculations'!V$5&lt;&gt;"",U172*(1+'State Calculations'!V$5),IFERROR(INDEX(V61:V108,MATCH($B$5,$A61:$A108,0))/V109*V166,0))</f>
        <v>15409721.992619922</v>
      </c>
      <c r="W172">
        <f>IF('State Calculations'!W$5&lt;&gt;"",V172*(1+'State Calculations'!W$5),IFERROR(INDEX(W61:W108,MATCH($B$5,$A61:$A108,0))/W109*W166,0))</f>
        <v>15408386.72763245</v>
      </c>
      <c r="X172">
        <f>IF('State Calculations'!X$5&lt;&gt;"",W172*(1+'State Calculations'!X$5),IFERROR(INDEX(X61:X108,MATCH($B$5,$A61:$A108,0))/X109*X166,0))</f>
        <v>15407963.686995028</v>
      </c>
      <c r="Y172">
        <f>IF('State Calculations'!Y$5&lt;&gt;"",X172*(1+'State Calculations'!Y$5),IFERROR(INDEX(Y61:Y108,MATCH($B$5,$A61:$A108,0))/Y109*Y166,0))</f>
        <v>15407521.224892206</v>
      </c>
      <c r="Z172">
        <f>IF('State Calculations'!Z$5&lt;&gt;"",Y172*(1+'State Calculations'!Z$5),IFERROR(INDEX(Z61:Z108,MATCH($B$5,$A61:$A108,0))/Z109*Z166,0))</f>
        <v>15407059.301583016</v>
      </c>
      <c r="AA172">
        <f>IF('State Calculations'!AA$5&lt;&gt;"",Z172*(1+'State Calculations'!AA$5),IFERROR(INDEX(AA61:AA108,MATCH($B$5,$A61:$A108,0))/AA109*AA166,0))</f>
        <v>15406577.877328474</v>
      </c>
      <c r="AB172">
        <f>IF('State Calculations'!AB$5&lt;&gt;"",AA172*(1+'State Calculations'!AB$5),IFERROR(INDEX(AB61:AB108,MATCH($B$5,$A61:$A108,0))/AB109*AB166,0))</f>
        <v>15406076.9123921</v>
      </c>
    </row>
    <row r="173" spans="1:29" x14ac:dyDescent="0.45">
      <c r="A173" s="1" t="s">
        <v>263</v>
      </c>
      <c r="B173">
        <f>IF('State Calculations'!B$5&lt;&gt;"",A173*(1+'State Calculations'!B$5),IFERROR(INDEX(B113:B160,MATCH($B$5,$A113:$A160,0))/B161*B167,0))</f>
        <v>6922094.2513705185</v>
      </c>
      <c r="C173">
        <f>IF('State Calculations'!C$5&lt;&gt;"",B173*(1+'State Calculations'!C$5),IFERROR(INDEX(C113:C160,MATCH($B$5,$A113:$A160,0))/C161*C167,0))</f>
        <v>8408724.2676637731</v>
      </c>
      <c r="D173">
        <f>IF('State Calculations'!D$5&lt;&gt;"",C173*(1+'State Calculations'!D$5),IFERROR(INDEX(D113:D160,MATCH($B$5,$A113:$A160,0))/D161*D167,0))</f>
        <v>10138319.250011701</v>
      </c>
      <c r="E173">
        <f>IF('State Calculations'!E$5&lt;&gt;"",D173*(1+'State Calculations'!E$5),IFERROR(INDEX(E113:E160,MATCH($B$5,$A113:$A160,0))/E161*E167,0))</f>
        <v>12119768.775263609</v>
      </c>
      <c r="F173">
        <f>IF('State Calculations'!F$5&lt;&gt;"",E173*(1+'State Calculations'!F$5),IFERROR(INDEX(F113:F160,MATCH($B$5,$A113:$A160,0))/F161*F167,0))</f>
        <v>14343573.123954302</v>
      </c>
      <c r="G173">
        <f>IF('State Calculations'!G$5&lt;&gt;"",F173*(1+'State Calculations'!G$5),IFERROR(INDEX(G113:G160,MATCH($B$5,$A113:$A160,0))/G161*G167,0))</f>
        <v>16768592.497945925</v>
      </c>
      <c r="H173">
        <f>IF('State Calculations'!H$5&lt;&gt;"",G173*(1+'State Calculations'!H$5),IFERROR(INDEX(H113:H160,MATCH($B$5,$A113:$A160,0))/H161*H167,0))</f>
        <v>19303068.957188584</v>
      </c>
      <c r="I173">
        <f>IF('State Calculations'!I$5&lt;&gt;"",H173*(1+'State Calculations'!I$5),IFERROR(INDEX(I113:I160,MATCH($B$5,$A113:$A160,0))/I161*I167,0))</f>
        <v>19918885.752279308</v>
      </c>
      <c r="J173">
        <f>IF('State Calculations'!J$5&lt;&gt;"",I173*(1+'State Calculations'!J$5),IFERROR(INDEX(J113:J160,MATCH($B$5,$A113:$A160,0))/J161*J167,0))</f>
        <v>20505274.780121569</v>
      </c>
      <c r="K173">
        <f>IF('State Calculations'!K$5&lt;&gt;"",J173*(1+'State Calculations'!K$5),IFERROR(INDEX(K113:K160,MATCH($B$5,$A113:$A160,0))/K161*K167,0))</f>
        <v>21052632.533919368</v>
      </c>
      <c r="L173">
        <f>IF('State Calculations'!L$5&lt;&gt;"",K173*(1+'State Calculations'!L$5),IFERROR(INDEX(L113:L160,MATCH($B$5,$A113:$A160,0))/L161*L167,0))</f>
        <v>21550115.546706628</v>
      </c>
      <c r="M173">
        <f>IF('State Calculations'!M$5&lt;&gt;"",L173*(1+'State Calculations'!M$5),IFERROR(INDEX(M113:M160,MATCH($B$5,$A113:$A160,0))/M161*M167,0))</f>
        <v>21985666.862481922</v>
      </c>
      <c r="N173">
        <f>IF('State Calculations'!N$5&lt;&gt;"",M173*(1+'State Calculations'!N$5),IFERROR(INDEX(N113:N160,MATCH($B$5,$A113:$A160,0))/N161*N167,0))</f>
        <v>22072081.923096675</v>
      </c>
      <c r="O173">
        <f>IF('State Calculations'!O$5&lt;&gt;"",N173*(1+'State Calculations'!O$5),IFERROR(INDEX(O113:O160,MATCH($B$5,$A113:$A160,0))/O161*O167,0))</f>
        <v>22152247.338455819</v>
      </c>
      <c r="P173">
        <f>IF('State Calculations'!P$5&lt;&gt;"",O173*(1+'State Calculations'!P$5),IFERROR(INDEX(P113:P160,MATCH($B$5,$A113:$A160,0))/P161*P167,0))</f>
        <v>22225868.830187693</v>
      </c>
      <c r="Q173">
        <f>IF('State Calculations'!Q$5&lt;&gt;"",P173*(1+'State Calculations'!Q$5),IFERROR(INDEX(Q113:Q160,MATCH($B$5,$A113:$A160,0))/Q161*Q167,0))</f>
        <v>22292647.792436779</v>
      </c>
      <c r="R173">
        <f>IF('State Calculations'!R$5&lt;&gt;"",Q173*(1+'State Calculations'!R$5),IFERROR(INDEX(R113:R160,MATCH($B$5,$A113:$A160,0))/R161*R167,0))</f>
        <v>22352281.953564957</v>
      </c>
      <c r="S173">
        <f>IF('State Calculations'!S$5&lt;&gt;"",R173*(1+'State Calculations'!S$5),IFERROR(INDEX(S113:S160,MATCH($B$5,$A113:$A160,0))/S161*S167,0))</f>
        <v>22364944.00463111</v>
      </c>
      <c r="T173">
        <f>IF('State Calculations'!T$5&lt;&gt;"",S173*(1+'State Calculations'!T$5),IFERROR(INDEX(T113:T160,MATCH($B$5,$A113:$A160,0))/T161*T167,0))</f>
        <v>22377104.989491701</v>
      </c>
      <c r="U173">
        <f>IF('State Calculations'!U$5&lt;&gt;"",T173*(1+'State Calculations'!U$5),IFERROR(INDEX(U113:U160,MATCH($B$5,$A113:$A160,0))/U161*U167,0))</f>
        <v>22388759.685646016</v>
      </c>
      <c r="V173">
        <f>IF('State Calculations'!V$5&lt;&gt;"",U173*(1+'State Calculations'!V$5),IFERROR(INDEX(V113:V160,MATCH($B$5,$A113:$A160,0))/V161*V167,0))</f>
        <v>22399902.863104746</v>
      </c>
      <c r="W173">
        <f>IF('State Calculations'!W$5&lt;&gt;"",V173*(1+'State Calculations'!W$5),IFERROR(INDEX(W113:W160,MATCH($B$5,$A113:$A160,0))/W161*W167,0))</f>
        <v>22410529.285460643</v>
      </c>
      <c r="X173">
        <f>IF('State Calculations'!X$5&lt;&gt;"",W173*(1+'State Calculations'!X$5),IFERROR(INDEX(X113:X160,MATCH($B$5,$A113:$A160,0))/X161*X167,0))</f>
        <v>22413028.168190096</v>
      </c>
      <c r="Y173">
        <f>IF('State Calculations'!Y$5&lt;&gt;"",X173*(1+'State Calculations'!Y$5),IFERROR(INDEX(Y113:Y160,MATCH($B$5,$A113:$A160,0))/Y161*Y167,0))</f>
        <v>22415493.814928439</v>
      </c>
      <c r="Z173">
        <f>IF('State Calculations'!Z$5&lt;&gt;"",Y173*(1+'State Calculations'!Z$5),IFERROR(INDEX(Z113:Z160,MATCH($B$5,$A113:$A160,0))/Z161*Z167,0))</f>
        <v>22417926.141896646</v>
      </c>
      <c r="AA173">
        <f>IF('State Calculations'!AA$5&lt;&gt;"",Z173*(1+'State Calculations'!AA$5),IFERROR(INDEX(AA113:AA160,MATCH($B$5,$A113:$A160,0))/AA161*AA167,0))</f>
        <v>22420325.065300744</v>
      </c>
      <c r="AB173">
        <f>IF('State Calculations'!AB$5&lt;&gt;"",AA173*(1+'State Calculations'!AB$5),IFERROR(INDEX(AB113:AB160,MATCH($B$5,$A113:$A160,0))/AB161*AB167,0))</f>
        <v>22422690.501332942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6922094.2513705185</v>
      </c>
      <c r="C2">
        <f>Calcs!C171</f>
        <v>7470324.158746344</v>
      </c>
      <c r="D2">
        <f>Calcs!D171</f>
        <v>8034288.7674402557</v>
      </c>
      <c r="E2">
        <f>Calcs!E171</f>
        <v>8605271.3395755179</v>
      </c>
      <c r="F2">
        <f>Calcs!F171</f>
        <v>9169410.9020336792</v>
      </c>
      <c r="G2">
        <f>Calcs!G171</f>
        <v>9704464.9787182268</v>
      </c>
      <c r="H2">
        <f>Calcs!H171</f>
        <v>10174430.429430341</v>
      </c>
      <c r="I2">
        <f>Calcs!I171</f>
        <v>10267172.670039464</v>
      </c>
      <c r="J2">
        <f>Calcs!J171</f>
        <v>10345190.701506691</v>
      </c>
      <c r="K2">
        <f>Calcs!K171</f>
        <v>10405549.143436264</v>
      </c>
      <c r="L2">
        <f>Calcs!L171</f>
        <v>10444837.60917501</v>
      </c>
      <c r="M2">
        <f>Calcs!M171</f>
        <v>10459138.043817697</v>
      </c>
      <c r="N2">
        <f>Calcs!N171</f>
        <v>10455275.080398465</v>
      </c>
      <c r="O2">
        <f>Calcs!O171</f>
        <v>10449144.907955749</v>
      </c>
      <c r="P2">
        <f>Calcs!P171</f>
        <v>10440647.509057917</v>
      </c>
      <c r="Q2">
        <f>Calcs!Q171</f>
        <v>10429680.204490546</v>
      </c>
      <c r="R2">
        <f>Calcs!R171</f>
        <v>10416137.804848099</v>
      </c>
      <c r="S2">
        <f>Calcs!S171</f>
        <v>10412053.051129712</v>
      </c>
      <c r="T2">
        <f>Calcs!T171</f>
        <v>10407790.791947316</v>
      </c>
      <c r="U2">
        <f>Calcs!U171</f>
        <v>10403349.183393555</v>
      </c>
      <c r="V2">
        <f>Calcs!V171</f>
        <v>10398726.372859681</v>
      </c>
      <c r="W2">
        <f>Calcs!W171</f>
        <v>10393920.499332311</v>
      </c>
      <c r="X2">
        <f>Calcs!X171</f>
        <v>10392670.508443337</v>
      </c>
      <c r="Y2">
        <f>Calcs!Y171</f>
        <v>10391408.789435709</v>
      </c>
      <c r="Z2">
        <f>Calcs!Z171</f>
        <v>10390135.312420197</v>
      </c>
      <c r="AA2">
        <f>Calcs!AA171</f>
        <v>10388850.047476908</v>
      </c>
      <c r="AB2">
        <f>Calcs!AB171</f>
        <v>10387552.964655632</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6922094.2513705185</v>
      </c>
      <c r="C2">
        <f>Calcs!C172</f>
        <v>7974746.784135933</v>
      </c>
      <c r="D2">
        <f>Calcs!D172</f>
        <v>9128800.5671701394</v>
      </c>
      <c r="E2">
        <f>Calcs!E172</f>
        <v>10372062.174075205</v>
      </c>
      <c r="F2">
        <f>Calcs!F172</f>
        <v>11679166.644106213</v>
      </c>
      <c r="G2">
        <f>Calcs!G172</f>
        <v>13004883.426741714</v>
      </c>
      <c r="H2">
        <f>Calcs!H172</f>
        <v>14275300.180473404</v>
      </c>
      <c r="I2">
        <f>Calcs!I172</f>
        <v>14552066.541850766</v>
      </c>
      <c r="J2">
        <f>Calcs!J172</f>
        <v>14803102.785064142</v>
      </c>
      <c r="K2">
        <f>Calcs!K172</f>
        <v>15023208.172260413</v>
      </c>
      <c r="L2">
        <f>Calcs!L172</f>
        <v>15206644.0836045</v>
      </c>
      <c r="M2">
        <f>Calcs!M172</f>
        <v>15347165.975587975</v>
      </c>
      <c r="N2">
        <f>Calcs!N172</f>
        <v>15368194.386910832</v>
      </c>
      <c r="O2">
        <f>Calcs!O172</f>
        <v>15385341.425878979</v>
      </c>
      <c r="P2">
        <f>Calcs!P172</f>
        <v>15398463.600257335</v>
      </c>
      <c r="Q2">
        <f>Calcs!Q172</f>
        <v>15407415.947165566</v>
      </c>
      <c r="R2">
        <f>Calcs!R172</f>
        <v>15412052.353701424</v>
      </c>
      <c r="S2">
        <f>Calcs!S172</f>
        <v>15411916.385845598</v>
      </c>
      <c r="T2">
        <f>Calcs!T172</f>
        <v>15411484.330027483</v>
      </c>
      <c r="U2">
        <f>Calcs!U172</f>
        <v>15410753.696070688</v>
      </c>
      <c r="V2">
        <f>Calcs!V172</f>
        <v>15409721.992619922</v>
      </c>
      <c r="W2">
        <f>Calcs!W172</f>
        <v>15408386.72763245</v>
      </c>
      <c r="X2">
        <f>Calcs!X172</f>
        <v>15407963.686995028</v>
      </c>
      <c r="Y2">
        <f>Calcs!Y172</f>
        <v>15407521.224892206</v>
      </c>
      <c r="Z2">
        <f>Calcs!Z172</f>
        <v>15407059.301583016</v>
      </c>
      <c r="AA2">
        <f>Calcs!AA172</f>
        <v>15406577.877328474</v>
      </c>
      <c r="AB2">
        <f>Calcs!AB172</f>
        <v>15406076.9123921</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6922094.2513705185</v>
      </c>
      <c r="C2">
        <f>Calcs!C173</f>
        <v>8408724.2676637731</v>
      </c>
      <c r="D2">
        <f>Calcs!D173</f>
        <v>10138319.250011701</v>
      </c>
      <c r="E2">
        <f>Calcs!E173</f>
        <v>12119768.775263609</v>
      </c>
      <c r="F2">
        <f>Calcs!F173</f>
        <v>14343573.123954302</v>
      </c>
      <c r="G2">
        <f>Calcs!G173</f>
        <v>16768592.497945925</v>
      </c>
      <c r="H2">
        <f>Calcs!H173</f>
        <v>19303068.957188584</v>
      </c>
      <c r="I2">
        <f>Calcs!I173</f>
        <v>19918885.752279308</v>
      </c>
      <c r="J2">
        <f>Calcs!J173</f>
        <v>20505274.780121569</v>
      </c>
      <c r="K2">
        <f>Calcs!K173</f>
        <v>21052632.533919368</v>
      </c>
      <c r="L2">
        <f>Calcs!L173</f>
        <v>21550115.546706628</v>
      </c>
      <c r="M2">
        <f>Calcs!M173</f>
        <v>21985666.862481922</v>
      </c>
      <c r="N2">
        <f>Calcs!N173</f>
        <v>22072081.923096675</v>
      </c>
      <c r="O2">
        <f>Calcs!O173</f>
        <v>22152247.338455819</v>
      </c>
      <c r="P2">
        <f>Calcs!P173</f>
        <v>22225868.830187693</v>
      </c>
      <c r="Q2">
        <f>Calcs!Q173</f>
        <v>22292647.792436779</v>
      </c>
      <c r="R2">
        <f>Calcs!R173</f>
        <v>22352281.953564957</v>
      </c>
      <c r="S2">
        <f>Calcs!S173</f>
        <v>22364944.00463111</v>
      </c>
      <c r="T2">
        <f>Calcs!T173</f>
        <v>22377104.989491701</v>
      </c>
      <c r="U2">
        <f>Calcs!U173</f>
        <v>22388759.685646016</v>
      </c>
      <c r="V2">
        <f>Calcs!V173</f>
        <v>22399902.863104746</v>
      </c>
      <c r="W2">
        <f>Calcs!W173</f>
        <v>22410529.285460643</v>
      </c>
      <c r="X2">
        <f>Calcs!X173</f>
        <v>22413028.168190096</v>
      </c>
      <c r="Y2">
        <f>Calcs!Y173</f>
        <v>22415493.814928439</v>
      </c>
      <c r="Z2">
        <f>Calcs!Z173</f>
        <v>22417926.141896646</v>
      </c>
      <c r="AA2">
        <f>Calcs!AA173</f>
        <v>22420325.065300744</v>
      </c>
      <c r="AB2">
        <f>Calcs!AB173</f>
        <v>22422690.501332942</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2026-09-01T22:21:32Z</dcterms:modified>
</cp:coreProperties>
</file>