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rvis\Dropbox (Energy InNovation)\My Documents\Energy Policy Solutions\California\Models\eps-california\InputData\"/>
    </mc:Choice>
  </mc:AlternateContent>
  <bookViews>
    <workbookView xWindow="2745" yWindow="2640" windowWidth="23940" windowHeight="14310"/>
  </bookViews>
  <sheets>
    <sheet name="About" sheetId="4" r:id="rId1"/>
    <sheet name="Sheet1" sheetId="1" r:id="rId2"/>
    <sheet name="Customizations" sheetId="5" r:id="rId3"/>
  </sheets>
  <calcPr calcId="162913"/>
  <pivotCaches>
    <pivotCache cacheId="1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18" i="1" l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1" i="1" l="1"/>
  <c r="J933" i="1"/>
  <c r="J917" i="1"/>
  <c r="J897" i="1"/>
  <c r="J893" i="1"/>
  <c r="J889" i="1"/>
  <c r="J885" i="1"/>
  <c r="J881" i="1"/>
  <c r="J877" i="1"/>
  <c r="J873" i="1"/>
  <c r="J869" i="1"/>
  <c r="J865" i="1"/>
  <c r="J861" i="1"/>
  <c r="J857" i="1"/>
  <c r="J849" i="1"/>
  <c r="J845" i="1"/>
  <c r="J841" i="1"/>
  <c r="J833" i="1"/>
  <c r="J825" i="1"/>
  <c r="J821" i="1"/>
  <c r="J899" i="1"/>
  <c r="J887" i="1"/>
  <c r="J883" i="1"/>
  <c r="J879" i="1"/>
  <c r="J875" i="1"/>
  <c r="J867" i="1"/>
  <c r="J851" i="1"/>
  <c r="J835" i="1"/>
  <c r="J819" i="1"/>
  <c r="J901" i="1"/>
  <c r="J843" i="1"/>
  <c r="J827" i="1"/>
  <c r="J929" i="1"/>
  <c r="J913" i="1"/>
  <c r="J853" i="1"/>
  <c r="J823" i="1"/>
  <c r="J925" i="1"/>
  <c r="J909" i="1"/>
  <c r="J895" i="1"/>
  <c r="J891" i="1"/>
  <c r="J837" i="1"/>
  <c r="J859" i="1"/>
  <c r="J829" i="1"/>
  <c r="J937" i="1"/>
  <c r="J921" i="1"/>
  <c r="J927" i="1"/>
  <c r="J911" i="1"/>
  <c r="J904" i="1"/>
  <c r="J855" i="1"/>
  <c r="J836" i="1"/>
  <c r="J936" i="1"/>
  <c r="J860" i="1"/>
  <c r="J839" i="1"/>
  <c r="J820" i="1"/>
  <c r="J916" i="1"/>
  <c r="J944" i="1"/>
  <c r="J935" i="1"/>
  <c r="J868" i="1"/>
  <c r="J912" i="1"/>
  <c r="J905" i="1"/>
  <c r="J844" i="1"/>
  <c r="J919" i="1"/>
  <c r="J847" i="1"/>
  <c r="J828" i="1"/>
  <c r="J943" i="1"/>
  <c r="J915" i="1"/>
  <c r="J884" i="1"/>
  <c r="J908" i="1"/>
  <c r="J914" i="1"/>
  <c r="J852" i="1"/>
  <c r="J863" i="1"/>
  <c r="J932" i="1"/>
  <c r="J924" i="1"/>
  <c r="J831" i="1"/>
  <c r="J940" i="1"/>
  <c r="J871" i="1"/>
  <c r="J907" i="1"/>
  <c r="J892" i="1"/>
  <c r="J931" i="1"/>
  <c r="J928" i="1"/>
  <c r="J923" i="1"/>
  <c r="J920" i="1"/>
  <c r="J939" i="1"/>
  <c r="J876" i="1"/>
  <c r="J930" i="1"/>
  <c r="J903" i="1"/>
  <c r="J900" i="1"/>
  <c r="J934" i="1"/>
  <c r="J918" i="1"/>
  <c r="J902" i="1"/>
  <c r="J894" i="1"/>
  <c r="J886" i="1"/>
  <c r="J878" i="1"/>
  <c r="J870" i="1"/>
  <c r="J862" i="1"/>
  <c r="J854" i="1"/>
  <c r="J846" i="1"/>
  <c r="J838" i="1"/>
  <c r="J830" i="1"/>
  <c r="J822" i="1"/>
  <c r="J938" i="1"/>
  <c r="J922" i="1"/>
  <c r="J906" i="1"/>
  <c r="J896" i="1"/>
  <c r="J888" i="1"/>
  <c r="J880" i="1"/>
  <c r="J872" i="1"/>
  <c r="J864" i="1"/>
  <c r="J856" i="1"/>
  <c r="J848" i="1"/>
  <c r="J840" i="1"/>
  <c r="J832" i="1"/>
  <c r="J824" i="1"/>
  <c r="J942" i="1"/>
  <c r="J926" i="1"/>
  <c r="J910" i="1"/>
  <c r="J898" i="1"/>
  <c r="J890" i="1"/>
  <c r="J882" i="1"/>
  <c r="J874" i="1"/>
  <c r="J866" i="1"/>
  <c r="J858" i="1"/>
  <c r="J850" i="1"/>
  <c r="J842" i="1"/>
  <c r="J834" i="1"/>
  <c r="J826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4" i="1"/>
  <c r="I574" i="1" s="1"/>
  <c r="J574" i="1" s="1"/>
  <c r="H576" i="1"/>
  <c r="I576" i="1" s="1"/>
  <c r="J576" i="1" s="1"/>
  <c r="H573" i="1"/>
  <c r="I573" i="1" s="1"/>
  <c r="J573" i="1" s="1"/>
  <c r="H572" i="1"/>
  <c r="I572" i="1" s="1"/>
  <c r="J572" i="1" s="1"/>
  <c r="H565" i="1"/>
  <c r="I565" i="1" s="1"/>
  <c r="J565" i="1" s="1"/>
  <c r="H564" i="1" l="1"/>
  <c r="I564" i="1" s="1"/>
  <c r="J564" i="1" s="1"/>
  <c r="H561" i="1"/>
  <c r="I561" i="1" s="1"/>
  <c r="J561" i="1" s="1"/>
  <c r="H562" i="1"/>
  <c r="I562" i="1" s="1"/>
  <c r="J562" i="1" s="1"/>
  <c r="H563" i="1"/>
  <c r="I563" i="1" s="1"/>
  <c r="J563" i="1" s="1"/>
  <c r="H560" i="1"/>
  <c r="I560" i="1" s="1"/>
  <c r="J560" i="1" s="1"/>
  <c r="H568" i="1" l="1"/>
  <c r="I568" i="1" s="1"/>
  <c r="J568" i="1" s="1"/>
  <c r="H567" i="1"/>
  <c r="I567" i="1" s="1"/>
  <c r="J567" i="1" s="1"/>
  <c r="H569" i="1"/>
  <c r="I569" i="1" s="1"/>
  <c r="J569" i="1" s="1"/>
  <c r="H570" i="1"/>
  <c r="I570" i="1" s="1"/>
  <c r="J570" i="1" s="1"/>
  <c r="H571" i="1"/>
  <c r="I571" i="1" s="1"/>
  <c r="J571" i="1" s="1"/>
  <c r="H566" i="1"/>
  <c r="I566" i="1" s="1"/>
  <c r="J566" i="1" s="1"/>
  <c r="H617" i="1" l="1"/>
  <c r="I617" i="1" s="1"/>
  <c r="J617" i="1" s="1"/>
  <c r="H613" i="1"/>
  <c r="I613" i="1" s="1"/>
  <c r="J613" i="1" s="1"/>
  <c r="H615" i="1"/>
  <c r="I615" i="1" s="1"/>
  <c r="J615" i="1" s="1"/>
  <c r="H616" i="1"/>
  <c r="I616" i="1" s="1"/>
  <c r="J616" i="1" s="1"/>
  <c r="H614" i="1"/>
  <c r="I614" i="1" s="1"/>
  <c r="J614" i="1" s="1"/>
  <c r="H600" i="1"/>
  <c r="I600" i="1" s="1"/>
  <c r="J600" i="1" s="1"/>
  <c r="C6" i="5" l="1"/>
  <c r="H606" i="1" s="1"/>
  <c r="I606" i="1" s="1"/>
  <c r="J606" i="1" s="1"/>
  <c r="C5" i="5"/>
  <c r="H603" i="1"/>
  <c r="I603" i="1"/>
  <c r="J603" i="1" s="1"/>
  <c r="C4" i="5"/>
  <c r="H604" i="1" s="1"/>
  <c r="I604" i="1" s="1"/>
  <c r="J604" i="1" s="1"/>
  <c r="C18" i="5"/>
  <c r="H612" i="1" s="1"/>
  <c r="I612" i="1" s="1"/>
  <c r="J612" i="1" s="1"/>
  <c r="C12" i="5"/>
  <c r="H609" i="1" s="1"/>
  <c r="I609" i="1" s="1"/>
  <c r="J609" i="1" s="1"/>
  <c r="C7" i="5"/>
  <c r="H605" i="1" s="1"/>
  <c r="I605" i="1" s="1"/>
  <c r="J605" i="1" s="1"/>
  <c r="C14" i="5"/>
  <c r="H610" i="1" s="1"/>
  <c r="I610" i="1" s="1"/>
  <c r="J610" i="1" s="1"/>
  <c r="C2" i="5"/>
  <c r="H602" i="1" s="1"/>
  <c r="I602" i="1" s="1"/>
  <c r="J602" i="1" s="1"/>
  <c r="C3" i="5"/>
  <c r="C19" i="5" s="1"/>
  <c r="C16" i="5"/>
  <c r="H611" i="1" s="1"/>
  <c r="I611" i="1" s="1"/>
  <c r="J611" i="1" s="1"/>
  <c r="H601" i="1" l="1"/>
  <c r="I601" i="1" s="1"/>
  <c r="J601" i="1" s="1"/>
  <c r="C10" i="5"/>
  <c r="H608" i="1" s="1"/>
  <c r="I608" i="1" s="1"/>
  <c r="J608" i="1" s="1"/>
  <c r="C17" i="5"/>
  <c r="C9" i="5"/>
  <c r="C15" i="5"/>
  <c r="C13" i="5"/>
  <c r="C8" i="5"/>
  <c r="H607" i="1" s="1"/>
  <c r="I607" i="1" s="1"/>
  <c r="J607" i="1" s="1"/>
  <c r="C11" i="5"/>
</calcChain>
</file>

<file path=xl/sharedStrings.xml><?xml version="1.0" encoding="utf-8"?>
<sst xmlns="http://schemas.openxmlformats.org/spreadsheetml/2006/main" count="3960" uniqueCount="1365">
  <si>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</si>
  <si>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</si>
  <si>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</si>
  <si>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</si>
  <si>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</si>
  <si>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</si>
  <si>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</si>
  <si>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</si>
  <si>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</si>
  <si>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</si>
  <si>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</si>
  <si>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</si>
  <si>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</si>
  <si>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</si>
  <si>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</si>
  <si>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</si>
  <si>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</si>
  <si>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</si>
  <si>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</si>
  <si>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</si>
  <si>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</si>
  <si>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</si>
  <si>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</si>
  <si>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</si>
  <si>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</si>
  <si>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</si>
  <si>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</si>
  <si>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</si>
  <si>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</si>
  <si>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</si>
  <si>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</si>
  <si>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</si>
  <si>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</si>
  <si>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</si>
  <si>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</si>
  <si>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</si>
  <si>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</si>
  <si>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</si>
  <si>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</si>
  <si>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</si>
  <si>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</si>
  <si>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</si>
  <si>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</si>
  <si>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</si>
  <si>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</si>
  <si>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</si>
  <si>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</si>
  <si>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</si>
  <si>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</si>
  <si>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</si>
  <si>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</si>
  <si>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</si>
  <si>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</si>
  <si>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</si>
  <si>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</si>
  <si>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</si>
  <si>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</si>
  <si>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</si>
  <si>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</si>
  <si>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</si>
  <si>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</si>
  <si>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</si>
  <si>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</si>
  <si>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</si>
  <si>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</si>
  <si>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</si>
  <si>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</si>
  <si>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</si>
  <si>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</si>
  <si>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</si>
  <si>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</si>
  <si>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</si>
  <si>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</si>
  <si>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</si>
  <si>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</si>
  <si>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</si>
  <si>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</si>
  <si>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</si>
  <si>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</si>
  <si>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</si>
  <si>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</si>
  <si>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</si>
  <si>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</si>
  <si>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</si>
  <si>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</si>
  <si>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</si>
  <si>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</si>
  <si>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</si>
  <si>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</si>
  <si>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</si>
  <si>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</si>
  <si>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</si>
  <si>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</si>
  <si>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</si>
  <si>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</si>
  <si>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</si>
  <si>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</si>
  <si>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</si>
  <si>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</si>
  <si>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</si>
  <si>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</si>
  <si>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</si>
  <si>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</si>
  <si>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</si>
  <si>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</si>
  <si>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</si>
  <si>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</si>
  <si>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</si>
  <si>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</si>
  <si>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</si>
  <si>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</si>
  <si>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</si>
  <si>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</si>
  <si>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</si>
  <si>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</si>
  <si>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</si>
  <si>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</si>
  <si>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</si>
  <si>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</si>
  <si>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</si>
  <si>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</si>
  <si>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</si>
  <si>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</si>
  <si>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</si>
  <si>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</si>
  <si>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</si>
  <si>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</si>
  <si>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</si>
  <si>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</si>
  <si>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</si>
  <si>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</si>
  <si>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</si>
  <si>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</si>
  <si>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</si>
  <si>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</si>
  <si>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</si>
  <si>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</si>
  <si>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</si>
  <si>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</si>
  <si>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</si>
  <si>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</si>
  <si>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</si>
  <si>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</si>
  <si>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</si>
  <si>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</si>
  <si>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</si>
  <si>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</si>
  <si>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</si>
  <si>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</si>
  <si>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</si>
  <si>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</si>
  <si>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</si>
  <si>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</si>
  <si>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</si>
  <si>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</si>
  <si>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</si>
  <si>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</si>
  <si>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</si>
  <si>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</si>
  <si>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</si>
  <si>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</si>
  <si>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</si>
  <si>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</si>
  <si>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</si>
  <si>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</si>
  <si>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</si>
  <si>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</si>
  <si>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</si>
  <si>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</si>
  <si>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</si>
  <si>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</si>
  <si>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</si>
  <si>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</si>
  <si>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</si>
  <si>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</si>
  <si>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</si>
  <si>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</si>
  <si>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</si>
  <si>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</si>
  <si>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</si>
  <si>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</si>
  <si>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</si>
  <si>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</si>
  <si>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</si>
  <si>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</si>
  <si>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</si>
  <si>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</si>
  <si>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</si>
  <si>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</si>
  <si>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</si>
  <si>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</si>
  <si>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</si>
  <si>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</si>
  <si>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</si>
  <si>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</si>
  <si>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</si>
  <si>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</si>
  <si>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</si>
  <si>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</si>
  <si>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</si>
  <si>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</si>
  <si>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</si>
  <si>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</si>
  <si>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</si>
  <si>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</si>
  <si>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</si>
  <si>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</si>
  <si>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</si>
  <si>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</si>
  <si>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</si>
  <si>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</si>
  <si>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</si>
  <si>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</si>
  <si>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</si>
  <si>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</si>
  <si>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</si>
  <si>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</si>
  <si>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</si>
  <si>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</si>
  <si>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</si>
  <si>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</si>
  <si>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</si>
  <si>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</si>
  <si>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</si>
  <si>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</si>
  <si>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</si>
  <si>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</si>
  <si>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</si>
  <si>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</si>
  <si>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</si>
  <si>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</si>
  <si>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</si>
  <si>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</si>
  <si>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</si>
  <si>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</si>
  <si>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</si>
  <si>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</si>
  <si>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</si>
  <si>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</si>
  <si>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</si>
  <si>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</si>
  <si>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</si>
  <si>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</si>
  <si>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</si>
  <si>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</si>
  <si>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</si>
  <si>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</si>
  <si>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</si>
  <si>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</si>
  <si>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</si>
  <si>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</si>
  <si>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</si>
  <si>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</si>
  <si>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</si>
  <si>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</si>
  <si>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</si>
  <si>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</si>
  <si>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</si>
  <si>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</si>
  <si>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</si>
  <si>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</si>
  <si>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</si>
  <si>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</si>
  <si>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</si>
  <si>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</si>
  <si>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</si>
  <si>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</si>
  <si>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</si>
  <si>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</si>
  <si>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</si>
  <si>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</si>
  <si>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</si>
  <si>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</si>
  <si>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</si>
  <si>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</si>
  <si>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</si>
  <si>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</si>
  <si>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</si>
  <si>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</si>
  <si>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</si>
  <si>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</si>
  <si>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</si>
  <si>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</si>
  <si>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</si>
  <si>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</si>
  <si>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</si>
  <si>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</si>
  <si>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</si>
  <si>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</si>
  <si>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</si>
  <si>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</si>
  <si>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</si>
  <si>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</si>
  <si>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</si>
  <si>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</si>
  <si>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</si>
  <si>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</si>
  <si>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</si>
  <si>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</si>
  <si>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</si>
  <si>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</si>
  <si>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</si>
  <si>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</si>
  <si>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</si>
  <si>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</si>
  <si>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</si>
  <si>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</si>
  <si>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</si>
  <si>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</si>
  <si>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</si>
  <si>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</si>
  <si>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</si>
  <si>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</si>
  <si>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</si>
  <si>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</si>
  <si>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</si>
  <si>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</si>
  <si>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</si>
  <si>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</si>
  <si>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</si>
  <si>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</si>
  <si>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</si>
  <si>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</si>
  <si>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</si>
  <si>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</si>
  <si>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</si>
  <si>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</si>
  <si>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</si>
  <si>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</si>
  <si>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</si>
  <si>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</si>
  <si>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</si>
  <si>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</si>
  <si>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</si>
  <si>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</si>
  <si>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</si>
  <si>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</si>
  <si>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</si>
  <si>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</si>
  <si>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</si>
  <si>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</si>
  <si>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</si>
  <si>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</si>
  <si>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</si>
  <si>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</si>
  <si>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</si>
  <si>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</si>
  <si>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</si>
  <si>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</si>
  <si>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</si>
  <si>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</si>
  <si>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</si>
  <si>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</si>
  <si>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</si>
  <si>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</si>
  <si>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</si>
  <si>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</si>
  <si>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</si>
  <si>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</si>
  <si>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</si>
  <si>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</si>
  <si>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</si>
  <si>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</si>
  <si>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</si>
  <si>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</si>
  <si>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</si>
  <si>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</si>
  <si>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</si>
  <si>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</si>
  <si>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</si>
  <si>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</si>
  <si>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</si>
  <si>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</si>
  <si>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</si>
  <si>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</si>
  <si>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</si>
  <si>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</si>
  <si>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</si>
  <si>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</si>
  <si>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</si>
  <si>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</si>
  <si>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</si>
  <si>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</si>
  <si>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</si>
  <si>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</si>
  <si>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</si>
  <si>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</si>
  <si>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</si>
  <si>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</si>
  <si>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</si>
  <si>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</si>
  <si>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</si>
  <si>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</si>
  <si>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</si>
  <si>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</si>
  <si>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</si>
  <si>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</si>
  <si>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</si>
  <si>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</si>
  <si>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</si>
  <si>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</si>
  <si>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</si>
  <si>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</si>
  <si>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</si>
  <si>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</si>
  <si>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</si>
  <si>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</si>
  <si>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</si>
  <si>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</si>
  <si>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</si>
  <si>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</si>
  <si>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</si>
  <si>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</si>
  <si>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</si>
  <si>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</si>
  <si>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</si>
  <si>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</si>
  <si>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</si>
  <si>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</si>
  <si>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</si>
  <si>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</si>
  <si>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</si>
  <si>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</si>
  <si>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</si>
  <si>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</si>
  <si>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</si>
  <si>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</si>
  <si>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</si>
  <si>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</si>
  <si>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</si>
  <si>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</si>
  <si>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</si>
  <si>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</si>
  <si>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</si>
  <si>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</si>
  <si>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</si>
  <si>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</si>
  <si>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</si>
  <si>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</si>
  <si>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</si>
  <si>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</si>
  <si>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</si>
  <si>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</si>
  <si>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</si>
  <si>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</si>
  <si>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</si>
  <si>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</si>
  <si>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</si>
  <si>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</si>
  <si>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</si>
  <si>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</si>
  <si>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</si>
  <si>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</si>
  <si>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</si>
  <si>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</si>
  <si>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</si>
  <si>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</si>
  <si>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</si>
  <si>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</si>
  <si>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</si>
  <si>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</si>
  <si>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</si>
  <si>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</si>
  <si>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</si>
  <si>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</si>
  <si>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</si>
  <si>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</si>
  <si>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</si>
  <si>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</si>
  <si>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</si>
  <si>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</si>
  <si>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</si>
  <si>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</si>
  <si>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</si>
  <si>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</si>
  <si>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</si>
  <si>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</si>
  <si>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</si>
  <si>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</si>
  <si>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</si>
  <si>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</si>
  <si>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</si>
  <si>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</si>
  <si>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</si>
  <si>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</si>
  <si>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</si>
  <si>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</si>
  <si>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</si>
  <si>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</si>
  <si>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</si>
  <si>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</si>
  <si>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</si>
  <si>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</si>
  <si>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</si>
  <si>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</si>
  <si>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</si>
  <si>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</si>
  <si>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</si>
  <si>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</si>
  <si>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</si>
  <si>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</si>
  <si>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</si>
  <si>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</si>
  <si>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</si>
  <si>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</si>
  <si>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</si>
  <si>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</si>
  <si>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</si>
  <si>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</si>
  <si>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</si>
  <si>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</si>
  <si>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</si>
  <si>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</si>
  <si>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</si>
  <si>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</si>
  <si>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</si>
  <si>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</si>
  <si>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</si>
  <si>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</si>
  <si>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</si>
  <si>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</si>
  <si>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</si>
  <si>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</si>
  <si>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</si>
  <si>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</si>
  <si>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</si>
  <si>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</si>
  <si>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</si>
  <si>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</si>
  <si>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</si>
  <si>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</si>
  <si>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</si>
  <si>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</si>
  <si>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</si>
  <si>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</si>
  <si>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</si>
  <si>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</si>
  <si>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</si>
  <si>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</si>
  <si>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</si>
  <si>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</si>
  <si>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</si>
  <si>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</si>
  <si>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</si>
  <si>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</si>
  <si>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</si>
  <si>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</si>
  <si>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</si>
  <si>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</si>
  <si>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</si>
  <si>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</si>
  <si>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</si>
  <si>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</si>
  <si>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</si>
  <si>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</si>
  <si>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</si>
  <si>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</si>
  <si>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</si>
  <si>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</si>
  <si>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</si>
  <si>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</si>
  <si>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</si>
  <si>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</si>
  <si>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</si>
  <si>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</si>
  <si>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</si>
  <si>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</si>
  <si>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</si>
  <si>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</si>
  <si>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</si>
  <si>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</si>
  <si>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</si>
  <si>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</si>
  <si>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</si>
  <si>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</si>
  <si>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</si>
  <si>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</si>
  <si>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</si>
  <si>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</si>
  <si>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</si>
  <si>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</si>
  <si>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</si>
  <si>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</si>
  <si>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</si>
  <si>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</si>
  <si>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</si>
  <si>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</si>
  <si>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</si>
  <si>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</si>
  <si>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</si>
  <si>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</si>
  <si>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</si>
  <si>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</si>
  <si>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</si>
  <si>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</si>
  <si>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</si>
  <si>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</si>
  <si>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</si>
  <si>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</si>
  <si>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</si>
  <si>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</si>
  <si>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</si>
  <si>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</si>
  <si>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</si>
  <si>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</si>
  <si>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</si>
  <si>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</si>
  <si>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</si>
  <si>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</si>
  <si>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</si>
  <si>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</si>
  <si>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</si>
  <si>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</si>
  <si>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</si>
  <si>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</si>
  <si>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</si>
  <si>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</si>
  <si>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</si>
  <si>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</si>
  <si>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</si>
  <si>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</si>
  <si>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</si>
  <si>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</si>
  <si>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</si>
  <si>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</si>
  <si>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</si>
  <si>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</si>
  <si>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</si>
  <si>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</si>
  <si>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</si>
  <si>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</si>
  <si>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</si>
  <si>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</si>
  <si>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</si>
  <si>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</si>
  <si>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</si>
  <si>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</si>
  <si>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</si>
  <si>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</si>
  <si>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</si>
  <si>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</si>
  <si>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</si>
  <si>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</si>
  <si>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</si>
  <si>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</si>
  <si>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</si>
  <si>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</si>
  <si>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</si>
  <si>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</si>
  <si>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</si>
  <si>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</si>
  <si>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</si>
  <si>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</si>
  <si>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</si>
  <si>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</si>
  <si>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</si>
  <si>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</si>
  <si>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</si>
  <si>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</si>
  <si>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</si>
  <si>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</si>
  <si>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</si>
  <si>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</si>
  <si>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</si>
  <si>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</si>
  <si>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</si>
  <si>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</si>
  <si>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</si>
  <si>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</si>
  <si>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</si>
  <si>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</si>
  <si>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</si>
  <si>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</si>
  <si>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</si>
  <si>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</si>
  <si>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</si>
  <si>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</si>
  <si>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</si>
  <si>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</si>
  <si>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</si>
  <si>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</si>
  <si>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</si>
  <si>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</si>
  <si>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</si>
  <si>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</si>
  <si>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</si>
  <si>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</si>
  <si>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</si>
  <si>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</si>
  <si>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</si>
  <si>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</si>
  <si>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</si>
  <si>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</si>
  <si>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</si>
  <si>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</si>
  <si>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</si>
  <si>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</si>
  <si>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</si>
  <si>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</si>
  <si>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</si>
  <si>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</si>
  <si>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</si>
  <si>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</si>
  <si>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</si>
  <si>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</si>
  <si>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</si>
  <si>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</si>
  <si>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</si>
  <si>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</si>
  <si>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</si>
  <si>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</si>
  <si>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</si>
  <si>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</si>
  <si>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</si>
  <si>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</si>
  <si>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</si>
  <si>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</si>
  <si>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</si>
  <si>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</si>
  <si>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</si>
  <si>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</si>
  <si>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</si>
  <si>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</si>
  <si>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</si>
  <si>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</si>
  <si>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</si>
  <si>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</si>
  <si>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</si>
  <si>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</si>
  <si>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</si>
  <si>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</si>
  <si>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</si>
  <si>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</si>
  <si>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</si>
  <si>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</si>
  <si>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</si>
  <si>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</si>
  <si>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</si>
  <si>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</si>
  <si>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</si>
  <si>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</si>
  <si>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</si>
  <si>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</si>
  <si>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</si>
  <si>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</si>
  <si>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</si>
  <si>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</si>
  <si>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</si>
  <si>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</si>
  <si>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</si>
  <si>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</si>
  <si>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</si>
  <si>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</si>
  <si>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</si>
  <si>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</si>
  <si>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</si>
  <si>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</si>
  <si>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</si>
  <si>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</si>
  <si>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</si>
  <si>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</si>
  <si>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</si>
  <si>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</si>
  <si>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</si>
  <si>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</si>
  <si>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</si>
  <si>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</si>
  <si>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</si>
  <si>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</si>
  <si>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</si>
  <si>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</si>
  <si>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</si>
  <si>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</si>
  <si>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</si>
  <si>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</si>
  <si>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</si>
  <si>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</si>
  <si>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</si>
  <si>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</si>
  <si>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</si>
  <si>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</si>
  <si>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</si>
  <si>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</si>
  <si>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</si>
  <si>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</si>
  <si>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</si>
  <si>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</si>
  <si>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</si>
  <si>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</si>
  <si>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</si>
  <si>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</si>
  <si>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</si>
  <si>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</si>
  <si>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</si>
  <si>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</si>
  <si>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</si>
  <si>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</si>
  <si>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</si>
  <si>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</si>
  <si>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</si>
  <si>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</si>
  <si>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</si>
  <si>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</si>
  <si>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</si>
  <si>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</si>
  <si>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</si>
  <si>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</si>
  <si>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</si>
  <si>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</si>
  <si>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</si>
  <si>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</si>
  <si>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</si>
  <si>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</si>
  <si>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</si>
  <si>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</si>
  <si>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</si>
  <si>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</si>
  <si>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</si>
  <si>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</si>
  <si>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</si>
  <si>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</si>
  <si>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</si>
  <si>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</si>
  <si>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</si>
  <si>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</si>
  <si>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</si>
  <si>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</si>
  <si>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</si>
  <si>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</si>
  <si>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</si>
  <si>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</si>
  <si>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</si>
  <si>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</si>
  <si>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</si>
  <si>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</si>
  <si>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</si>
  <si>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</si>
  <si>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</si>
  <si>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</si>
  <si>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</si>
  <si>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</si>
  <si>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</si>
  <si>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</si>
  <si>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</si>
  <si>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</si>
  <si>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</si>
  <si>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</si>
  <si>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</si>
  <si>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</si>
  <si>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</si>
  <si>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</si>
  <si>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</si>
  <si>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</si>
  <si>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</si>
  <si>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</si>
  <si>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</si>
  <si>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</si>
  <si>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</si>
  <si>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</si>
  <si>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</si>
  <si>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</si>
  <si>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</si>
  <si>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</si>
  <si>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</si>
  <si>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</si>
  <si>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</si>
  <si>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</si>
  <si>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</si>
  <si>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</si>
  <si>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</si>
  <si>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</si>
  <si>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</si>
  <si>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</si>
  <si>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</si>
  <si>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</si>
  <si>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</si>
  <si>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</si>
  <si>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</si>
  <si>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</si>
  <si>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</si>
  <si>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</si>
  <si>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</si>
  <si>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</si>
  <si>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</si>
  <si>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</si>
  <si>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</si>
  <si>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</si>
  <si>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</si>
  <si>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</si>
  <si>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</si>
  <si>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</si>
  <si>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</si>
  <si>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</si>
  <si>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</si>
  <si>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</si>
  <si>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</si>
  <si>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</si>
  <si>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</si>
  <si>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</si>
  <si>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</si>
  <si>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</si>
  <si>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</si>
  <si>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</si>
  <si>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</si>
  <si>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</si>
  <si>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</si>
  <si>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</si>
  <si>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</si>
  <si>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</si>
  <si>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</si>
  <si>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</si>
  <si>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</si>
  <si>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</si>
  <si>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</si>
  <si>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</si>
  <si>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</si>
  <si>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</si>
  <si>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</si>
  <si>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</si>
  <si>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</si>
  <si>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</si>
  <si>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</si>
  <si>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</si>
  <si>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</si>
  <si>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</si>
  <si>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</si>
  <si>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</si>
  <si>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</si>
  <si>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</si>
  <si>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</si>
  <si>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</si>
  <si>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</si>
  <si>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</si>
  <si>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</si>
  <si>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</si>
  <si>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</si>
  <si>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</si>
  <si>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</si>
  <si>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</si>
  <si>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</si>
  <si>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</si>
  <si>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</si>
  <si>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</si>
  <si>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</si>
  <si>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</si>
  <si>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</si>
  <si>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</si>
  <si>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</si>
  <si>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</si>
  <si>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</si>
  <si>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</si>
  <si>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</si>
  <si>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</si>
  <si>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</si>
  <si>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</si>
  <si>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</si>
  <si>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</si>
  <si>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</si>
  <si>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</si>
  <si>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</si>
  <si>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</si>
  <si>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</si>
  <si>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</si>
  <si>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</si>
  <si>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</si>
  <si>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</si>
  <si>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</si>
  <si>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</si>
  <si>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</si>
  <si>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</si>
  <si>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</si>
  <si>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</si>
  <si>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</si>
  <si>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</si>
  <si>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</si>
  <si>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</si>
  <si>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</si>
  <si>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</si>
  <si>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</si>
  <si>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</si>
  <si>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</si>
  <si>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</si>
  <si>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</si>
  <si>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</si>
  <si>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</si>
  <si>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</si>
  <si>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</si>
  <si>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</si>
  <si>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</si>
  <si>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</si>
  <si>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</si>
  <si>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</si>
  <si>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</si>
  <si>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</si>
  <si>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</si>
  <si>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</si>
  <si>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</si>
  <si>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</si>
  <si>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</si>
  <si>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</si>
  <si>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</si>
  <si>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</si>
  <si>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</si>
  <si>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</si>
  <si>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</si>
  <si>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</si>
  <si>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</si>
  <si>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</si>
  <si>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</si>
  <si>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</si>
  <si>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</si>
  <si>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</si>
  <si>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</si>
  <si>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</si>
  <si>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</si>
  <si>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</si>
  <si>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</si>
  <si>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</si>
  <si>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</si>
  <si>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</si>
  <si>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</si>
  <si>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</si>
  <si>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</si>
  <si>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</si>
  <si>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</si>
  <si>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</si>
  <si>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</si>
  <si>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</si>
  <si>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</si>
  <si>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</si>
  <si>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</si>
  <si>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</si>
  <si>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</si>
  <si>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</si>
  <si>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</si>
  <si>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</si>
  <si>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</si>
  <si>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</si>
  <si>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</si>
  <si>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</si>
  <si>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</si>
  <si>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</si>
  <si>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</si>
  <si>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</si>
  <si>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</si>
  <si>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</si>
  <si>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</si>
  <si>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</si>
  <si>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</si>
  <si>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</si>
  <si>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</si>
  <si>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</si>
  <si>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</si>
  <si>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</si>
  <si>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</si>
  <si>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</si>
  <si>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</si>
  <si>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</si>
  <si>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</si>
  <si>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</si>
  <si>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</si>
  <si>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</si>
  <si>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</si>
  <si>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</si>
  <si>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</si>
  <si>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</si>
  <si>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</si>
  <si>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</si>
  <si>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</si>
  <si>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</si>
  <si>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</si>
  <si>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</si>
  <si>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</si>
  <si>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</si>
  <si>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</si>
  <si>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</si>
  <si>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</si>
  <si>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</si>
  <si>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</si>
  <si>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</si>
  <si>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</si>
  <si>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</si>
  <si>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</si>
  <si>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</si>
  <si>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</si>
  <si>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</si>
  <si>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</si>
  <si>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</si>
  <si>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</si>
  <si>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</si>
  <si>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</si>
  <si>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</si>
  <si>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</si>
  <si>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</si>
  <si>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</si>
  <si>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</si>
  <si>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</si>
  <si>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</si>
  <si>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</si>
  <si>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</si>
  <si>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</si>
  <si>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</si>
  <si>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</si>
  <si>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</si>
  <si>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</si>
  <si>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</si>
  <si>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</si>
  <si>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</si>
  <si>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</si>
  <si>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</si>
  <si>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</si>
  <si>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</si>
  <si>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</si>
  <si>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</si>
  <si>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</si>
  <si>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</si>
  <si>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</si>
  <si>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</si>
  <si>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</si>
  <si>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</si>
  <si>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</si>
  <si>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</si>
  <si>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</si>
  <si>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</si>
  <si>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</si>
  <si>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</si>
  <si>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</si>
  <si>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</si>
  <si>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</si>
  <si>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</si>
  <si>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acronym-key_us.xlsx</t>
  </si>
  <si>
    <t>cumulators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</si>
  <si>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</si>
  <si>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</si>
  <si>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</si>
  <si>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</si>
  <si>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</si>
  <si>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</si>
  <si>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</si>
  <si>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</si>
  <si>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</si>
  <si>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</si>
  <si>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</si>
  <si>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</si>
  <si>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</si>
  <si>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</si>
  <si>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</si>
  <si>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</si>
  <si>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</si>
  <si>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</si>
  <si>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</si>
  <si>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</si>
  <si>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</si>
  <si>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</si>
  <si>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</si>
  <si>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~$BAU Fuel Prices and Taxes.xlsx</t>
  </si>
  <si>
    <t>FoISaGPbE</t>
  </si>
  <si>
    <t>FoISaGPbE-FoGPbE.csv</t>
  </si>
  <si>
    <t>Fraction of Inputs Supplied and Goods Purchased by Entity.xlsx</t>
  </si>
  <si>
    <t>Frac of Pol Impl This Yr - 2 - VCE .xlsx</t>
  </si>
  <si>
    <t>RMI_validation</t>
  </si>
  <si>
    <t>validationDashboard.csv</t>
  </si>
  <si>
    <t>validationDashboard_USA.csv</t>
  </si>
  <si>
    <t>ValidationWorkbook.twb</t>
  </si>
  <si>
    <t>P</t>
  </si>
  <si>
    <t>Population.xlsx</t>
  </si>
  <si>
    <t>HEAD</t>
  </si>
  <si>
    <t>heads</t>
  </si>
  <si>
    <t>data</t>
  </si>
  <si>
    <t>develop</t>
  </si>
  <si>
    <t>master</t>
  </si>
  <si>
    <t>remotes</t>
  </si>
  <si>
    <t>origin</t>
  </si>
  <si>
    <t>CSV-Reexport</t>
  </si>
  <si>
    <t>E3analysis</t>
  </si>
  <si>
    <t>ZEV_analysis</t>
  </si>
  <si>
    <t>29ea69eb10d27e648ac6908fb1dd4e7f3f4044</t>
  </si>
  <si>
    <t>9f8854c3699f70841eb279877dac85f138dbb6</t>
  </si>
  <si>
    <t>b2c37be450f15e7499bdc80d84ef4a58c59b38</t>
  </si>
  <si>
    <t>ccb563dc3c409aa13a3b1a1196a3495391f0aa</t>
  </si>
  <si>
    <t>1dd00e04dc6149b23f03ae7bd6e96f74f0d048</t>
  </si>
  <si>
    <t>0052ea03215c3e7e8f2cfdfa543e2c2a843f56</t>
  </si>
  <si>
    <t>f1d43cd283ef056b68d764e089dad908ba49ec</t>
  </si>
  <si>
    <t>efe4533aed09c4795051d61a7fef539055232d</t>
  </si>
  <si>
    <t>726ae66dc0b012930d12901312693ceb4dd283</t>
  </si>
  <si>
    <t>6709fa7af6c867500e52b97467195fbdd0c274</t>
  </si>
  <si>
    <t>c17b1cf6a179b20005bffff3bc36cb67f46346</t>
  </si>
  <si>
    <t>4f8b78814f55ba494f28b69325a8c73d465e68</t>
  </si>
  <si>
    <t>3e0d6f12d38751f287b85a3775fe592606dc24</t>
  </si>
  <si>
    <t>f008d2c7a5b8446cc7cb14f460055d52b1d180</t>
  </si>
  <si>
    <t>89bc8d2736242026d3a9f9cf8eef76dbc27872</t>
  </si>
  <si>
    <t>b9c59fe4e8bb6747445757b5360a4e8efa9563</t>
  </si>
  <si>
    <t>a55b736af4236720006d9e5fa1ce042df773d5</t>
  </si>
  <si>
    <t>d8ec3c4509c38d7d310902dadc758827139dad</t>
  </si>
  <si>
    <t>73f5a2cf7665c7975c588f1406a48f9d47eea9</t>
  </si>
  <si>
    <t>f8ea608fa9c5f73455e847baf1781aca343c9d</t>
  </si>
  <si>
    <t>fdfd650d780df122964b6ce6fbfaf8e3dd6a1a</t>
  </si>
  <si>
    <t>7c2716cc61ee1e13860d9dca9266a31209b237</t>
  </si>
  <si>
    <t>708964f5c834adc41101f37338d8141568645a</t>
  </si>
  <si>
    <t>bc73b1e78c37aca37aff47f3201ec4a1d3a5df</t>
  </si>
  <si>
    <t>6dcfa82861b9632e01532a5857de4f8c3ec347</t>
  </si>
  <si>
    <t>a0d30702c8cf7aa63c21d75ee9363b1ac79dc8</t>
  </si>
  <si>
    <t>4fd90f74e394021f8436c9cb588fcab8f687d8</t>
  </si>
  <si>
    <t>ebe3eab3738b1d68bf611fc77bb9768f582711</t>
  </si>
  <si>
    <t>add75f9baa7117e48663f3618cb8be695893df</t>
  </si>
  <si>
    <t>8b770e3e234822240cb1d877687486143a0161</t>
  </si>
  <si>
    <t>5ab7afce496110243423ee2dd26c4e4bdb61bd</t>
  </si>
  <si>
    <t>fe6607858ff2ed2e19c14ba901f8de0c1da1ca</t>
  </si>
  <si>
    <t>82148fc17bb886595aac9435fe84356c0d0e21</t>
  </si>
  <si>
    <t>ad5cd03c506da3dd051e7cd2661ec3f3e35198</t>
  </si>
  <si>
    <t>66a28853a90cb1e7ac8c0676da61752bc77b8e</t>
  </si>
  <si>
    <t>32d5fd9e5866ab46fc269e47c50babbde5ea90</t>
  </si>
  <si>
    <t>1d260ecf16603b260979e503e4342ec582ab86</t>
  </si>
  <si>
    <t>354355d19563a5185390f2074b36706f0d4754</t>
  </si>
  <si>
    <t>0d4b221a4dcb0592950905d597e5ba7d33a1e6</t>
  </si>
  <si>
    <t>c51a93fbc17fb3daacf6f2f9a2b8e4635a4169</t>
  </si>
  <si>
    <t>975b80cbe2a66da863dc7a6469cff6cfce827a</t>
  </si>
  <si>
    <t>f455df78aacec697a0a49f2a5ef16f008d7a62</t>
  </si>
  <si>
    <t>220ccbd133ef09894ad9a7156150982408b32b</t>
  </si>
  <si>
    <t>b2349e978a6de36a14bea89db898d940f193e5</t>
  </si>
  <si>
    <t>cfee3ea4d312a24ac2f960abd13eb42c1846bf</t>
  </si>
  <si>
    <t>248084251d7308a78887350bba857e2349c9a2</t>
  </si>
  <si>
    <t>0cafa1fc39ce8c0aed4e35e97a7161171d5b32</t>
  </si>
  <si>
    <t>4e8db8789979fec2344a9371c742bf62fe7010</t>
  </si>
  <si>
    <t>236d1387bea8b00f065f080db8c21cf2a9dda5</t>
  </si>
  <si>
    <t>d6306f00e991e8192aa11c450feda9be65cb5f</t>
  </si>
  <si>
    <t>17f41991b111ee09faaf60294b1cdb0d354ffa</t>
  </si>
  <si>
    <t>5f71da274cac4fdbd0fd8c8014994c4ffbb3f7</t>
  </si>
  <si>
    <t>357c49ebb1ec0444d35b320b9e5bac91613a4d</t>
  </si>
  <si>
    <t>a87f9ef760d67e9ed3b1b065955508263d9643</t>
  </si>
  <si>
    <t>bcf464364f6a6f46f41f2589b923801206a086</t>
  </si>
  <si>
    <t>c6fab6843fcf636ca3a9c722edf2dd07c8ada2</t>
  </si>
  <si>
    <t>f6862fb6a538eff35fef77c1622c13e8a9cf2a</t>
  </si>
  <si>
    <t>85dcfc2f68948e94df47f697fd63bb0c402672</t>
  </si>
  <si>
    <t>c95b069f470689226289c6ef81d914ffb3540e</t>
  </si>
  <si>
    <t>1545e42e343e45c6600e4c5e2ea7173da29a08</t>
  </si>
  <si>
    <t>1845b4842245865468f67409786208e46a4b58</t>
  </si>
  <si>
    <t>6939c88910dd20a90630ce2b621c0c2ecc6c0c</t>
  </si>
  <si>
    <t>0d65d6f7f3a9a7cb851ce060962da5e769f313</t>
  </si>
  <si>
    <t>4a2e336010aaf72e15912b6730f59cfd29320c</t>
  </si>
  <si>
    <t>046f2fdba2b7b58ad123bb462c15bb5315bca8</t>
  </si>
  <si>
    <t>c3ab9345a25ed4e445b9c620ce7a497317f14b</t>
  </si>
  <si>
    <t>0f01aade4643868f2b2ee11aaa848854a56974</t>
  </si>
  <si>
    <t>447d070e21e40b7504b792a877547301013d50</t>
  </si>
  <si>
    <t>de63558ffa96b52af3879a8af503e4ff7c600e</t>
  </si>
  <si>
    <t>a9222df9e8e936cd457dec14528ba19d2a2d9a</t>
  </si>
  <si>
    <t>304243f3c74fad0ac8ca74042d5ce4c091575e</t>
  </si>
  <si>
    <t>3476036a54f60c31eb08a5a35e43555c4c96cc</t>
  </si>
  <si>
    <t>8259520f701884504fe2e6f14e9d3f7bf2ee3d</t>
  </si>
  <si>
    <t>11d9c6d852a34e4e0f95ac33a9f9607c4b23fa</t>
  </si>
  <si>
    <t>2377f9596f7f915b3e4e717bf0094906b99243</t>
  </si>
  <si>
    <t>47f90fd6366a8d630ff189cd080b84c9775011</t>
  </si>
  <si>
    <t>437c723dcae0b24204b719befe6e333fc816bd</t>
  </si>
  <si>
    <t>f0b7f67acf23e0c3905117bbded7baa6d38f22</t>
  </si>
  <si>
    <t>4adb7cdfbf91b87a2de1f35c393930331f1aa3</t>
  </si>
  <si>
    <t>cdf727cb86f066ad0316d0bca477b7039a7a99</t>
  </si>
  <si>
    <t>685c0430da48781b5a4cb2c47aa58f995ffe92</t>
  </si>
  <si>
    <t>04e111978b9ea734bf5a5343dd1060501969d6</t>
  </si>
  <si>
    <t>e99f05756366643c8bf375654e05c3791e722f</t>
  </si>
  <si>
    <t>1fe3616c7683bb4fdc03f38b8ff842e5144672</t>
  </si>
  <si>
    <t>5142c0e39a6d68c7ed0381cc5380e9546ffe17</t>
  </si>
  <si>
    <t>549aecd213d847baead76c1fc079f233bdecd3</t>
  </si>
  <si>
    <t>9f64dea1340c68e0c789315f85c97ab7d7d03a</t>
  </si>
  <si>
    <t>41b2df543e0291d79c11dfcc1b45d98362d831</t>
  </si>
  <si>
    <t>452ab65b37c00a7e1b6b21fe666447c280964f</t>
  </si>
  <si>
    <t>fcee422637b2fc2ecae9bee2294f55481af1f8</t>
  </si>
  <si>
    <t>72006d6ef83a9abbdcf8562e21dd206e111acf</t>
  </si>
  <si>
    <t>85b3da6b7160a9d67413f6cf3c4e463690a60f</t>
  </si>
  <si>
    <t>3669cbaa3d2c14fac667d71a4219147e15e285</t>
  </si>
  <si>
    <t>5608c33835aef108d16f9373997791c9ab5f2b</t>
  </si>
  <si>
    <t>b69b6183b3480405a87abfed58942ae9f92895</t>
  </si>
  <si>
    <t>7d489b99fb5969dd3743b71265992241bcca60</t>
  </si>
  <si>
    <t>c074f0b0a50497997086f97595ecd6761004ba</t>
  </si>
  <si>
    <t>c2ae7907477c414911ff8f88bcbb0a1269f2ad</t>
  </si>
  <si>
    <t>e616e66f417600e33041f558464954ad3a31d4</t>
  </si>
  <si>
    <t>821007d10b740b78860d28f2d95c8dbbb5d7a4</t>
  </si>
  <si>
    <t>20d839f6329d8aad810d9c69ef3984367e1c07</t>
  </si>
  <si>
    <t>4076682573ef47fefc7d208edf77af87c07d90</t>
  </si>
  <si>
    <t>f644a98c8c7722dd8425fb6739466b0d39883d</t>
  </si>
  <si>
    <t>d0b660dec7faa100b58e3796394ac7de9c6ab7</t>
  </si>
  <si>
    <t>dc1da1110ea8d51bc5d21ae0966c8f41ba1155</t>
  </si>
  <si>
    <t>ccd2cea319bcd93f8bc4b32cd31999dfc70922</t>
  </si>
  <si>
    <t>3f9be26e16ff2e5beaf9bc0e696d1b7a5844a2</t>
  </si>
  <si>
    <t>fc82342ebcf4fb6bb070feec454d5f23d26e82</t>
  </si>
  <si>
    <t>1865fbfe4f6b540b10400731ac507e267499e9</t>
  </si>
  <si>
    <t>97395e1982ff9baf0dfc1d00412037b420f899</t>
  </si>
  <si>
    <t>f595065db4aff11e5e849a13bae5267ebad760</t>
  </si>
  <si>
    <t>5dc33ea58325a035fd26fa35f9f22f5d946d52</t>
  </si>
  <si>
    <t>83a11f59f8e3ac7ecb5296060e6b600558381c</t>
  </si>
  <si>
    <t>5ddafacbaea6da8b2098e1f509062a07424511</t>
  </si>
  <si>
    <t>9de29bb2d1d6434b8b29ae775ad8c2e48c5391</t>
  </si>
  <si>
    <t>02eb43d84f75a5c228d02e2589826d74728e24</t>
  </si>
  <si>
    <t>e9e26a746b9faf203e8089d85543f425c616ad</t>
  </si>
  <si>
    <t>949ab6769e78902383639ae66326d305ded968</t>
  </si>
  <si>
    <t>3dc769b5036a4e414d8d4f9f116510ff55adcf</t>
  </si>
  <si>
    <t>5ade67900af5a91ff30b4a2d2775731ae68fc1</t>
  </si>
  <si>
    <t>907dc47792ea2602c07a79adaf3b0bf6c0e918</t>
  </si>
  <si>
    <t>c2796bd411f094f2d88996972022613daa5048</t>
  </si>
  <si>
    <t>e347444196224b7a685c7c6f9dbd166ba35d83</t>
  </si>
  <si>
    <t>502764f32f317d9422da12ce2f969f08790047</t>
  </si>
  <si>
    <t>ef251e346ec9810a07de32f4159da7be91498c</t>
  </si>
  <si>
    <t>a267f616bf91e1fbe810187569e161dd9419e0</t>
  </si>
  <si>
    <t>eb90da4ec141cebb3a0e7715deef40ad72d92c</t>
  </si>
  <si>
    <t>pack-05e9bb750082398546d9f85b3d3e779e71ed4924.idx</t>
  </si>
  <si>
    <t>pack-05e9bb750082398546d9f85b3d3e779e71ed4924.pack</t>
  </si>
  <si>
    <t>pack-219e3da980198c15223985b41b8396a72c1537fc.idx</t>
  </si>
  <si>
    <t>pack-219e3da980198c15223985b41b8396a72c1537fc.pack</t>
  </si>
  <si>
    <t>pack-81457f6182ab4a2cbdf7b35c375421267ab7b78e.idx</t>
  </si>
  <si>
    <t>pack-81457f6182ab4a2cbdf7b35c375421267ab7b78e.pack</t>
  </si>
  <si>
    <t>1.4.3</t>
  </si>
  <si>
    <t>1.4.3.2</t>
  </si>
  <si>
    <t>1.4.3.2_ZEV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</si>
  <si>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</si>
  <si>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</si>
  <si>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</si>
  <si>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</si>
  <si>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</si>
  <si>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</si>
  <si>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</si>
  <si>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</si>
  <si>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</si>
  <si>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</si>
  <si>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BAU Nonfuel Revenue by Industry.xlsx</t>
  </si>
  <si>
    <t>BNRbI.csv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</si>
  <si>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</si>
  <si>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</si>
  <si>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</si>
  <si>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</si>
  <si>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</si>
  <si>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</si>
  <si>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</si>
  <si>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</si>
  <si>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</si>
  <si>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</si>
  <si>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</si>
  <si>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</si>
  <si>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</si>
  <si>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</si>
  <si>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</si>
  <si>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</si>
  <si>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</si>
  <si>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HSR</t>
  </si>
  <si>
    <t>Household Savings Rate.xlsx</t>
  </si>
  <si>
    <t>HSR.csv</t>
  </si>
  <si>
    <t>RMI_crosswalks</t>
  </si>
  <si>
    <t>BTS2EPS_TransportTypes.csv</t>
  </si>
  <si>
    <t>capacity_factor_bounds.csv</t>
  </si>
  <si>
    <t>conversionFactors.csv</t>
  </si>
  <si>
    <t>EIA2EPS_DER.csv</t>
  </si>
  <si>
    <t>EIA_API_ID.csv</t>
  </si>
  <si>
    <t>IOCode2ISIC.csv</t>
  </si>
  <si>
    <t>IOCode2ISIC.xls</t>
  </si>
  <si>
    <t>ISIC2BEA.csv</t>
  </si>
  <si>
    <t>ISIC2BEA_EMP.csv</t>
  </si>
  <si>
    <t>ISIC2NAICS.csv</t>
  </si>
  <si>
    <t>ISIC2NAICS.xlsx</t>
  </si>
  <si>
    <t>NAICS2EPS.csv</t>
  </si>
  <si>
    <t>NAICS2EPS.xlsx</t>
  </si>
  <si>
    <t>NREL2EPS_DemandTechFuel.csv</t>
  </si>
  <si>
    <t>NREL2EPS_DemandTechnology_Subsector.csv</t>
  </si>
  <si>
    <t>NREL2EPS_ELF.csv</t>
  </si>
  <si>
    <t>NREL2EPS_FinalEnergy_Energy.csv</t>
  </si>
  <si>
    <t>NREL2EPS_Subsector_Subsector.csv</t>
  </si>
  <si>
    <t>state2censusDivision.csv</t>
  </si>
  <si>
    <t>state2PADD.csv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</si>
</sst>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  <xf numFmtId="11" fontId="0" fillId="0" borderId="0" xfId="0" applyNumberFormat="1"/>
  </cellXfs>
  <cellStyles count="1">
    <cellStyle name="Normal" xfId="0" builtinId="0"/>
  </cellStyles>
  <dxfs count="1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obbie Orvis" refreshedDate="44117.465132986108" createdVersion="6" refreshedVersion="6" minRefreshableVersion="3" recordCount="2021">
  <cacheSource type="worksheet">
    <worksheetSource ref="A1:C1048576" sheet="Sheet1"/>
  </cacheSource>
  <cacheFields count="3">
    <cacheField name="Sector Folder" numFmtId="0">
      <sharedItems containsBlank="1" count="51">
        <s v="acronym-key.xlsx"/>
        <s v="acronym-key_us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RMI_crosswalks"/>
        <s v="RMI_validation"/>
        <s v="trans"/>
        <s v="web-app"/>
        <m/>
        <s v="CreateContributionTestScript.py" u="1"/>
        <s v="WebAppData.xlsx" u="1"/>
        <s v="ReadMe.docx" u="1"/>
        <s v="filelist.txt" u="1"/>
        <s v="CreateDataLoggingScript.py" u="1"/>
        <s v=".git" u="1"/>
        <s v=".gitignore" u="1"/>
        <s v="InputData" u="1"/>
        <s v="CreateCombinationsScript.py" u="1"/>
        <s v="MostRecentRun.vdfx" u="1"/>
        <s v="License.txt" u="1"/>
        <s v="CreateCarbonCapToTaxScript.py" u="1"/>
        <s v="CSV Export Tool - Copy.xlsm" u="1"/>
        <s v="Scenario_BAU.cin" u="1"/>
        <s v="Cost Curve Generator.xlsx" u="1"/>
        <s v="docs" u="1"/>
        <s v="EPS.vpmx" u="1"/>
        <s v="web_assets" u="1"/>
        <s v="EPS.mdl" u="1"/>
        <s v="plcy-ctrl-ctr" u="1"/>
        <s v="GraphDefinitions.vgd" u="1"/>
      </sharedItems>
    </cacheField>
    <cacheField name="Variable Folder" numFmtId="0">
      <sharedItems containsBlank="1" count="321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GEpUO"/>
        <s v="NSDoDC"/>
        <s v="NSDoNCC"/>
        <s v="PMCCS"/>
        <s v="PTCF"/>
        <s v="RM"/>
        <s v="RQSD"/>
        <s v="SoESCaOM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aT"/>
        <s v="BFPIaE"/>
        <s v="BS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iC"/>
        <s v="BPoIFUfE"/>
        <s v="BSoAIGtAP"/>
        <s v="CoNEPPpCAPS"/>
        <s v="CtIEPpUESoS"/>
        <s v="EoDfIP"/>
        <s v="EoP"/>
        <s v="FLRbI"/>
        <s v="FoISaGPbE"/>
        <s v="ItICM"/>
        <s v="MHV"/>
        <s v="PERAC"/>
        <s v="PIFURfE"/>
        <s v="PPRiFUfERoIF"/>
        <s v="PPRiFUfICaWHR"/>
        <s v="PPRiFUfIIaIoE"/>
        <s v="RIFF"/>
        <s v="RoPSoPBvOD"/>
        <s v="SoCaOMSbRIC"/>
        <s v="SoCiIEPTtB"/>
        <s v="SoPEASbRIC"/>
        <s v="TNRbI"/>
        <s v="BEbIC"/>
        <s v="BECbIC"/>
        <s v="BGDP"/>
        <s v="BObIC"/>
        <s v="BPEaCP"/>
        <s v="BVAbIC"/>
        <s v="DCSoCbIC"/>
        <s v="DLIM"/>
        <s v="DToPaSoVAbIC"/>
        <s v="FoGPbEaIC"/>
        <s v="Ga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BTS2EPS_TransportTypes.csv"/>
        <s v="capacity_factor_bounds.csv"/>
        <s v="conversionFactors.csv"/>
        <s v="EIA2EPS_DER.csv"/>
        <s v="EIA_API_ID.csv"/>
        <s v="IOCode2ISIC.csv"/>
        <s v="IOCode2ISIC.xls"/>
        <s v="ISIC2BEA.csv"/>
        <s v="ISIC2BEA_EMP.csv"/>
        <s v="ISIC2NAICS.csv"/>
        <s v="ISIC2NAICS.xlsx"/>
        <s v="NAICS2EPS.csv"/>
        <s v="NAICS2EPS.xlsx"/>
        <s v="NREL2EPS_DemandTechFuel.csv"/>
        <s v="NREL2EPS_DemandTechnology_Subsector.csv"/>
        <s v="NREL2EPS_ELF.csv"/>
        <s v="NREL2EPS_FinalEnergy_Energy.csv"/>
        <s v="NREL2EPS_Subsector_Subsector.csv"/>
        <s v="state2censusDivision.csv"/>
        <s v="state2PADD.csv"/>
        <s v="validationDashboard.csv"/>
        <s v="validationDashboard_USA.csv"/>
        <s v="ValidationWorkbook.twb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"/>
        <s v="PCiCDTdtTDM"/>
        <s v="PTFURfE"/>
        <s v="QSfV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SYGBSC" u="1"/>
        <s v="objects" u="1"/>
        <s v="FoNEtVwP" u="1"/>
        <s v="COMMIT_EDITMSG" u="1"/>
        <s v="social_img_california.jpg" u="1"/>
        <s v="index" u="1"/>
        <s v="EVCLC" u="1"/>
        <s v="web-app" u="1"/>
        <s v="dist-heat" u="1"/>
        <s v="AGFA" u="1"/>
        <s v="VR" u="1"/>
        <s v="CPbE" u="1"/>
        <s v="elec" u="1"/>
        <s v="logs" u="1"/>
        <s v="CSV Export Tool.xlsm" u="1"/>
        <s v="SCoHIbP" u="1"/>
        <s v="sourcetreeconfig.json" u="1"/>
        <s v="cumulators" u="1"/>
        <s v="indst" u="1"/>
        <s v="BSoFPtiT" u="1"/>
        <s v="RMI_validation" u="1"/>
        <s v="GEbIC" u="1"/>
        <s v="output_shares_by_industry.xlsx" u="1"/>
        <s v="io-model" u="1"/>
        <s v="acronym-key.xlsx" u="1"/>
        <s v="FETCH_HEAD" u="1"/>
        <s v="FoFEtiL" u="1"/>
        <s v="RMI_crosswalks" u="1"/>
        <s v="geoeng" u="1"/>
        <s v="PQS" u="1"/>
        <s v="cost-outputs" u="1"/>
        <s v="software-license.md" u="1"/>
        <s v="CSA" u="1"/>
        <s v="logo_ei.svg" u="1"/>
        <s v="ctrl-settings" u="1"/>
        <s v="refs" u="1"/>
        <s v="SYSoCCtaSC" u="1"/>
        <s v="land" u="1"/>
        <s v="fuels" u="1"/>
        <s v="cpi.xlsx" u="1"/>
        <s v="config" u="1"/>
        <s v="HEAD" u="1"/>
        <s v=".DS_Store" u="1"/>
        <s v="endo-learn" u="1"/>
        <s v="trans" u="1"/>
        <s v="ccs" u="1"/>
        <s v="TLIM" u="1"/>
        <s v="bldgs" u="1"/>
        <s v="ORIG_HEAD" u="1"/>
        <s v="hooks" u="1"/>
        <s v="cross-sec-tot" u="1"/>
        <s v="acronym-key_us.xlsx" u="1"/>
        <s v="SLF" u="1"/>
        <s v="CESTR" u="1"/>
        <s v="plcy-schd" u="1"/>
        <s v="hydgn" u="1"/>
        <s v="info" u="1"/>
        <s v="HEbIC" u="1"/>
        <s v="EQS" u="1"/>
        <s v="BGrBSC" u="1"/>
        <s v="description" u="1"/>
        <s v="packed-refs" u="1"/>
        <s v="FoOMCtiL" u="1"/>
        <s v="version.txt" u="1"/>
        <s v="BTWCaSoVAbIC" u="1"/>
        <s v="landing_bgnd_california.jpg" u="1"/>
        <s v="VQS" u="1"/>
        <s v="CFQS" u="1"/>
        <s v="EVCCC" u="1"/>
        <s v="index.md" u="1"/>
        <s v="add-outputs" u="1"/>
      </sharedItems>
    </cacheField>
    <cacheField name="FileName" numFmtId="0">
      <sharedItems containsBlank="1" containsMixedTypes="1" containsNumber="1" containsInteger="1" minValue="1" maxValue="92" count="955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BS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Elasticities of Production.xlsx"/>
        <s v="EoP-EoPwFC.csv"/>
        <s v="EoP-PCiPpUCTdtNI.csv"/>
        <s v="FLRbI.csv"/>
        <s v="Foreign Leakage Rate by Industry.xlsx"/>
        <s v="FoISaGPbE-FoGPbE.csv"/>
        <s v="Fraction of Inputs Supplied and Goods Purchased by Entit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2 - VCE 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n v="86" u="1"/>
        <n v="78" u="1"/>
        <n v="17" u="1"/>
        <n v="63" u="1"/>
        <n v="1" u="1"/>
        <n v="47" u="1"/>
        <n v="43" u="1"/>
        <n v="79" u="1"/>
        <n v="35" u="1"/>
        <n v="88" u="1"/>
        <n v="64" u="1"/>
        <n v="60" u="1"/>
        <n v="56" u="1"/>
        <n v="52" u="1"/>
        <n v="89" u="1"/>
        <n v="81" u="1"/>
        <n v="40" u="1"/>
        <n v="36" u="1"/>
        <n v="65" u="1"/>
        <n v="32" u="1"/>
        <n v="26" u="1"/>
        <n v="20" u="1"/>
        <n v="66" u="1"/>
        <n v="57" u="1"/>
        <n v="13" u="1"/>
        <n v="49" u="1"/>
        <n v="45" u="1"/>
        <n v="83" u="1"/>
        <n v="75" u="1"/>
        <n v="10" u="1"/>
        <n v="37" u="1"/>
        <n v="67" u="1"/>
        <n v="33" u="1"/>
        <n v="8" u="1"/>
        <n v="7" u="1"/>
        <n v="92" u="1"/>
        <n v="6" u="1"/>
        <n v="84" u="1"/>
        <n v="68" u="1"/>
        <n v="4" u="1"/>
        <n v="46" u="1"/>
        <n v="3" u="1"/>
        <n v="42" u="1"/>
        <n v="77" u="1"/>
        <n v="6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21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1"/>
    <x v="1"/>
  </r>
  <r>
    <x v="8"/>
    <x v="1"/>
    <x v="2"/>
  </r>
  <r>
    <x v="8"/>
    <x v="1"/>
    <x v="3"/>
  </r>
  <r>
    <x v="8"/>
    <x v="1"/>
    <x v="4"/>
  </r>
  <r>
    <x v="8"/>
    <x v="1"/>
    <x v="5"/>
  </r>
  <r>
    <x v="8"/>
    <x v="1"/>
    <x v="6"/>
  </r>
  <r>
    <x v="8"/>
    <x v="1"/>
    <x v="7"/>
  </r>
  <r>
    <x v="8"/>
    <x v="1"/>
    <x v="8"/>
  </r>
  <r>
    <x v="8"/>
    <x v="1"/>
    <x v="9"/>
  </r>
  <r>
    <x v="8"/>
    <x v="1"/>
    <x v="10"/>
  </r>
  <r>
    <x v="8"/>
    <x v="1"/>
    <x v="11"/>
  </r>
  <r>
    <x v="8"/>
    <x v="1"/>
    <x v="12"/>
  </r>
  <r>
    <x v="8"/>
    <x v="1"/>
    <x v="13"/>
  </r>
  <r>
    <x v="8"/>
    <x v="1"/>
    <x v="14"/>
  </r>
  <r>
    <x v="8"/>
    <x v="1"/>
    <x v="15"/>
  </r>
  <r>
    <x v="8"/>
    <x v="1"/>
    <x v="16"/>
  </r>
  <r>
    <x v="8"/>
    <x v="2"/>
    <x v="17"/>
  </r>
  <r>
    <x v="8"/>
    <x v="2"/>
    <x v="18"/>
  </r>
  <r>
    <x v="8"/>
    <x v="3"/>
    <x v="19"/>
  </r>
  <r>
    <x v="8"/>
    <x v="3"/>
    <x v="20"/>
  </r>
  <r>
    <x v="9"/>
    <x v="4"/>
    <x v="21"/>
  </r>
  <r>
    <x v="9"/>
    <x v="4"/>
    <x v="22"/>
  </r>
  <r>
    <x v="9"/>
    <x v="4"/>
    <x v="23"/>
  </r>
  <r>
    <x v="9"/>
    <x v="4"/>
    <x v="24"/>
  </r>
  <r>
    <x v="9"/>
    <x v="5"/>
    <x v="25"/>
  </r>
  <r>
    <x v="9"/>
    <x v="5"/>
    <x v="26"/>
  </r>
  <r>
    <x v="9"/>
    <x v="5"/>
    <x v="27"/>
  </r>
  <r>
    <x v="9"/>
    <x v="5"/>
    <x v="28"/>
  </r>
  <r>
    <x v="9"/>
    <x v="5"/>
    <x v="29"/>
  </r>
  <r>
    <x v="9"/>
    <x v="5"/>
    <x v="30"/>
  </r>
  <r>
    <x v="9"/>
    <x v="5"/>
    <x v="31"/>
  </r>
  <r>
    <x v="9"/>
    <x v="5"/>
    <x v="32"/>
  </r>
  <r>
    <x v="9"/>
    <x v="5"/>
    <x v="33"/>
  </r>
  <r>
    <x v="9"/>
    <x v="5"/>
    <x v="34"/>
  </r>
  <r>
    <x v="9"/>
    <x v="5"/>
    <x v="35"/>
  </r>
  <r>
    <x v="9"/>
    <x v="5"/>
    <x v="36"/>
  </r>
  <r>
    <x v="9"/>
    <x v="5"/>
    <x v="37"/>
  </r>
  <r>
    <x v="9"/>
    <x v="5"/>
    <x v="38"/>
  </r>
  <r>
    <x v="9"/>
    <x v="5"/>
    <x v="39"/>
  </r>
  <r>
    <x v="9"/>
    <x v="5"/>
    <x v="40"/>
  </r>
  <r>
    <x v="9"/>
    <x v="5"/>
    <x v="41"/>
  </r>
  <r>
    <x v="9"/>
    <x v="6"/>
    <x v="42"/>
  </r>
  <r>
    <x v="9"/>
    <x v="6"/>
    <x v="43"/>
  </r>
  <r>
    <x v="9"/>
    <x v="6"/>
    <x v="44"/>
  </r>
  <r>
    <x v="9"/>
    <x v="6"/>
    <x v="45"/>
  </r>
  <r>
    <x v="9"/>
    <x v="6"/>
    <x v="46"/>
  </r>
  <r>
    <x v="9"/>
    <x v="6"/>
    <x v="47"/>
  </r>
  <r>
    <x v="9"/>
    <x v="6"/>
    <x v="48"/>
  </r>
  <r>
    <x v="9"/>
    <x v="7"/>
    <x v="49"/>
  </r>
  <r>
    <x v="9"/>
    <x v="7"/>
    <x v="50"/>
  </r>
  <r>
    <x v="9"/>
    <x v="7"/>
    <x v="51"/>
  </r>
  <r>
    <x v="9"/>
    <x v="7"/>
    <x v="52"/>
  </r>
  <r>
    <x v="9"/>
    <x v="8"/>
    <x v="53"/>
  </r>
  <r>
    <x v="9"/>
    <x v="8"/>
    <x v="54"/>
  </r>
  <r>
    <x v="9"/>
    <x v="8"/>
    <x v="55"/>
  </r>
  <r>
    <x v="9"/>
    <x v="9"/>
    <x v="56"/>
  </r>
  <r>
    <x v="9"/>
    <x v="9"/>
    <x v="57"/>
  </r>
  <r>
    <x v="9"/>
    <x v="10"/>
    <x v="58"/>
  </r>
  <r>
    <x v="9"/>
    <x v="10"/>
    <x v="59"/>
  </r>
  <r>
    <x v="9"/>
    <x v="10"/>
    <x v="60"/>
  </r>
  <r>
    <x v="9"/>
    <x v="11"/>
    <x v="61"/>
  </r>
  <r>
    <x v="9"/>
    <x v="11"/>
    <x v="62"/>
  </r>
  <r>
    <x v="9"/>
    <x v="12"/>
    <x v="63"/>
  </r>
  <r>
    <x v="9"/>
    <x v="12"/>
    <x v="64"/>
  </r>
  <r>
    <x v="9"/>
    <x v="13"/>
    <x v="65"/>
  </r>
  <r>
    <x v="9"/>
    <x v="13"/>
    <x v="66"/>
  </r>
  <r>
    <x v="9"/>
    <x v="14"/>
    <x v="67"/>
  </r>
  <r>
    <x v="9"/>
    <x v="14"/>
    <x v="68"/>
  </r>
  <r>
    <x v="9"/>
    <x v="15"/>
    <x v="69"/>
  </r>
  <r>
    <x v="9"/>
    <x v="15"/>
    <x v="70"/>
  </r>
  <r>
    <x v="9"/>
    <x v="16"/>
    <x v="71"/>
  </r>
  <r>
    <x v="9"/>
    <x v="16"/>
    <x v="72"/>
  </r>
  <r>
    <x v="9"/>
    <x v="17"/>
    <x v="73"/>
  </r>
  <r>
    <x v="9"/>
    <x v="17"/>
    <x v="74"/>
  </r>
  <r>
    <x v="9"/>
    <x v="18"/>
    <x v="75"/>
  </r>
  <r>
    <x v="9"/>
    <x v="18"/>
    <x v="76"/>
  </r>
  <r>
    <x v="9"/>
    <x v="18"/>
    <x v="77"/>
  </r>
  <r>
    <x v="9"/>
    <x v="18"/>
    <x v="78"/>
  </r>
  <r>
    <x v="9"/>
    <x v="18"/>
    <x v="79"/>
  </r>
  <r>
    <x v="9"/>
    <x v="18"/>
    <x v="80"/>
  </r>
  <r>
    <x v="9"/>
    <x v="18"/>
    <x v="81"/>
  </r>
  <r>
    <x v="9"/>
    <x v="18"/>
    <x v="82"/>
  </r>
  <r>
    <x v="9"/>
    <x v="18"/>
    <x v="83"/>
  </r>
  <r>
    <x v="9"/>
    <x v="18"/>
    <x v="84"/>
  </r>
  <r>
    <x v="9"/>
    <x v="19"/>
    <x v="85"/>
  </r>
  <r>
    <x v="9"/>
    <x v="19"/>
    <x v="86"/>
  </r>
  <r>
    <x v="9"/>
    <x v="20"/>
    <x v="87"/>
  </r>
  <r>
    <x v="9"/>
    <x v="20"/>
    <x v="88"/>
  </r>
  <r>
    <x v="9"/>
    <x v="21"/>
    <x v="89"/>
  </r>
  <r>
    <x v="9"/>
    <x v="21"/>
    <x v="90"/>
  </r>
  <r>
    <x v="9"/>
    <x v="22"/>
    <x v="91"/>
  </r>
  <r>
    <x v="9"/>
    <x v="22"/>
    <x v="92"/>
  </r>
  <r>
    <x v="9"/>
    <x v="23"/>
    <x v="93"/>
  </r>
  <r>
    <x v="9"/>
    <x v="23"/>
    <x v="94"/>
  </r>
  <r>
    <x v="9"/>
    <x v="24"/>
    <x v="95"/>
  </r>
  <r>
    <x v="9"/>
    <x v="24"/>
    <x v="96"/>
  </r>
  <r>
    <x v="9"/>
    <x v="25"/>
    <x v="97"/>
  </r>
  <r>
    <x v="9"/>
    <x v="25"/>
    <x v="98"/>
  </r>
  <r>
    <x v="9"/>
    <x v="26"/>
    <x v="99"/>
  </r>
  <r>
    <x v="9"/>
    <x v="26"/>
    <x v="100"/>
  </r>
  <r>
    <x v="9"/>
    <x v="26"/>
    <x v="101"/>
  </r>
  <r>
    <x v="9"/>
    <x v="26"/>
    <x v="102"/>
  </r>
  <r>
    <x v="9"/>
    <x v="27"/>
    <x v="103"/>
  </r>
  <r>
    <x v="9"/>
    <x v="27"/>
    <x v="104"/>
  </r>
  <r>
    <x v="9"/>
    <x v="28"/>
    <x v="105"/>
  </r>
  <r>
    <x v="9"/>
    <x v="28"/>
    <x v="106"/>
  </r>
  <r>
    <x v="9"/>
    <x v="29"/>
    <x v="107"/>
  </r>
  <r>
    <x v="9"/>
    <x v="29"/>
    <x v="108"/>
  </r>
  <r>
    <x v="9"/>
    <x v="29"/>
    <x v="109"/>
  </r>
  <r>
    <x v="9"/>
    <x v="29"/>
    <x v="110"/>
  </r>
  <r>
    <x v="9"/>
    <x v="30"/>
    <x v="111"/>
  </r>
  <r>
    <x v="9"/>
    <x v="30"/>
    <x v="112"/>
  </r>
  <r>
    <x v="10"/>
    <x v="31"/>
    <x v="113"/>
  </r>
  <r>
    <x v="10"/>
    <x v="31"/>
    <x v="114"/>
  </r>
  <r>
    <x v="10"/>
    <x v="32"/>
    <x v="115"/>
  </r>
  <r>
    <x v="10"/>
    <x v="32"/>
    <x v="116"/>
  </r>
  <r>
    <x v="10"/>
    <x v="32"/>
    <x v="117"/>
  </r>
  <r>
    <x v="10"/>
    <x v="32"/>
    <x v="118"/>
  </r>
  <r>
    <x v="10"/>
    <x v="33"/>
    <x v="119"/>
  </r>
  <r>
    <x v="10"/>
    <x v="33"/>
    <x v="120"/>
  </r>
  <r>
    <x v="10"/>
    <x v="33"/>
    <x v="121"/>
  </r>
  <r>
    <x v="11"/>
    <x v="34"/>
    <x v="122"/>
  </r>
  <r>
    <x v="11"/>
    <x v="34"/>
    <x v="123"/>
  </r>
  <r>
    <x v="11"/>
    <x v="35"/>
    <x v="124"/>
  </r>
  <r>
    <x v="11"/>
    <x v="35"/>
    <x v="125"/>
  </r>
  <r>
    <x v="12"/>
    <x v="36"/>
    <x v="126"/>
  </r>
  <r>
    <x v="12"/>
    <x v="36"/>
    <x v="127"/>
  </r>
  <r>
    <x v="13"/>
    <x v="37"/>
    <x v="128"/>
  </r>
  <r>
    <x v="13"/>
    <x v="37"/>
    <x v="129"/>
  </r>
  <r>
    <x v="13"/>
    <x v="38"/>
    <x v="130"/>
  </r>
  <r>
    <x v="13"/>
    <x v="38"/>
    <x v="131"/>
  </r>
  <r>
    <x v="13"/>
    <x v="39"/>
    <x v="132"/>
  </r>
  <r>
    <x v="13"/>
    <x v="39"/>
    <x v="133"/>
  </r>
  <r>
    <x v="13"/>
    <x v="40"/>
    <x v="134"/>
  </r>
  <r>
    <x v="13"/>
    <x v="40"/>
    <x v="135"/>
  </r>
  <r>
    <x v="13"/>
    <x v="41"/>
    <x v="136"/>
  </r>
  <r>
    <x v="13"/>
    <x v="41"/>
    <x v="137"/>
  </r>
  <r>
    <x v="13"/>
    <x v="42"/>
    <x v="138"/>
  </r>
  <r>
    <x v="13"/>
    <x v="42"/>
    <x v="139"/>
  </r>
  <r>
    <x v="13"/>
    <x v="43"/>
    <x v="140"/>
  </r>
  <r>
    <x v="13"/>
    <x v="43"/>
    <x v="141"/>
  </r>
  <r>
    <x v="13"/>
    <x v="44"/>
    <x v="142"/>
  </r>
  <r>
    <x v="13"/>
    <x v="44"/>
    <x v="143"/>
  </r>
  <r>
    <x v="13"/>
    <x v="44"/>
    <x v="144"/>
  </r>
  <r>
    <x v="13"/>
    <x v="45"/>
    <x v="145"/>
  </r>
  <r>
    <x v="13"/>
    <x v="45"/>
    <x v="146"/>
  </r>
  <r>
    <x v="13"/>
    <x v="45"/>
    <x v="147"/>
  </r>
  <r>
    <x v="13"/>
    <x v="45"/>
    <x v="148"/>
  </r>
  <r>
    <x v="13"/>
    <x v="45"/>
    <x v="149"/>
  </r>
  <r>
    <x v="13"/>
    <x v="45"/>
    <x v="150"/>
  </r>
  <r>
    <x v="13"/>
    <x v="45"/>
    <x v="151"/>
  </r>
  <r>
    <x v="13"/>
    <x v="45"/>
    <x v="152"/>
  </r>
  <r>
    <x v="13"/>
    <x v="45"/>
    <x v="153"/>
  </r>
  <r>
    <x v="13"/>
    <x v="45"/>
    <x v="154"/>
  </r>
  <r>
    <x v="14"/>
    <x v="36"/>
    <x v="126"/>
  </r>
  <r>
    <x v="14"/>
    <x v="36"/>
    <x v="127"/>
  </r>
  <r>
    <x v="15"/>
    <x v="46"/>
    <x v="155"/>
  </r>
  <r>
    <x v="15"/>
    <x v="46"/>
    <x v="156"/>
  </r>
  <r>
    <x v="15"/>
    <x v="47"/>
    <x v="157"/>
  </r>
  <r>
    <x v="15"/>
    <x v="47"/>
    <x v="158"/>
  </r>
  <r>
    <x v="15"/>
    <x v="48"/>
    <x v="159"/>
  </r>
  <r>
    <x v="15"/>
    <x v="48"/>
    <x v="160"/>
  </r>
  <r>
    <x v="15"/>
    <x v="49"/>
    <x v="161"/>
  </r>
  <r>
    <x v="15"/>
    <x v="49"/>
    <x v="162"/>
  </r>
  <r>
    <x v="16"/>
    <x v="50"/>
    <x v="163"/>
  </r>
  <r>
    <x v="16"/>
    <x v="50"/>
    <x v="164"/>
  </r>
  <r>
    <x v="16"/>
    <x v="51"/>
    <x v="165"/>
  </r>
  <r>
    <x v="16"/>
    <x v="51"/>
    <x v="166"/>
  </r>
  <r>
    <x v="16"/>
    <x v="51"/>
    <x v="167"/>
  </r>
  <r>
    <x v="16"/>
    <x v="52"/>
    <x v="168"/>
  </r>
  <r>
    <x v="16"/>
    <x v="52"/>
    <x v="169"/>
  </r>
  <r>
    <x v="16"/>
    <x v="53"/>
    <x v="170"/>
  </r>
  <r>
    <x v="16"/>
    <x v="53"/>
    <x v="171"/>
  </r>
  <r>
    <x v="16"/>
    <x v="54"/>
    <x v="172"/>
  </r>
  <r>
    <x v="16"/>
    <x v="54"/>
    <x v="173"/>
  </r>
  <r>
    <x v="16"/>
    <x v="55"/>
    <x v="174"/>
  </r>
  <r>
    <x v="16"/>
    <x v="55"/>
    <x v="175"/>
  </r>
  <r>
    <x v="16"/>
    <x v="55"/>
    <x v="176"/>
  </r>
  <r>
    <x v="16"/>
    <x v="55"/>
    <x v="177"/>
  </r>
  <r>
    <x v="16"/>
    <x v="56"/>
    <x v="178"/>
  </r>
  <r>
    <x v="16"/>
    <x v="56"/>
    <x v="179"/>
  </r>
  <r>
    <x v="16"/>
    <x v="57"/>
    <x v="180"/>
  </r>
  <r>
    <x v="16"/>
    <x v="57"/>
    <x v="181"/>
  </r>
  <r>
    <x v="16"/>
    <x v="58"/>
    <x v="182"/>
  </r>
  <r>
    <x v="16"/>
    <x v="58"/>
    <x v="183"/>
  </r>
  <r>
    <x v="16"/>
    <x v="59"/>
    <x v="184"/>
  </r>
  <r>
    <x v="16"/>
    <x v="59"/>
    <x v="185"/>
  </r>
  <r>
    <x v="16"/>
    <x v="59"/>
    <x v="186"/>
  </r>
  <r>
    <x v="16"/>
    <x v="60"/>
    <x v="187"/>
  </r>
  <r>
    <x v="16"/>
    <x v="60"/>
    <x v="188"/>
  </r>
  <r>
    <x v="16"/>
    <x v="61"/>
    <x v="189"/>
  </r>
  <r>
    <x v="16"/>
    <x v="61"/>
    <x v="190"/>
  </r>
  <r>
    <x v="16"/>
    <x v="62"/>
    <x v="191"/>
  </r>
  <r>
    <x v="16"/>
    <x v="62"/>
    <x v="192"/>
  </r>
  <r>
    <x v="16"/>
    <x v="63"/>
    <x v="193"/>
  </r>
  <r>
    <x v="16"/>
    <x v="63"/>
    <x v="194"/>
  </r>
  <r>
    <x v="16"/>
    <x v="64"/>
    <x v="195"/>
  </r>
  <r>
    <x v="16"/>
    <x v="64"/>
    <x v="196"/>
  </r>
  <r>
    <x v="16"/>
    <x v="65"/>
    <x v="197"/>
  </r>
  <r>
    <x v="16"/>
    <x v="65"/>
    <x v="198"/>
  </r>
  <r>
    <x v="16"/>
    <x v="65"/>
    <x v="199"/>
  </r>
  <r>
    <x v="16"/>
    <x v="65"/>
    <x v="200"/>
  </r>
  <r>
    <x v="16"/>
    <x v="65"/>
    <x v="201"/>
  </r>
  <r>
    <x v="16"/>
    <x v="66"/>
    <x v="202"/>
  </r>
  <r>
    <x v="16"/>
    <x v="66"/>
    <x v="203"/>
  </r>
  <r>
    <x v="16"/>
    <x v="67"/>
    <x v="204"/>
  </r>
  <r>
    <x v="16"/>
    <x v="67"/>
    <x v="205"/>
  </r>
  <r>
    <x v="16"/>
    <x v="68"/>
    <x v="206"/>
  </r>
  <r>
    <x v="16"/>
    <x v="68"/>
    <x v="207"/>
  </r>
  <r>
    <x v="16"/>
    <x v="68"/>
    <x v="208"/>
  </r>
  <r>
    <x v="16"/>
    <x v="69"/>
    <x v="209"/>
  </r>
  <r>
    <x v="16"/>
    <x v="69"/>
    <x v="210"/>
  </r>
  <r>
    <x v="16"/>
    <x v="69"/>
    <x v="211"/>
  </r>
  <r>
    <x v="16"/>
    <x v="70"/>
    <x v="212"/>
  </r>
  <r>
    <x v="16"/>
    <x v="70"/>
    <x v="213"/>
  </r>
  <r>
    <x v="16"/>
    <x v="70"/>
    <x v="214"/>
  </r>
  <r>
    <x v="16"/>
    <x v="70"/>
    <x v="215"/>
  </r>
  <r>
    <x v="16"/>
    <x v="70"/>
    <x v="216"/>
  </r>
  <r>
    <x v="16"/>
    <x v="71"/>
    <x v="217"/>
  </r>
  <r>
    <x v="16"/>
    <x v="71"/>
    <x v="218"/>
  </r>
  <r>
    <x v="16"/>
    <x v="71"/>
    <x v="219"/>
  </r>
  <r>
    <x v="16"/>
    <x v="71"/>
    <x v="220"/>
  </r>
  <r>
    <x v="16"/>
    <x v="71"/>
    <x v="221"/>
  </r>
  <r>
    <x v="16"/>
    <x v="72"/>
    <x v="222"/>
  </r>
  <r>
    <x v="16"/>
    <x v="72"/>
    <x v="223"/>
  </r>
  <r>
    <x v="16"/>
    <x v="73"/>
    <x v="224"/>
  </r>
  <r>
    <x v="16"/>
    <x v="73"/>
    <x v="225"/>
  </r>
  <r>
    <x v="16"/>
    <x v="74"/>
    <x v="226"/>
  </r>
  <r>
    <x v="16"/>
    <x v="74"/>
    <x v="227"/>
  </r>
  <r>
    <x v="16"/>
    <x v="75"/>
    <x v="228"/>
  </r>
  <r>
    <x v="16"/>
    <x v="75"/>
    <x v="229"/>
  </r>
  <r>
    <x v="16"/>
    <x v="75"/>
    <x v="230"/>
  </r>
  <r>
    <x v="16"/>
    <x v="75"/>
    <x v="231"/>
  </r>
  <r>
    <x v="16"/>
    <x v="75"/>
    <x v="232"/>
  </r>
  <r>
    <x v="16"/>
    <x v="75"/>
    <x v="233"/>
  </r>
  <r>
    <x v="16"/>
    <x v="75"/>
    <x v="234"/>
  </r>
  <r>
    <x v="16"/>
    <x v="75"/>
    <x v="235"/>
  </r>
  <r>
    <x v="16"/>
    <x v="75"/>
    <x v="236"/>
  </r>
  <r>
    <x v="16"/>
    <x v="75"/>
    <x v="237"/>
  </r>
  <r>
    <x v="16"/>
    <x v="75"/>
    <x v="238"/>
  </r>
  <r>
    <x v="16"/>
    <x v="75"/>
    <x v="239"/>
  </r>
  <r>
    <x v="16"/>
    <x v="75"/>
    <x v="240"/>
  </r>
  <r>
    <x v="16"/>
    <x v="76"/>
    <x v="241"/>
  </r>
  <r>
    <x v="16"/>
    <x v="76"/>
    <x v="242"/>
  </r>
  <r>
    <x v="16"/>
    <x v="77"/>
    <x v="243"/>
  </r>
  <r>
    <x v="16"/>
    <x v="77"/>
    <x v="244"/>
  </r>
  <r>
    <x v="16"/>
    <x v="78"/>
    <x v="245"/>
  </r>
  <r>
    <x v="16"/>
    <x v="78"/>
    <x v="246"/>
  </r>
  <r>
    <x v="16"/>
    <x v="78"/>
    <x v="247"/>
  </r>
  <r>
    <x v="16"/>
    <x v="78"/>
    <x v="248"/>
  </r>
  <r>
    <x v="16"/>
    <x v="79"/>
    <x v="249"/>
  </r>
  <r>
    <x v="16"/>
    <x v="79"/>
    <x v="250"/>
  </r>
  <r>
    <x v="16"/>
    <x v="80"/>
    <x v="251"/>
  </r>
  <r>
    <x v="16"/>
    <x v="80"/>
    <x v="252"/>
  </r>
  <r>
    <x v="16"/>
    <x v="81"/>
    <x v="253"/>
  </r>
  <r>
    <x v="16"/>
    <x v="81"/>
    <x v="254"/>
  </r>
  <r>
    <x v="16"/>
    <x v="82"/>
    <x v="255"/>
  </r>
  <r>
    <x v="16"/>
    <x v="82"/>
    <x v="256"/>
  </r>
  <r>
    <x v="16"/>
    <x v="83"/>
    <x v="257"/>
  </r>
  <r>
    <x v="16"/>
    <x v="83"/>
    <x v="258"/>
  </r>
  <r>
    <x v="16"/>
    <x v="84"/>
    <x v="259"/>
  </r>
  <r>
    <x v="16"/>
    <x v="84"/>
    <x v="260"/>
  </r>
  <r>
    <x v="16"/>
    <x v="85"/>
    <x v="261"/>
  </r>
  <r>
    <x v="16"/>
    <x v="85"/>
    <x v="262"/>
  </r>
  <r>
    <x v="16"/>
    <x v="86"/>
    <x v="263"/>
  </r>
  <r>
    <x v="16"/>
    <x v="86"/>
    <x v="264"/>
  </r>
  <r>
    <x v="16"/>
    <x v="87"/>
    <x v="265"/>
  </r>
  <r>
    <x v="16"/>
    <x v="87"/>
    <x v="266"/>
  </r>
  <r>
    <x v="16"/>
    <x v="88"/>
    <x v="267"/>
  </r>
  <r>
    <x v="16"/>
    <x v="88"/>
    <x v="268"/>
  </r>
  <r>
    <x v="16"/>
    <x v="89"/>
    <x v="269"/>
  </r>
  <r>
    <x v="16"/>
    <x v="89"/>
    <x v="270"/>
  </r>
  <r>
    <x v="16"/>
    <x v="89"/>
    <x v="271"/>
  </r>
  <r>
    <x v="16"/>
    <x v="90"/>
    <x v="272"/>
  </r>
  <r>
    <x v="16"/>
    <x v="90"/>
    <x v="273"/>
  </r>
  <r>
    <x v="16"/>
    <x v="90"/>
    <x v="274"/>
  </r>
  <r>
    <x v="16"/>
    <x v="90"/>
    <x v="275"/>
  </r>
  <r>
    <x v="16"/>
    <x v="91"/>
    <x v="276"/>
  </r>
  <r>
    <x v="16"/>
    <x v="91"/>
    <x v="277"/>
  </r>
  <r>
    <x v="16"/>
    <x v="91"/>
    <x v="278"/>
  </r>
  <r>
    <x v="16"/>
    <x v="92"/>
    <x v="279"/>
  </r>
  <r>
    <x v="16"/>
    <x v="92"/>
    <x v="280"/>
  </r>
  <r>
    <x v="16"/>
    <x v="93"/>
    <x v="281"/>
  </r>
  <r>
    <x v="16"/>
    <x v="93"/>
    <x v="282"/>
  </r>
  <r>
    <x v="16"/>
    <x v="94"/>
    <x v="283"/>
  </r>
  <r>
    <x v="16"/>
    <x v="94"/>
    <x v="284"/>
  </r>
  <r>
    <x v="16"/>
    <x v="94"/>
    <x v="285"/>
  </r>
  <r>
    <x v="17"/>
    <x v="95"/>
    <x v="286"/>
  </r>
  <r>
    <x v="17"/>
    <x v="95"/>
    <x v="287"/>
  </r>
  <r>
    <x v="17"/>
    <x v="95"/>
    <x v="288"/>
  </r>
  <r>
    <x v="17"/>
    <x v="96"/>
    <x v="289"/>
  </r>
  <r>
    <x v="17"/>
    <x v="96"/>
    <x v="290"/>
  </r>
  <r>
    <x v="17"/>
    <x v="97"/>
    <x v="291"/>
  </r>
  <r>
    <x v="17"/>
    <x v="97"/>
    <x v="245"/>
  </r>
  <r>
    <x v="17"/>
    <x v="98"/>
    <x v="292"/>
  </r>
  <r>
    <x v="17"/>
    <x v="98"/>
    <x v="293"/>
  </r>
  <r>
    <x v="17"/>
    <x v="99"/>
    <x v="294"/>
  </r>
  <r>
    <x v="17"/>
    <x v="99"/>
    <x v="295"/>
  </r>
  <r>
    <x v="17"/>
    <x v="100"/>
    <x v="296"/>
  </r>
  <r>
    <x v="17"/>
    <x v="100"/>
    <x v="297"/>
  </r>
  <r>
    <x v="17"/>
    <x v="101"/>
    <x v="298"/>
  </r>
  <r>
    <x v="17"/>
    <x v="101"/>
    <x v="299"/>
  </r>
  <r>
    <x v="17"/>
    <x v="102"/>
    <x v="300"/>
  </r>
  <r>
    <x v="17"/>
    <x v="102"/>
    <x v="301"/>
  </r>
  <r>
    <x v="17"/>
    <x v="103"/>
    <x v="302"/>
  </r>
  <r>
    <x v="17"/>
    <x v="103"/>
    <x v="303"/>
  </r>
  <r>
    <x v="18"/>
    <x v="104"/>
    <x v="304"/>
  </r>
  <r>
    <x v="18"/>
    <x v="104"/>
    <x v="305"/>
  </r>
  <r>
    <x v="18"/>
    <x v="105"/>
    <x v="306"/>
  </r>
  <r>
    <x v="18"/>
    <x v="105"/>
    <x v="307"/>
  </r>
  <r>
    <x v="18"/>
    <x v="105"/>
    <x v="308"/>
  </r>
  <r>
    <x v="18"/>
    <x v="105"/>
    <x v="309"/>
  </r>
  <r>
    <x v="18"/>
    <x v="105"/>
    <x v="310"/>
  </r>
  <r>
    <x v="18"/>
    <x v="105"/>
    <x v="311"/>
  </r>
  <r>
    <x v="18"/>
    <x v="105"/>
    <x v="312"/>
  </r>
  <r>
    <x v="18"/>
    <x v="105"/>
    <x v="313"/>
  </r>
  <r>
    <x v="18"/>
    <x v="105"/>
    <x v="314"/>
  </r>
  <r>
    <x v="18"/>
    <x v="105"/>
    <x v="315"/>
  </r>
  <r>
    <x v="18"/>
    <x v="105"/>
    <x v="316"/>
  </r>
  <r>
    <x v="18"/>
    <x v="105"/>
    <x v="317"/>
  </r>
  <r>
    <x v="18"/>
    <x v="105"/>
    <x v="318"/>
  </r>
  <r>
    <x v="18"/>
    <x v="105"/>
    <x v="319"/>
  </r>
  <r>
    <x v="18"/>
    <x v="105"/>
    <x v="320"/>
  </r>
  <r>
    <x v="18"/>
    <x v="105"/>
    <x v="321"/>
  </r>
  <r>
    <x v="18"/>
    <x v="105"/>
    <x v="322"/>
  </r>
  <r>
    <x v="18"/>
    <x v="105"/>
    <x v="323"/>
  </r>
  <r>
    <x v="18"/>
    <x v="105"/>
    <x v="324"/>
  </r>
  <r>
    <x v="18"/>
    <x v="105"/>
    <x v="325"/>
  </r>
  <r>
    <x v="18"/>
    <x v="105"/>
    <x v="326"/>
  </r>
  <r>
    <x v="18"/>
    <x v="105"/>
    <x v="327"/>
  </r>
  <r>
    <x v="18"/>
    <x v="106"/>
    <x v="328"/>
  </r>
  <r>
    <x v="18"/>
    <x v="106"/>
    <x v="329"/>
  </r>
  <r>
    <x v="18"/>
    <x v="106"/>
    <x v="330"/>
  </r>
  <r>
    <x v="18"/>
    <x v="106"/>
    <x v="331"/>
  </r>
  <r>
    <x v="18"/>
    <x v="106"/>
    <x v="332"/>
  </r>
  <r>
    <x v="18"/>
    <x v="106"/>
    <x v="333"/>
  </r>
  <r>
    <x v="18"/>
    <x v="106"/>
    <x v="334"/>
  </r>
  <r>
    <x v="18"/>
    <x v="106"/>
    <x v="335"/>
  </r>
  <r>
    <x v="18"/>
    <x v="106"/>
    <x v="336"/>
  </r>
  <r>
    <x v="18"/>
    <x v="106"/>
    <x v="337"/>
  </r>
  <r>
    <x v="18"/>
    <x v="106"/>
    <x v="338"/>
  </r>
  <r>
    <x v="18"/>
    <x v="106"/>
    <x v="339"/>
  </r>
  <r>
    <x v="18"/>
    <x v="106"/>
    <x v="340"/>
  </r>
  <r>
    <x v="18"/>
    <x v="106"/>
    <x v="341"/>
  </r>
  <r>
    <x v="18"/>
    <x v="106"/>
    <x v="342"/>
  </r>
  <r>
    <x v="18"/>
    <x v="106"/>
    <x v="343"/>
  </r>
  <r>
    <x v="18"/>
    <x v="106"/>
    <x v="344"/>
  </r>
  <r>
    <x v="18"/>
    <x v="106"/>
    <x v="345"/>
  </r>
  <r>
    <x v="18"/>
    <x v="106"/>
    <x v="346"/>
  </r>
  <r>
    <x v="18"/>
    <x v="106"/>
    <x v="347"/>
  </r>
  <r>
    <x v="18"/>
    <x v="106"/>
    <x v="348"/>
  </r>
  <r>
    <x v="18"/>
    <x v="106"/>
    <x v="349"/>
  </r>
  <r>
    <x v="18"/>
    <x v="106"/>
    <x v="350"/>
  </r>
  <r>
    <x v="18"/>
    <x v="106"/>
    <x v="351"/>
  </r>
  <r>
    <x v="18"/>
    <x v="106"/>
    <x v="352"/>
  </r>
  <r>
    <x v="18"/>
    <x v="106"/>
    <x v="353"/>
  </r>
  <r>
    <x v="18"/>
    <x v="106"/>
    <x v="354"/>
  </r>
  <r>
    <x v="18"/>
    <x v="106"/>
    <x v="355"/>
  </r>
  <r>
    <x v="18"/>
    <x v="106"/>
    <x v="356"/>
  </r>
  <r>
    <x v="18"/>
    <x v="106"/>
    <x v="357"/>
  </r>
  <r>
    <x v="18"/>
    <x v="106"/>
    <x v="358"/>
  </r>
  <r>
    <x v="18"/>
    <x v="106"/>
    <x v="359"/>
  </r>
  <r>
    <x v="18"/>
    <x v="106"/>
    <x v="360"/>
  </r>
  <r>
    <x v="18"/>
    <x v="106"/>
    <x v="361"/>
  </r>
  <r>
    <x v="18"/>
    <x v="106"/>
    <x v="362"/>
  </r>
  <r>
    <x v="18"/>
    <x v="106"/>
    <x v="363"/>
  </r>
  <r>
    <x v="18"/>
    <x v="106"/>
    <x v="364"/>
  </r>
  <r>
    <x v="18"/>
    <x v="106"/>
    <x v="365"/>
  </r>
  <r>
    <x v="18"/>
    <x v="106"/>
    <x v="366"/>
  </r>
  <r>
    <x v="18"/>
    <x v="106"/>
    <x v="367"/>
  </r>
  <r>
    <x v="18"/>
    <x v="106"/>
    <x v="368"/>
  </r>
  <r>
    <x v="18"/>
    <x v="106"/>
    <x v="369"/>
  </r>
  <r>
    <x v="18"/>
    <x v="106"/>
    <x v="370"/>
  </r>
  <r>
    <x v="18"/>
    <x v="106"/>
    <x v="371"/>
  </r>
  <r>
    <x v="18"/>
    <x v="107"/>
    <x v="372"/>
  </r>
  <r>
    <x v="18"/>
    <x v="107"/>
    <x v="373"/>
  </r>
  <r>
    <x v="18"/>
    <x v="107"/>
    <x v="374"/>
  </r>
  <r>
    <x v="18"/>
    <x v="107"/>
    <x v="375"/>
  </r>
  <r>
    <x v="18"/>
    <x v="108"/>
    <x v="376"/>
  </r>
  <r>
    <x v="18"/>
    <x v="108"/>
    <x v="377"/>
  </r>
  <r>
    <x v="18"/>
    <x v="108"/>
    <x v="378"/>
  </r>
  <r>
    <x v="18"/>
    <x v="108"/>
    <x v="379"/>
  </r>
  <r>
    <x v="18"/>
    <x v="109"/>
    <x v="380"/>
  </r>
  <r>
    <x v="18"/>
    <x v="109"/>
    <x v="381"/>
  </r>
  <r>
    <x v="18"/>
    <x v="110"/>
    <x v="382"/>
  </r>
  <r>
    <x v="18"/>
    <x v="110"/>
    <x v="383"/>
  </r>
  <r>
    <x v="18"/>
    <x v="111"/>
    <x v="384"/>
  </r>
  <r>
    <x v="18"/>
    <x v="111"/>
    <x v="385"/>
  </r>
  <r>
    <x v="18"/>
    <x v="112"/>
    <x v="386"/>
  </r>
  <r>
    <x v="18"/>
    <x v="112"/>
    <x v="387"/>
  </r>
  <r>
    <x v="18"/>
    <x v="113"/>
    <x v="388"/>
  </r>
  <r>
    <x v="18"/>
    <x v="113"/>
    <x v="389"/>
  </r>
  <r>
    <x v="18"/>
    <x v="114"/>
    <x v="390"/>
  </r>
  <r>
    <x v="18"/>
    <x v="114"/>
    <x v="391"/>
  </r>
  <r>
    <x v="18"/>
    <x v="115"/>
    <x v="392"/>
  </r>
  <r>
    <x v="18"/>
    <x v="115"/>
    <x v="393"/>
  </r>
  <r>
    <x v="18"/>
    <x v="115"/>
    <x v="394"/>
  </r>
  <r>
    <x v="18"/>
    <x v="115"/>
    <x v="395"/>
  </r>
  <r>
    <x v="18"/>
    <x v="115"/>
    <x v="396"/>
  </r>
  <r>
    <x v="18"/>
    <x v="115"/>
    <x v="397"/>
  </r>
  <r>
    <x v="18"/>
    <x v="115"/>
    <x v="398"/>
  </r>
  <r>
    <x v="18"/>
    <x v="115"/>
    <x v="399"/>
  </r>
  <r>
    <x v="18"/>
    <x v="115"/>
    <x v="400"/>
  </r>
  <r>
    <x v="18"/>
    <x v="115"/>
    <x v="401"/>
  </r>
  <r>
    <x v="18"/>
    <x v="115"/>
    <x v="402"/>
  </r>
  <r>
    <x v="18"/>
    <x v="115"/>
    <x v="403"/>
  </r>
  <r>
    <x v="18"/>
    <x v="115"/>
    <x v="404"/>
  </r>
  <r>
    <x v="18"/>
    <x v="115"/>
    <x v="405"/>
  </r>
  <r>
    <x v="18"/>
    <x v="115"/>
    <x v="406"/>
  </r>
  <r>
    <x v="18"/>
    <x v="115"/>
    <x v="407"/>
  </r>
  <r>
    <x v="18"/>
    <x v="115"/>
    <x v="408"/>
  </r>
  <r>
    <x v="18"/>
    <x v="116"/>
    <x v="409"/>
  </r>
  <r>
    <x v="18"/>
    <x v="116"/>
    <x v="410"/>
  </r>
  <r>
    <x v="18"/>
    <x v="116"/>
    <x v="411"/>
  </r>
  <r>
    <x v="18"/>
    <x v="116"/>
    <x v="412"/>
  </r>
  <r>
    <x v="18"/>
    <x v="116"/>
    <x v="413"/>
  </r>
  <r>
    <x v="18"/>
    <x v="116"/>
    <x v="414"/>
  </r>
  <r>
    <x v="18"/>
    <x v="116"/>
    <x v="415"/>
  </r>
  <r>
    <x v="18"/>
    <x v="116"/>
    <x v="416"/>
  </r>
  <r>
    <x v="18"/>
    <x v="116"/>
    <x v="417"/>
  </r>
  <r>
    <x v="18"/>
    <x v="116"/>
    <x v="418"/>
  </r>
  <r>
    <x v="18"/>
    <x v="116"/>
    <x v="419"/>
  </r>
  <r>
    <x v="18"/>
    <x v="116"/>
    <x v="420"/>
  </r>
  <r>
    <x v="18"/>
    <x v="116"/>
    <x v="421"/>
  </r>
  <r>
    <x v="18"/>
    <x v="116"/>
    <x v="422"/>
  </r>
  <r>
    <x v="18"/>
    <x v="116"/>
    <x v="423"/>
  </r>
  <r>
    <x v="18"/>
    <x v="116"/>
    <x v="424"/>
  </r>
  <r>
    <x v="18"/>
    <x v="116"/>
    <x v="425"/>
  </r>
  <r>
    <x v="18"/>
    <x v="117"/>
    <x v="426"/>
  </r>
  <r>
    <x v="18"/>
    <x v="117"/>
    <x v="427"/>
  </r>
  <r>
    <x v="18"/>
    <x v="118"/>
    <x v="428"/>
  </r>
  <r>
    <x v="18"/>
    <x v="118"/>
    <x v="429"/>
  </r>
  <r>
    <x v="19"/>
    <x v="119"/>
    <x v="430"/>
  </r>
  <r>
    <x v="19"/>
    <x v="119"/>
    <x v="431"/>
  </r>
  <r>
    <x v="19"/>
    <x v="119"/>
    <x v="432"/>
  </r>
  <r>
    <x v="19"/>
    <x v="119"/>
    <x v="433"/>
  </r>
  <r>
    <x v="20"/>
    <x v="120"/>
    <x v="434"/>
  </r>
  <r>
    <x v="20"/>
    <x v="120"/>
    <x v="435"/>
  </r>
  <r>
    <x v="20"/>
    <x v="121"/>
    <x v="436"/>
  </r>
  <r>
    <x v="20"/>
    <x v="121"/>
    <x v="437"/>
  </r>
  <r>
    <x v="20"/>
    <x v="122"/>
    <x v="438"/>
  </r>
  <r>
    <x v="20"/>
    <x v="122"/>
    <x v="439"/>
  </r>
  <r>
    <x v="20"/>
    <x v="123"/>
    <x v="440"/>
  </r>
  <r>
    <x v="20"/>
    <x v="123"/>
    <x v="441"/>
  </r>
  <r>
    <x v="20"/>
    <x v="123"/>
    <x v="442"/>
  </r>
  <r>
    <x v="20"/>
    <x v="124"/>
    <x v="443"/>
  </r>
  <r>
    <x v="20"/>
    <x v="124"/>
    <x v="444"/>
  </r>
  <r>
    <x v="20"/>
    <x v="125"/>
    <x v="445"/>
  </r>
  <r>
    <x v="20"/>
    <x v="125"/>
    <x v="446"/>
  </r>
  <r>
    <x v="20"/>
    <x v="126"/>
    <x v="447"/>
  </r>
  <r>
    <x v="20"/>
    <x v="126"/>
    <x v="448"/>
  </r>
  <r>
    <x v="20"/>
    <x v="127"/>
    <x v="449"/>
  </r>
  <r>
    <x v="20"/>
    <x v="127"/>
    <x v="450"/>
  </r>
  <r>
    <x v="21"/>
    <x v="128"/>
    <x v="451"/>
  </r>
  <r>
    <x v="21"/>
    <x v="128"/>
    <x v="452"/>
  </r>
  <r>
    <x v="21"/>
    <x v="128"/>
    <x v="453"/>
  </r>
  <r>
    <x v="21"/>
    <x v="128"/>
    <x v="454"/>
  </r>
  <r>
    <x v="21"/>
    <x v="128"/>
    <x v="455"/>
  </r>
  <r>
    <x v="21"/>
    <x v="128"/>
    <x v="456"/>
  </r>
  <r>
    <x v="21"/>
    <x v="128"/>
    <x v="457"/>
  </r>
  <r>
    <x v="21"/>
    <x v="128"/>
    <x v="458"/>
  </r>
  <r>
    <x v="21"/>
    <x v="128"/>
    <x v="459"/>
  </r>
  <r>
    <x v="21"/>
    <x v="128"/>
    <x v="460"/>
  </r>
  <r>
    <x v="21"/>
    <x v="128"/>
    <x v="461"/>
  </r>
  <r>
    <x v="21"/>
    <x v="129"/>
    <x v="462"/>
  </r>
  <r>
    <x v="21"/>
    <x v="129"/>
    <x v="463"/>
  </r>
  <r>
    <x v="21"/>
    <x v="130"/>
    <x v="464"/>
  </r>
  <r>
    <x v="21"/>
    <x v="130"/>
    <x v="465"/>
  </r>
  <r>
    <x v="21"/>
    <x v="130"/>
    <x v="466"/>
  </r>
  <r>
    <x v="21"/>
    <x v="130"/>
    <x v="467"/>
  </r>
  <r>
    <x v="21"/>
    <x v="130"/>
    <x v="468"/>
  </r>
  <r>
    <x v="21"/>
    <x v="130"/>
    <x v="469"/>
  </r>
  <r>
    <x v="21"/>
    <x v="131"/>
    <x v="470"/>
  </r>
  <r>
    <x v="21"/>
    <x v="131"/>
    <x v="471"/>
  </r>
  <r>
    <x v="21"/>
    <x v="132"/>
    <x v="472"/>
  </r>
  <r>
    <x v="21"/>
    <x v="132"/>
    <x v="473"/>
  </r>
  <r>
    <x v="21"/>
    <x v="133"/>
    <x v="474"/>
  </r>
  <r>
    <x v="21"/>
    <x v="133"/>
    <x v="475"/>
  </r>
  <r>
    <x v="21"/>
    <x v="134"/>
    <x v="476"/>
  </r>
  <r>
    <x v="21"/>
    <x v="134"/>
    <x v="477"/>
  </r>
  <r>
    <x v="21"/>
    <x v="135"/>
    <x v="478"/>
  </r>
  <r>
    <x v="21"/>
    <x v="135"/>
    <x v="479"/>
  </r>
  <r>
    <x v="21"/>
    <x v="136"/>
    <x v="480"/>
  </r>
  <r>
    <x v="21"/>
    <x v="136"/>
    <x v="481"/>
  </r>
  <r>
    <x v="21"/>
    <x v="136"/>
    <x v="482"/>
  </r>
  <r>
    <x v="21"/>
    <x v="137"/>
    <x v="483"/>
  </r>
  <r>
    <x v="21"/>
    <x v="137"/>
    <x v="484"/>
  </r>
  <r>
    <x v="21"/>
    <x v="138"/>
    <x v="485"/>
  </r>
  <r>
    <x v="21"/>
    <x v="138"/>
    <x v="486"/>
  </r>
  <r>
    <x v="21"/>
    <x v="139"/>
    <x v="487"/>
  </r>
  <r>
    <x v="21"/>
    <x v="139"/>
    <x v="488"/>
  </r>
  <r>
    <x v="21"/>
    <x v="140"/>
    <x v="489"/>
  </r>
  <r>
    <x v="21"/>
    <x v="140"/>
    <x v="490"/>
  </r>
  <r>
    <x v="21"/>
    <x v="141"/>
    <x v="491"/>
  </r>
  <r>
    <x v="21"/>
    <x v="141"/>
    <x v="492"/>
  </r>
  <r>
    <x v="21"/>
    <x v="141"/>
    <x v="493"/>
  </r>
  <r>
    <x v="21"/>
    <x v="141"/>
    <x v="494"/>
  </r>
  <r>
    <x v="21"/>
    <x v="141"/>
    <x v="495"/>
  </r>
  <r>
    <x v="21"/>
    <x v="141"/>
    <x v="496"/>
  </r>
  <r>
    <x v="21"/>
    <x v="141"/>
    <x v="497"/>
  </r>
  <r>
    <x v="21"/>
    <x v="141"/>
    <x v="498"/>
  </r>
  <r>
    <x v="21"/>
    <x v="141"/>
    <x v="499"/>
  </r>
  <r>
    <x v="21"/>
    <x v="141"/>
    <x v="500"/>
  </r>
  <r>
    <x v="21"/>
    <x v="141"/>
    <x v="501"/>
  </r>
  <r>
    <x v="21"/>
    <x v="141"/>
    <x v="502"/>
  </r>
  <r>
    <x v="21"/>
    <x v="141"/>
    <x v="503"/>
  </r>
  <r>
    <x v="21"/>
    <x v="141"/>
    <x v="504"/>
  </r>
  <r>
    <x v="21"/>
    <x v="141"/>
    <x v="505"/>
  </r>
  <r>
    <x v="21"/>
    <x v="142"/>
    <x v="506"/>
  </r>
  <r>
    <x v="21"/>
    <x v="142"/>
    <x v="507"/>
  </r>
  <r>
    <x v="21"/>
    <x v="143"/>
    <x v="508"/>
  </r>
  <r>
    <x v="21"/>
    <x v="143"/>
    <x v="509"/>
  </r>
  <r>
    <x v="21"/>
    <x v="144"/>
    <x v="510"/>
  </r>
  <r>
    <x v="21"/>
    <x v="144"/>
    <x v="511"/>
  </r>
  <r>
    <x v="21"/>
    <x v="145"/>
    <x v="512"/>
  </r>
  <r>
    <x v="21"/>
    <x v="145"/>
    <x v="513"/>
  </r>
  <r>
    <x v="21"/>
    <x v="146"/>
    <x v="514"/>
  </r>
  <r>
    <x v="21"/>
    <x v="146"/>
    <x v="515"/>
  </r>
  <r>
    <x v="21"/>
    <x v="146"/>
    <x v="516"/>
  </r>
  <r>
    <x v="21"/>
    <x v="146"/>
    <x v="517"/>
  </r>
  <r>
    <x v="21"/>
    <x v="146"/>
    <x v="518"/>
  </r>
  <r>
    <x v="21"/>
    <x v="146"/>
    <x v="519"/>
  </r>
  <r>
    <x v="21"/>
    <x v="146"/>
    <x v="520"/>
  </r>
  <r>
    <x v="21"/>
    <x v="146"/>
    <x v="521"/>
  </r>
  <r>
    <x v="21"/>
    <x v="146"/>
    <x v="522"/>
  </r>
  <r>
    <x v="21"/>
    <x v="147"/>
    <x v="523"/>
  </r>
  <r>
    <x v="21"/>
    <x v="147"/>
    <x v="524"/>
  </r>
  <r>
    <x v="21"/>
    <x v="148"/>
    <x v="525"/>
  </r>
  <r>
    <x v="21"/>
    <x v="148"/>
    <x v="526"/>
  </r>
  <r>
    <x v="21"/>
    <x v="149"/>
    <x v="527"/>
  </r>
  <r>
    <x v="21"/>
    <x v="149"/>
    <x v="528"/>
  </r>
  <r>
    <x v="21"/>
    <x v="150"/>
    <x v="529"/>
  </r>
  <r>
    <x v="21"/>
    <x v="150"/>
    <x v="530"/>
  </r>
  <r>
    <x v="21"/>
    <x v="151"/>
    <x v="531"/>
  </r>
  <r>
    <x v="21"/>
    <x v="151"/>
    <x v="532"/>
  </r>
  <r>
    <x v="22"/>
    <x v="152"/>
    <x v="533"/>
  </r>
  <r>
    <x v="22"/>
    <x v="152"/>
    <x v="534"/>
  </r>
  <r>
    <x v="22"/>
    <x v="153"/>
    <x v="535"/>
  </r>
  <r>
    <x v="22"/>
    <x v="153"/>
    <x v="536"/>
  </r>
  <r>
    <x v="22"/>
    <x v="154"/>
    <x v="537"/>
  </r>
  <r>
    <x v="22"/>
    <x v="154"/>
    <x v="538"/>
  </r>
  <r>
    <x v="22"/>
    <x v="155"/>
    <x v="539"/>
  </r>
  <r>
    <x v="22"/>
    <x v="155"/>
    <x v="540"/>
  </r>
  <r>
    <x v="22"/>
    <x v="156"/>
    <x v="541"/>
  </r>
  <r>
    <x v="22"/>
    <x v="156"/>
    <x v="542"/>
  </r>
  <r>
    <x v="22"/>
    <x v="156"/>
    <x v="543"/>
  </r>
  <r>
    <x v="22"/>
    <x v="156"/>
    <x v="544"/>
  </r>
  <r>
    <x v="22"/>
    <x v="157"/>
    <x v="545"/>
  </r>
  <r>
    <x v="22"/>
    <x v="157"/>
    <x v="546"/>
  </r>
  <r>
    <x v="22"/>
    <x v="158"/>
    <x v="547"/>
  </r>
  <r>
    <x v="22"/>
    <x v="158"/>
    <x v="548"/>
  </r>
  <r>
    <x v="22"/>
    <x v="159"/>
    <x v="549"/>
  </r>
  <r>
    <x v="22"/>
    <x v="159"/>
    <x v="550"/>
  </r>
  <r>
    <x v="22"/>
    <x v="160"/>
    <x v="551"/>
  </r>
  <r>
    <x v="22"/>
    <x v="160"/>
    <x v="552"/>
  </r>
  <r>
    <x v="22"/>
    <x v="161"/>
    <x v="553"/>
  </r>
  <r>
    <x v="22"/>
    <x v="161"/>
    <x v="554"/>
  </r>
  <r>
    <x v="22"/>
    <x v="161"/>
    <x v="555"/>
  </r>
  <r>
    <x v="22"/>
    <x v="162"/>
    <x v="556"/>
  </r>
  <r>
    <x v="22"/>
    <x v="162"/>
    <x v="557"/>
  </r>
  <r>
    <x v="22"/>
    <x v="162"/>
    <x v="558"/>
  </r>
  <r>
    <x v="22"/>
    <x v="163"/>
    <x v="559"/>
  </r>
  <r>
    <x v="22"/>
    <x v="163"/>
    <x v="560"/>
  </r>
  <r>
    <x v="22"/>
    <x v="164"/>
    <x v="561"/>
  </r>
  <r>
    <x v="22"/>
    <x v="164"/>
    <x v="562"/>
  </r>
  <r>
    <x v="22"/>
    <x v="165"/>
    <x v="563"/>
  </r>
  <r>
    <x v="22"/>
    <x v="165"/>
    <x v="564"/>
  </r>
  <r>
    <x v="22"/>
    <x v="166"/>
    <x v="565"/>
  </r>
  <r>
    <x v="22"/>
    <x v="166"/>
    <x v="566"/>
  </r>
  <r>
    <x v="22"/>
    <x v="167"/>
    <x v="567"/>
  </r>
  <r>
    <x v="22"/>
    <x v="167"/>
    <x v="568"/>
  </r>
  <r>
    <x v="22"/>
    <x v="168"/>
    <x v="569"/>
  </r>
  <r>
    <x v="22"/>
    <x v="168"/>
    <x v="570"/>
  </r>
  <r>
    <x v="23"/>
    <x v="169"/>
    <x v="571"/>
  </r>
  <r>
    <x v="23"/>
    <x v="169"/>
    <x v="572"/>
  </r>
  <r>
    <x v="23"/>
    <x v="170"/>
    <x v="573"/>
  </r>
  <r>
    <x v="23"/>
    <x v="170"/>
    <x v="574"/>
  </r>
  <r>
    <x v="23"/>
    <x v="171"/>
    <x v="575"/>
  </r>
  <r>
    <x v="23"/>
    <x v="171"/>
    <x v="576"/>
  </r>
  <r>
    <x v="23"/>
    <x v="172"/>
    <x v="577"/>
  </r>
  <r>
    <x v="23"/>
    <x v="172"/>
    <x v="578"/>
  </r>
  <r>
    <x v="23"/>
    <x v="173"/>
    <x v="579"/>
  </r>
  <r>
    <x v="23"/>
    <x v="173"/>
    <x v="580"/>
  </r>
  <r>
    <x v="23"/>
    <x v="174"/>
    <x v="581"/>
  </r>
  <r>
    <x v="23"/>
    <x v="174"/>
    <x v="582"/>
  </r>
  <r>
    <x v="23"/>
    <x v="175"/>
    <x v="583"/>
  </r>
  <r>
    <x v="23"/>
    <x v="175"/>
    <x v="584"/>
  </r>
  <r>
    <x v="23"/>
    <x v="176"/>
    <x v="585"/>
  </r>
  <r>
    <x v="23"/>
    <x v="176"/>
    <x v="586"/>
  </r>
  <r>
    <x v="23"/>
    <x v="177"/>
    <x v="587"/>
  </r>
  <r>
    <x v="23"/>
    <x v="177"/>
    <x v="588"/>
  </r>
  <r>
    <x v="24"/>
    <x v="178"/>
    <x v="589"/>
  </r>
  <r>
    <x v="24"/>
    <x v="178"/>
    <x v="590"/>
  </r>
  <r>
    <x v="24"/>
    <x v="178"/>
    <x v="591"/>
  </r>
  <r>
    <x v="24"/>
    <x v="178"/>
    <x v="592"/>
  </r>
  <r>
    <x v="24"/>
    <x v="178"/>
    <x v="593"/>
  </r>
  <r>
    <x v="24"/>
    <x v="178"/>
    <x v="594"/>
  </r>
  <r>
    <x v="24"/>
    <x v="178"/>
    <x v="595"/>
  </r>
  <r>
    <x v="24"/>
    <x v="178"/>
    <x v="596"/>
  </r>
  <r>
    <x v="24"/>
    <x v="178"/>
    <x v="597"/>
  </r>
  <r>
    <x v="24"/>
    <x v="178"/>
    <x v="598"/>
  </r>
  <r>
    <x v="24"/>
    <x v="178"/>
    <x v="599"/>
  </r>
  <r>
    <x v="24"/>
    <x v="178"/>
    <x v="600"/>
  </r>
  <r>
    <x v="24"/>
    <x v="178"/>
    <x v="601"/>
  </r>
  <r>
    <x v="24"/>
    <x v="178"/>
    <x v="602"/>
  </r>
  <r>
    <x v="24"/>
    <x v="178"/>
    <x v="603"/>
  </r>
  <r>
    <x v="24"/>
    <x v="178"/>
    <x v="604"/>
  </r>
  <r>
    <x v="24"/>
    <x v="179"/>
    <x v="605"/>
  </r>
  <r>
    <x v="24"/>
    <x v="179"/>
    <x v="606"/>
  </r>
  <r>
    <x v="24"/>
    <x v="180"/>
    <x v="607"/>
  </r>
  <r>
    <x v="24"/>
    <x v="180"/>
    <x v="608"/>
  </r>
  <r>
    <x v="25"/>
    <x v="181"/>
    <x v="0"/>
  </r>
  <r>
    <x v="25"/>
    <x v="182"/>
    <x v="0"/>
  </r>
  <r>
    <x v="25"/>
    <x v="183"/>
    <x v="0"/>
  </r>
  <r>
    <x v="25"/>
    <x v="184"/>
    <x v="0"/>
  </r>
  <r>
    <x v="25"/>
    <x v="185"/>
    <x v="0"/>
  </r>
  <r>
    <x v="25"/>
    <x v="186"/>
    <x v="0"/>
  </r>
  <r>
    <x v="25"/>
    <x v="187"/>
    <x v="0"/>
  </r>
  <r>
    <x v="25"/>
    <x v="188"/>
    <x v="0"/>
  </r>
  <r>
    <x v="25"/>
    <x v="189"/>
    <x v="0"/>
  </r>
  <r>
    <x v="25"/>
    <x v="190"/>
    <x v="0"/>
  </r>
  <r>
    <x v="25"/>
    <x v="191"/>
    <x v="0"/>
  </r>
  <r>
    <x v="25"/>
    <x v="192"/>
    <x v="0"/>
  </r>
  <r>
    <x v="25"/>
    <x v="193"/>
    <x v="0"/>
  </r>
  <r>
    <x v="25"/>
    <x v="194"/>
    <x v="0"/>
  </r>
  <r>
    <x v="25"/>
    <x v="195"/>
    <x v="0"/>
  </r>
  <r>
    <x v="25"/>
    <x v="196"/>
    <x v="0"/>
  </r>
  <r>
    <x v="25"/>
    <x v="197"/>
    <x v="0"/>
  </r>
  <r>
    <x v="25"/>
    <x v="198"/>
    <x v="0"/>
  </r>
  <r>
    <x v="25"/>
    <x v="199"/>
    <x v="0"/>
  </r>
  <r>
    <x v="25"/>
    <x v="200"/>
    <x v="0"/>
  </r>
  <r>
    <x v="26"/>
    <x v="201"/>
    <x v="0"/>
  </r>
  <r>
    <x v="26"/>
    <x v="202"/>
    <x v="0"/>
  </r>
  <r>
    <x v="26"/>
    <x v="203"/>
    <x v="0"/>
  </r>
  <r>
    <x v="27"/>
    <x v="204"/>
    <x v="609"/>
  </r>
  <r>
    <x v="27"/>
    <x v="204"/>
    <x v="610"/>
  </r>
  <r>
    <x v="27"/>
    <x v="205"/>
    <x v="611"/>
  </r>
  <r>
    <x v="27"/>
    <x v="205"/>
    <x v="612"/>
  </r>
  <r>
    <x v="27"/>
    <x v="205"/>
    <x v="613"/>
  </r>
  <r>
    <x v="27"/>
    <x v="206"/>
    <x v="614"/>
  </r>
  <r>
    <x v="27"/>
    <x v="206"/>
    <x v="615"/>
  </r>
  <r>
    <x v="27"/>
    <x v="206"/>
    <x v="616"/>
  </r>
  <r>
    <x v="27"/>
    <x v="207"/>
    <x v="617"/>
  </r>
  <r>
    <x v="27"/>
    <x v="207"/>
    <x v="618"/>
  </r>
  <r>
    <x v="27"/>
    <x v="207"/>
    <x v="619"/>
  </r>
  <r>
    <x v="27"/>
    <x v="208"/>
    <x v="620"/>
  </r>
  <r>
    <x v="27"/>
    <x v="208"/>
    <x v="621"/>
  </r>
  <r>
    <x v="27"/>
    <x v="208"/>
    <x v="622"/>
  </r>
  <r>
    <x v="27"/>
    <x v="209"/>
    <x v="623"/>
  </r>
  <r>
    <x v="27"/>
    <x v="209"/>
    <x v="624"/>
  </r>
  <r>
    <x v="27"/>
    <x v="209"/>
    <x v="625"/>
  </r>
  <r>
    <x v="27"/>
    <x v="210"/>
    <x v="626"/>
  </r>
  <r>
    <x v="27"/>
    <x v="210"/>
    <x v="627"/>
  </r>
  <r>
    <x v="27"/>
    <x v="210"/>
    <x v="628"/>
  </r>
  <r>
    <x v="27"/>
    <x v="210"/>
    <x v="629"/>
  </r>
  <r>
    <x v="27"/>
    <x v="210"/>
    <x v="630"/>
  </r>
  <r>
    <x v="27"/>
    <x v="210"/>
    <x v="631"/>
  </r>
  <r>
    <x v="27"/>
    <x v="210"/>
    <x v="632"/>
  </r>
  <r>
    <x v="27"/>
    <x v="210"/>
    <x v="633"/>
  </r>
  <r>
    <x v="27"/>
    <x v="210"/>
    <x v="634"/>
  </r>
  <r>
    <x v="27"/>
    <x v="210"/>
    <x v="635"/>
  </r>
  <r>
    <x v="27"/>
    <x v="210"/>
    <x v="636"/>
  </r>
  <r>
    <x v="27"/>
    <x v="210"/>
    <x v="637"/>
  </r>
  <r>
    <x v="27"/>
    <x v="210"/>
    <x v="638"/>
  </r>
  <r>
    <x v="27"/>
    <x v="211"/>
    <x v="639"/>
  </r>
  <r>
    <x v="27"/>
    <x v="211"/>
    <x v="640"/>
  </r>
  <r>
    <x v="27"/>
    <x v="212"/>
    <x v="641"/>
  </r>
  <r>
    <x v="27"/>
    <x v="212"/>
    <x v="642"/>
  </r>
  <r>
    <x v="27"/>
    <x v="212"/>
    <x v="643"/>
  </r>
  <r>
    <x v="27"/>
    <x v="213"/>
    <x v="644"/>
  </r>
  <r>
    <x v="27"/>
    <x v="213"/>
    <x v="645"/>
  </r>
  <r>
    <x v="27"/>
    <x v="213"/>
    <x v="646"/>
  </r>
  <r>
    <x v="27"/>
    <x v="213"/>
    <x v="647"/>
  </r>
  <r>
    <x v="27"/>
    <x v="213"/>
    <x v="648"/>
  </r>
  <r>
    <x v="27"/>
    <x v="213"/>
    <x v="649"/>
  </r>
  <r>
    <x v="27"/>
    <x v="213"/>
    <x v="650"/>
  </r>
  <r>
    <x v="27"/>
    <x v="213"/>
    <x v="651"/>
  </r>
  <r>
    <x v="27"/>
    <x v="213"/>
    <x v="652"/>
  </r>
  <r>
    <x v="27"/>
    <x v="213"/>
    <x v="653"/>
  </r>
  <r>
    <x v="27"/>
    <x v="213"/>
    <x v="654"/>
  </r>
  <r>
    <x v="27"/>
    <x v="213"/>
    <x v="655"/>
  </r>
  <r>
    <x v="27"/>
    <x v="213"/>
    <x v="656"/>
  </r>
  <r>
    <x v="27"/>
    <x v="214"/>
    <x v="657"/>
  </r>
  <r>
    <x v="27"/>
    <x v="214"/>
    <x v="658"/>
  </r>
  <r>
    <x v="27"/>
    <x v="214"/>
    <x v="659"/>
  </r>
  <r>
    <x v="27"/>
    <x v="214"/>
    <x v="660"/>
  </r>
  <r>
    <x v="27"/>
    <x v="214"/>
    <x v="661"/>
  </r>
  <r>
    <x v="27"/>
    <x v="214"/>
    <x v="662"/>
  </r>
  <r>
    <x v="27"/>
    <x v="214"/>
    <x v="663"/>
  </r>
  <r>
    <x v="27"/>
    <x v="214"/>
    <x v="664"/>
  </r>
  <r>
    <x v="27"/>
    <x v="214"/>
    <x v="665"/>
  </r>
  <r>
    <x v="27"/>
    <x v="214"/>
    <x v="666"/>
  </r>
  <r>
    <x v="27"/>
    <x v="214"/>
    <x v="667"/>
  </r>
  <r>
    <x v="27"/>
    <x v="214"/>
    <x v="668"/>
  </r>
  <r>
    <x v="27"/>
    <x v="214"/>
    <x v="669"/>
  </r>
  <r>
    <x v="27"/>
    <x v="215"/>
    <x v="670"/>
  </r>
  <r>
    <x v="27"/>
    <x v="215"/>
    <x v="671"/>
  </r>
  <r>
    <x v="27"/>
    <x v="215"/>
    <x v="672"/>
  </r>
  <r>
    <x v="27"/>
    <x v="215"/>
    <x v="673"/>
  </r>
  <r>
    <x v="27"/>
    <x v="215"/>
    <x v="674"/>
  </r>
  <r>
    <x v="27"/>
    <x v="215"/>
    <x v="675"/>
  </r>
  <r>
    <x v="27"/>
    <x v="215"/>
    <x v="676"/>
  </r>
  <r>
    <x v="27"/>
    <x v="215"/>
    <x v="677"/>
  </r>
  <r>
    <x v="27"/>
    <x v="215"/>
    <x v="678"/>
  </r>
  <r>
    <x v="27"/>
    <x v="215"/>
    <x v="679"/>
  </r>
  <r>
    <x v="27"/>
    <x v="215"/>
    <x v="680"/>
  </r>
  <r>
    <x v="27"/>
    <x v="215"/>
    <x v="681"/>
  </r>
  <r>
    <x v="27"/>
    <x v="215"/>
    <x v="682"/>
  </r>
  <r>
    <x v="27"/>
    <x v="215"/>
    <x v="683"/>
  </r>
  <r>
    <x v="27"/>
    <x v="215"/>
    <x v="684"/>
  </r>
  <r>
    <x v="27"/>
    <x v="215"/>
    <x v="685"/>
  </r>
  <r>
    <x v="27"/>
    <x v="215"/>
    <x v="686"/>
  </r>
  <r>
    <x v="27"/>
    <x v="215"/>
    <x v="687"/>
  </r>
  <r>
    <x v="27"/>
    <x v="215"/>
    <x v="688"/>
  </r>
  <r>
    <x v="27"/>
    <x v="215"/>
    <x v="689"/>
  </r>
  <r>
    <x v="27"/>
    <x v="215"/>
    <x v="690"/>
  </r>
  <r>
    <x v="27"/>
    <x v="215"/>
    <x v="691"/>
  </r>
  <r>
    <x v="27"/>
    <x v="215"/>
    <x v="692"/>
  </r>
  <r>
    <x v="27"/>
    <x v="215"/>
    <x v="693"/>
  </r>
  <r>
    <x v="27"/>
    <x v="215"/>
    <x v="694"/>
  </r>
  <r>
    <x v="27"/>
    <x v="215"/>
    <x v="695"/>
  </r>
  <r>
    <x v="27"/>
    <x v="215"/>
    <x v="696"/>
  </r>
  <r>
    <x v="27"/>
    <x v="215"/>
    <x v="697"/>
  </r>
  <r>
    <x v="27"/>
    <x v="215"/>
    <x v="698"/>
  </r>
  <r>
    <x v="27"/>
    <x v="215"/>
    <x v="699"/>
  </r>
  <r>
    <x v="27"/>
    <x v="215"/>
    <x v="700"/>
  </r>
  <r>
    <x v="27"/>
    <x v="215"/>
    <x v="701"/>
  </r>
  <r>
    <x v="27"/>
    <x v="215"/>
    <x v="702"/>
  </r>
  <r>
    <x v="27"/>
    <x v="215"/>
    <x v="703"/>
  </r>
  <r>
    <x v="27"/>
    <x v="215"/>
    <x v="704"/>
  </r>
  <r>
    <x v="27"/>
    <x v="215"/>
    <x v="705"/>
  </r>
  <r>
    <x v="27"/>
    <x v="215"/>
    <x v="706"/>
  </r>
  <r>
    <x v="27"/>
    <x v="215"/>
    <x v="707"/>
  </r>
  <r>
    <x v="27"/>
    <x v="215"/>
    <x v="708"/>
  </r>
  <r>
    <x v="27"/>
    <x v="215"/>
    <x v="709"/>
  </r>
  <r>
    <x v="27"/>
    <x v="215"/>
    <x v="710"/>
  </r>
  <r>
    <x v="27"/>
    <x v="215"/>
    <x v="711"/>
  </r>
  <r>
    <x v="27"/>
    <x v="215"/>
    <x v="712"/>
  </r>
  <r>
    <x v="27"/>
    <x v="215"/>
    <x v="713"/>
  </r>
  <r>
    <x v="27"/>
    <x v="215"/>
    <x v="714"/>
  </r>
  <r>
    <x v="27"/>
    <x v="215"/>
    <x v="715"/>
  </r>
  <r>
    <x v="27"/>
    <x v="215"/>
    <x v="716"/>
  </r>
  <r>
    <x v="27"/>
    <x v="215"/>
    <x v="717"/>
  </r>
  <r>
    <x v="27"/>
    <x v="215"/>
    <x v="718"/>
  </r>
  <r>
    <x v="27"/>
    <x v="215"/>
    <x v="719"/>
  </r>
  <r>
    <x v="27"/>
    <x v="215"/>
    <x v="720"/>
  </r>
  <r>
    <x v="27"/>
    <x v="215"/>
    <x v="721"/>
  </r>
  <r>
    <x v="27"/>
    <x v="215"/>
    <x v="722"/>
  </r>
  <r>
    <x v="27"/>
    <x v="215"/>
    <x v="723"/>
  </r>
  <r>
    <x v="27"/>
    <x v="215"/>
    <x v="724"/>
  </r>
  <r>
    <x v="27"/>
    <x v="215"/>
    <x v="725"/>
  </r>
  <r>
    <x v="27"/>
    <x v="215"/>
    <x v="726"/>
  </r>
  <r>
    <x v="27"/>
    <x v="215"/>
    <x v="727"/>
  </r>
  <r>
    <x v="27"/>
    <x v="215"/>
    <x v="728"/>
  </r>
  <r>
    <x v="27"/>
    <x v="215"/>
    <x v="729"/>
  </r>
  <r>
    <x v="27"/>
    <x v="215"/>
    <x v="730"/>
  </r>
  <r>
    <x v="27"/>
    <x v="215"/>
    <x v="731"/>
  </r>
  <r>
    <x v="27"/>
    <x v="215"/>
    <x v="732"/>
  </r>
  <r>
    <x v="27"/>
    <x v="215"/>
    <x v="733"/>
  </r>
  <r>
    <x v="27"/>
    <x v="215"/>
    <x v="734"/>
  </r>
  <r>
    <x v="27"/>
    <x v="215"/>
    <x v="735"/>
  </r>
  <r>
    <x v="27"/>
    <x v="215"/>
    <x v="736"/>
  </r>
  <r>
    <x v="27"/>
    <x v="215"/>
    <x v="737"/>
  </r>
  <r>
    <x v="27"/>
    <x v="215"/>
    <x v="738"/>
  </r>
  <r>
    <x v="27"/>
    <x v="215"/>
    <x v="739"/>
  </r>
  <r>
    <x v="27"/>
    <x v="215"/>
    <x v="740"/>
  </r>
  <r>
    <x v="27"/>
    <x v="215"/>
    <x v="741"/>
  </r>
  <r>
    <x v="27"/>
    <x v="215"/>
    <x v="742"/>
  </r>
  <r>
    <x v="27"/>
    <x v="216"/>
    <x v="743"/>
  </r>
  <r>
    <x v="27"/>
    <x v="216"/>
    <x v="744"/>
  </r>
  <r>
    <x v="27"/>
    <x v="217"/>
    <x v="745"/>
  </r>
  <r>
    <x v="27"/>
    <x v="217"/>
    <x v="746"/>
  </r>
  <r>
    <x v="27"/>
    <x v="218"/>
    <x v="747"/>
  </r>
  <r>
    <x v="27"/>
    <x v="218"/>
    <x v="748"/>
  </r>
  <r>
    <x v="27"/>
    <x v="219"/>
    <x v="749"/>
  </r>
  <r>
    <x v="27"/>
    <x v="219"/>
    <x v="750"/>
  </r>
  <r>
    <x v="27"/>
    <x v="219"/>
    <x v="751"/>
  </r>
  <r>
    <x v="27"/>
    <x v="220"/>
    <x v="752"/>
  </r>
  <r>
    <x v="27"/>
    <x v="220"/>
    <x v="753"/>
  </r>
  <r>
    <x v="27"/>
    <x v="221"/>
    <x v="754"/>
  </r>
  <r>
    <x v="27"/>
    <x v="221"/>
    <x v="755"/>
  </r>
  <r>
    <x v="27"/>
    <x v="222"/>
    <x v="756"/>
  </r>
  <r>
    <x v="27"/>
    <x v="222"/>
    <x v="757"/>
  </r>
  <r>
    <x v="27"/>
    <x v="223"/>
    <x v="758"/>
  </r>
  <r>
    <x v="27"/>
    <x v="223"/>
    <x v="759"/>
  </r>
  <r>
    <x v="27"/>
    <x v="223"/>
    <x v="760"/>
  </r>
  <r>
    <x v="27"/>
    <x v="223"/>
    <x v="761"/>
  </r>
  <r>
    <x v="27"/>
    <x v="223"/>
    <x v="762"/>
  </r>
  <r>
    <x v="27"/>
    <x v="223"/>
    <x v="763"/>
  </r>
  <r>
    <x v="27"/>
    <x v="223"/>
    <x v="764"/>
  </r>
  <r>
    <x v="27"/>
    <x v="224"/>
    <x v="765"/>
  </r>
  <r>
    <x v="27"/>
    <x v="224"/>
    <x v="766"/>
  </r>
  <r>
    <x v="27"/>
    <x v="225"/>
    <x v="767"/>
  </r>
  <r>
    <x v="27"/>
    <x v="225"/>
    <x v="768"/>
  </r>
  <r>
    <x v="27"/>
    <x v="226"/>
    <x v="769"/>
  </r>
  <r>
    <x v="27"/>
    <x v="226"/>
    <x v="770"/>
  </r>
  <r>
    <x v="27"/>
    <x v="227"/>
    <x v="771"/>
  </r>
  <r>
    <x v="27"/>
    <x v="227"/>
    <x v="772"/>
  </r>
  <r>
    <x v="27"/>
    <x v="227"/>
    <x v="773"/>
  </r>
  <r>
    <x v="27"/>
    <x v="228"/>
    <x v="774"/>
  </r>
  <r>
    <x v="27"/>
    <x v="228"/>
    <x v="775"/>
  </r>
  <r>
    <x v="27"/>
    <x v="229"/>
    <x v="776"/>
  </r>
  <r>
    <x v="27"/>
    <x v="229"/>
    <x v="777"/>
  </r>
  <r>
    <x v="27"/>
    <x v="230"/>
    <x v="778"/>
  </r>
  <r>
    <x v="27"/>
    <x v="230"/>
    <x v="779"/>
  </r>
  <r>
    <x v="27"/>
    <x v="231"/>
    <x v="780"/>
  </r>
  <r>
    <x v="27"/>
    <x v="231"/>
    <x v="781"/>
  </r>
  <r>
    <x v="27"/>
    <x v="231"/>
    <x v="782"/>
  </r>
  <r>
    <x v="27"/>
    <x v="231"/>
    <x v="783"/>
  </r>
  <r>
    <x v="27"/>
    <x v="231"/>
    <x v="784"/>
  </r>
  <r>
    <x v="27"/>
    <x v="231"/>
    <x v="785"/>
  </r>
  <r>
    <x v="27"/>
    <x v="231"/>
    <x v="786"/>
  </r>
  <r>
    <x v="27"/>
    <x v="231"/>
    <x v="787"/>
  </r>
  <r>
    <x v="27"/>
    <x v="231"/>
    <x v="788"/>
  </r>
  <r>
    <x v="27"/>
    <x v="231"/>
    <x v="789"/>
  </r>
  <r>
    <x v="27"/>
    <x v="231"/>
    <x v="790"/>
  </r>
  <r>
    <x v="27"/>
    <x v="231"/>
    <x v="791"/>
  </r>
  <r>
    <x v="27"/>
    <x v="231"/>
    <x v="792"/>
  </r>
  <r>
    <x v="27"/>
    <x v="232"/>
    <x v="793"/>
  </r>
  <r>
    <x v="27"/>
    <x v="232"/>
    <x v="794"/>
  </r>
  <r>
    <x v="27"/>
    <x v="232"/>
    <x v="795"/>
  </r>
  <r>
    <x v="27"/>
    <x v="232"/>
    <x v="796"/>
  </r>
  <r>
    <x v="27"/>
    <x v="232"/>
    <x v="797"/>
  </r>
  <r>
    <x v="27"/>
    <x v="232"/>
    <x v="798"/>
  </r>
  <r>
    <x v="27"/>
    <x v="232"/>
    <x v="799"/>
  </r>
  <r>
    <x v="27"/>
    <x v="232"/>
    <x v="800"/>
  </r>
  <r>
    <x v="27"/>
    <x v="232"/>
    <x v="801"/>
  </r>
  <r>
    <x v="27"/>
    <x v="232"/>
    <x v="802"/>
  </r>
  <r>
    <x v="27"/>
    <x v="232"/>
    <x v="803"/>
  </r>
  <r>
    <x v="27"/>
    <x v="232"/>
    <x v="804"/>
  </r>
  <r>
    <x v="27"/>
    <x v="232"/>
    <x v="805"/>
  </r>
  <r>
    <x v="27"/>
    <x v="232"/>
    <x v="806"/>
  </r>
  <r>
    <x v="27"/>
    <x v="232"/>
    <x v="807"/>
  </r>
  <r>
    <x v="27"/>
    <x v="232"/>
    <x v="808"/>
  </r>
  <r>
    <x v="27"/>
    <x v="232"/>
    <x v="809"/>
  </r>
  <r>
    <x v="27"/>
    <x v="232"/>
    <x v="810"/>
  </r>
  <r>
    <x v="27"/>
    <x v="232"/>
    <x v="811"/>
  </r>
  <r>
    <x v="27"/>
    <x v="232"/>
    <x v="812"/>
  </r>
  <r>
    <x v="27"/>
    <x v="232"/>
    <x v="813"/>
  </r>
  <r>
    <x v="27"/>
    <x v="232"/>
    <x v="814"/>
  </r>
  <r>
    <x v="27"/>
    <x v="232"/>
    <x v="815"/>
  </r>
  <r>
    <x v="27"/>
    <x v="232"/>
    <x v="816"/>
  </r>
  <r>
    <x v="27"/>
    <x v="232"/>
    <x v="817"/>
  </r>
  <r>
    <x v="27"/>
    <x v="232"/>
    <x v="818"/>
  </r>
  <r>
    <x v="27"/>
    <x v="232"/>
    <x v="819"/>
  </r>
  <r>
    <x v="27"/>
    <x v="232"/>
    <x v="820"/>
  </r>
  <r>
    <x v="27"/>
    <x v="232"/>
    <x v="821"/>
  </r>
  <r>
    <x v="27"/>
    <x v="232"/>
    <x v="822"/>
  </r>
  <r>
    <x v="27"/>
    <x v="232"/>
    <x v="823"/>
  </r>
  <r>
    <x v="27"/>
    <x v="232"/>
    <x v="824"/>
  </r>
  <r>
    <x v="27"/>
    <x v="232"/>
    <x v="825"/>
  </r>
  <r>
    <x v="27"/>
    <x v="232"/>
    <x v="826"/>
  </r>
  <r>
    <x v="27"/>
    <x v="232"/>
    <x v="827"/>
  </r>
  <r>
    <x v="27"/>
    <x v="232"/>
    <x v="828"/>
  </r>
  <r>
    <x v="27"/>
    <x v="232"/>
    <x v="829"/>
  </r>
  <r>
    <x v="27"/>
    <x v="232"/>
    <x v="830"/>
  </r>
  <r>
    <x v="27"/>
    <x v="232"/>
    <x v="831"/>
  </r>
  <r>
    <x v="27"/>
    <x v="232"/>
    <x v="832"/>
  </r>
  <r>
    <x v="27"/>
    <x v="232"/>
    <x v="833"/>
  </r>
  <r>
    <x v="27"/>
    <x v="232"/>
    <x v="834"/>
  </r>
  <r>
    <x v="27"/>
    <x v="232"/>
    <x v="835"/>
  </r>
  <r>
    <x v="27"/>
    <x v="232"/>
    <x v="836"/>
  </r>
  <r>
    <x v="27"/>
    <x v="232"/>
    <x v="837"/>
  </r>
  <r>
    <x v="27"/>
    <x v="232"/>
    <x v="838"/>
  </r>
  <r>
    <x v="27"/>
    <x v="232"/>
    <x v="839"/>
  </r>
  <r>
    <x v="27"/>
    <x v="232"/>
    <x v="840"/>
  </r>
  <r>
    <x v="27"/>
    <x v="232"/>
    <x v="841"/>
  </r>
  <r>
    <x v="27"/>
    <x v="232"/>
    <x v="842"/>
  </r>
  <r>
    <x v="27"/>
    <x v="232"/>
    <x v="843"/>
  </r>
  <r>
    <x v="27"/>
    <x v="232"/>
    <x v="844"/>
  </r>
  <r>
    <x v="27"/>
    <x v="232"/>
    <x v="845"/>
  </r>
  <r>
    <x v="27"/>
    <x v="232"/>
    <x v="846"/>
  </r>
  <r>
    <x v="27"/>
    <x v="232"/>
    <x v="847"/>
  </r>
  <r>
    <x v="27"/>
    <x v="232"/>
    <x v="848"/>
  </r>
  <r>
    <x v="27"/>
    <x v="232"/>
    <x v="849"/>
  </r>
  <r>
    <x v="27"/>
    <x v="232"/>
    <x v="850"/>
  </r>
  <r>
    <x v="27"/>
    <x v="232"/>
    <x v="851"/>
  </r>
  <r>
    <x v="27"/>
    <x v="232"/>
    <x v="852"/>
  </r>
  <r>
    <x v="27"/>
    <x v="232"/>
    <x v="853"/>
  </r>
  <r>
    <x v="27"/>
    <x v="232"/>
    <x v="854"/>
  </r>
  <r>
    <x v="27"/>
    <x v="232"/>
    <x v="855"/>
  </r>
  <r>
    <x v="27"/>
    <x v="232"/>
    <x v="856"/>
  </r>
  <r>
    <x v="27"/>
    <x v="232"/>
    <x v="857"/>
  </r>
  <r>
    <x v="27"/>
    <x v="232"/>
    <x v="858"/>
  </r>
  <r>
    <x v="27"/>
    <x v="232"/>
    <x v="859"/>
  </r>
  <r>
    <x v="27"/>
    <x v="232"/>
    <x v="860"/>
  </r>
  <r>
    <x v="27"/>
    <x v="232"/>
    <x v="861"/>
  </r>
  <r>
    <x v="27"/>
    <x v="232"/>
    <x v="862"/>
  </r>
  <r>
    <x v="27"/>
    <x v="232"/>
    <x v="863"/>
  </r>
  <r>
    <x v="27"/>
    <x v="232"/>
    <x v="864"/>
  </r>
  <r>
    <x v="27"/>
    <x v="232"/>
    <x v="865"/>
  </r>
  <r>
    <x v="27"/>
    <x v="233"/>
    <x v="866"/>
  </r>
  <r>
    <x v="27"/>
    <x v="234"/>
    <x v="867"/>
  </r>
  <r>
    <x v="27"/>
    <x v="234"/>
    <x v="868"/>
  </r>
  <r>
    <x v="27"/>
    <x v="235"/>
    <x v="869"/>
  </r>
  <r>
    <x v="27"/>
    <x v="235"/>
    <x v="870"/>
  </r>
  <r>
    <x v="27"/>
    <x v="236"/>
    <x v="871"/>
  </r>
  <r>
    <x v="27"/>
    <x v="236"/>
    <x v="872"/>
  </r>
  <r>
    <x v="27"/>
    <x v="237"/>
    <x v="873"/>
  </r>
  <r>
    <x v="27"/>
    <x v="237"/>
    <x v="874"/>
  </r>
  <r>
    <x v="27"/>
    <x v="237"/>
    <x v="875"/>
  </r>
  <r>
    <x v="27"/>
    <x v="238"/>
    <x v="876"/>
  </r>
  <r>
    <x v="27"/>
    <x v="238"/>
    <x v="877"/>
  </r>
  <r>
    <x v="27"/>
    <x v="238"/>
    <x v="878"/>
  </r>
  <r>
    <x v="27"/>
    <x v="239"/>
    <x v="879"/>
  </r>
  <r>
    <x v="27"/>
    <x v="239"/>
    <x v="880"/>
  </r>
  <r>
    <x v="27"/>
    <x v="240"/>
    <x v="881"/>
  </r>
  <r>
    <x v="27"/>
    <x v="240"/>
    <x v="882"/>
  </r>
  <r>
    <x v="27"/>
    <x v="241"/>
    <x v="883"/>
  </r>
  <r>
    <x v="27"/>
    <x v="241"/>
    <x v="884"/>
  </r>
  <r>
    <x v="27"/>
    <x v="241"/>
    <x v="885"/>
  </r>
  <r>
    <x v="27"/>
    <x v="242"/>
    <x v="886"/>
  </r>
  <r>
    <x v="27"/>
    <x v="242"/>
    <x v="887"/>
  </r>
  <r>
    <x v="27"/>
    <x v="242"/>
    <x v="888"/>
  </r>
  <r>
    <x v="27"/>
    <x v="243"/>
    <x v="889"/>
  </r>
  <r>
    <x v="27"/>
    <x v="243"/>
    <x v="890"/>
  </r>
  <r>
    <x v="27"/>
    <x v="244"/>
    <x v="891"/>
  </r>
  <r>
    <x v="27"/>
    <x v="244"/>
    <x v="892"/>
  </r>
  <r>
    <x v="28"/>
    <x v="245"/>
    <x v="893"/>
  </r>
  <r>
    <x v="28"/>
    <x v="245"/>
    <x v="894"/>
  </r>
  <r>
    <x v="28"/>
    <x v="245"/>
    <x v="895"/>
  </r>
  <r>
    <x v="28"/>
    <x v="245"/>
    <x v="896"/>
  </r>
  <r>
    <x v="28"/>
    <x v="245"/>
    <x v="897"/>
  </r>
  <r>
    <x v="28"/>
    <x v="246"/>
    <x v="898"/>
  </r>
  <r>
    <x v="28"/>
    <x v="246"/>
    <x v="899"/>
  </r>
  <r>
    <x v="28"/>
    <x v="246"/>
    <x v="900"/>
  </r>
  <r>
    <x v="28"/>
    <x v="247"/>
    <x v="901"/>
  </r>
  <r>
    <x v="28"/>
    <x v="247"/>
    <x v="902"/>
  </r>
  <r>
    <x v="28"/>
    <x v="247"/>
    <x v="903"/>
  </r>
  <r>
    <x v="28"/>
    <x v="248"/>
    <x v="904"/>
  </r>
  <r>
    <x v="28"/>
    <x v="248"/>
    <x v="905"/>
  </r>
  <r>
    <x v="28"/>
    <x v="249"/>
    <x v="906"/>
  </r>
  <r>
    <x v="28"/>
    <x v="249"/>
    <x v="907"/>
  </r>
  <r>
    <x v="28"/>
    <x v="249"/>
    <x v="908"/>
  </r>
  <r>
    <x v="28"/>
    <x v="249"/>
    <x v="909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  <r>
    <x v="29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ilesToExport" cacheId="1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48" firstHeaderRow="1" firstDataRow="1" firstDataCol="3"/>
  <pivotFields count="3">
    <pivotField axis="axisRow" compact="0" outline="0" showAll="0" sortType="ascending" defaultSubtotal="0">
      <items count="51">
        <item m="1" x="35"/>
        <item m="1" x="36"/>
        <item x="7"/>
        <item x="0"/>
        <item x="1"/>
        <item x="8"/>
        <item x="9"/>
        <item x="10"/>
        <item m="1" x="44"/>
        <item x="11"/>
        <item x="2"/>
        <item m="1" x="41"/>
        <item m="1" x="38"/>
        <item m="1" x="30"/>
        <item m="1" x="34"/>
        <item x="12"/>
        <item m="1" x="42"/>
        <item x="3"/>
        <item x="13"/>
        <item x="14"/>
        <item x="15"/>
        <item m="1" x="45"/>
        <item x="16"/>
        <item x="17"/>
        <item m="1" x="48"/>
        <item m="1" x="46"/>
        <item x="4"/>
        <item m="1" x="33"/>
        <item x="18"/>
        <item x="19"/>
        <item m="1" x="50"/>
        <item x="20"/>
        <item x="21"/>
        <item m="1" x="37"/>
        <item x="22"/>
        <item x="23"/>
        <item m="1" x="40"/>
        <item m="1" x="39"/>
        <item x="5"/>
        <item m="1" x="49"/>
        <item x="24"/>
        <item m="1" x="32"/>
        <item x="25"/>
        <item x="26"/>
        <item m="1" x="43"/>
        <item x="27"/>
        <item x="6"/>
        <item m="1" x="47"/>
        <item x="28"/>
        <item m="1" x="31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21">
        <item h="1" m="1" x="292"/>
        <item h="1" m="1" x="274"/>
        <item h="1" m="1" x="301"/>
        <item h="1" m="1" x="320"/>
        <item m="1" x="259"/>
        <item x="169"/>
        <item x="50"/>
        <item x="204"/>
        <item x="205"/>
        <item x="206"/>
        <item x="207"/>
        <item x="37"/>
        <item x="4"/>
        <item x="95"/>
        <item x="208"/>
        <item x="5"/>
        <item x="245"/>
        <item x="51"/>
        <item x="52"/>
        <item x="96"/>
        <item x="104"/>
        <item x="6"/>
        <item x="38"/>
        <item x="53"/>
        <item x="54"/>
        <item x="152"/>
        <item x="153"/>
        <item x="55"/>
        <item x="39"/>
        <item x="40"/>
        <item x="209"/>
        <item x="105"/>
        <item x="31"/>
        <item x="7"/>
        <item x="46"/>
        <item x="47"/>
        <item x="106"/>
        <item x="107"/>
        <item x="97"/>
        <item x="56"/>
        <item x="154"/>
        <item x="57"/>
        <item m="1" x="309"/>
        <item x="98"/>
        <item x="210"/>
        <item x="120"/>
        <item x="58"/>
        <item x="41"/>
        <item x="128"/>
        <item x="170"/>
        <item h="1" m="1" x="297"/>
        <item x="211"/>
        <item x="212"/>
        <item h="1" x="129"/>
        <item x="213"/>
        <item x="214"/>
        <item x="155"/>
        <item x="59"/>
        <item x="156"/>
        <item x="130"/>
        <item x="60"/>
        <item x="61"/>
        <item x="215"/>
        <item x="131"/>
        <item x="246"/>
        <item x="216"/>
        <item x="8"/>
        <item x="62"/>
        <item x="108"/>
        <item x="132"/>
        <item m="1" x="269"/>
        <item x="63"/>
        <item x="64"/>
        <item h="1" x="181"/>
        <item m="1" x="314"/>
        <item x="42"/>
        <item x="157"/>
        <item x="217"/>
        <item h="1" x="182"/>
        <item x="171"/>
        <item x="32"/>
        <item x="65"/>
        <item x="33"/>
        <item h="1" m="1" x="295"/>
        <item x="247"/>
        <item m="1" x="303"/>
        <item m="1" x="317"/>
        <item x="172"/>
        <item x="218"/>
        <item x="9"/>
        <item h="1" m="1" x="253"/>
        <item h="1" x="133"/>
        <item h="1" m="1" x="290"/>
        <item h="1" x="183"/>
        <item h="1" m="1" x="280"/>
        <item m="1" x="261"/>
        <item h="1" m="1" x="289"/>
        <item x="10"/>
        <item h="1" m="1" x="300"/>
        <item m="1" x="282"/>
        <item x="173"/>
        <item h="1" m="1" x="264"/>
        <item x="134"/>
        <item h="1" m="1" x="284"/>
        <item h="1" m="1" x="267"/>
        <item x="119"/>
        <item x="66"/>
        <item x="158"/>
        <item h="1" m="1" x="310"/>
        <item h="1" m="1" x="258"/>
        <item x="159"/>
        <item x="67"/>
        <item x="34"/>
        <item x="68"/>
        <item x="69"/>
        <item x="11"/>
        <item x="160"/>
        <item x="12"/>
        <item x="219"/>
        <item x="121"/>
        <item h="1" x="185"/>
        <item h="1" x="184"/>
        <item x="70"/>
        <item h="1" m="1" x="262"/>
        <item x="71"/>
        <item h="1" m="1" x="293"/>
        <item x="13"/>
        <item x="14"/>
        <item x="15"/>
        <item x="220"/>
        <item x="48"/>
        <item h="1" x="135"/>
        <item x="221"/>
        <item x="16"/>
        <item x="222"/>
        <item x="223"/>
        <item x="136"/>
        <item x="72"/>
        <item x="43"/>
        <item x="73"/>
        <item x="224"/>
        <item m="1" x="308"/>
        <item x="109"/>
        <item x="225"/>
        <item m="1" x="318"/>
        <item m="1" x="256"/>
        <item x="226"/>
        <item h="1" m="1" x="275"/>
        <item x="137"/>
        <item x="17"/>
        <item m="1" x="276"/>
        <item x="174"/>
        <item x="161"/>
        <item x="138"/>
        <item m="1" x="252"/>
        <item m="1" x="312"/>
        <item x="178"/>
        <item x="74"/>
        <item x="99"/>
        <item x="227"/>
        <item x="75"/>
        <item x="76"/>
        <item x="77"/>
        <item x="179"/>
        <item h="1" m="1" x="288"/>
        <item h="1" x="162"/>
        <item x="100"/>
        <item x="110"/>
        <item h="1" x="78"/>
        <item x="228"/>
        <item x="79"/>
        <item x="44"/>
        <item m="1" x="271"/>
        <item h="1" m="1" x="278"/>
        <item x="45"/>
        <item h="1" m="1" x="291"/>
        <item m="1" x="307"/>
        <item x="1"/>
        <item h="1" m="1" x="299"/>
        <item x="122"/>
        <item x="123"/>
        <item x="124"/>
        <item x="125"/>
        <item h="1" x="163"/>
        <item h="1" m="1" x="305"/>
        <item x="175"/>
        <item x="18"/>
        <item x="229"/>
        <item x="111"/>
        <item h="1" m="1" x="255"/>
        <item h="1" m="1" x="319"/>
        <item h="1" m="1" x="268"/>
        <item h="1" m="1" x="306"/>
        <item h="1" x="186"/>
        <item h="1" x="187"/>
        <item h="1" m="1" x="273"/>
        <item x="164"/>
        <item h="1" x="188"/>
        <item h="1" x="189"/>
        <item h="1" x="190"/>
        <item h="1" x="191"/>
        <item x="180"/>
        <item x="139"/>
        <item h="1" m="1" x="287"/>
        <item h="1" m="1" x="315"/>
        <item x="230"/>
        <item h="1" m="1" x="283"/>
        <item h="1" m="1" x="263"/>
        <item x="165"/>
        <item x="248"/>
        <item x="80"/>
        <item x="140"/>
        <item x="81"/>
        <item x="112"/>
        <item x="113"/>
        <item x="114"/>
        <item x="231"/>
        <item x="232"/>
        <item x="82"/>
        <item x="19"/>
        <item h="1" x="192"/>
        <item h="1" x="193"/>
        <item x="83"/>
        <item h="1" x="194"/>
        <item h="1" x="195"/>
        <item h="1" x="196"/>
        <item h="1" x="197"/>
        <item h="1" x="198"/>
        <item x="84"/>
        <item x="85"/>
        <item h="1" m="1" x="251"/>
        <item x="249"/>
        <item h="1" m="1" x="298"/>
        <item h="1" m="1" x="272"/>
        <item x="233"/>
        <item h="1" m="1" x="311"/>
        <item x="20"/>
        <item x="234"/>
        <item x="101"/>
        <item x="102"/>
        <item x="103"/>
        <item x="115"/>
        <item x="116"/>
        <item x="141"/>
        <item x="21"/>
        <item x="142"/>
        <item x="176"/>
        <item h="1" m="1" x="304"/>
        <item x="86"/>
        <item x="117"/>
        <item x="166"/>
        <item x="22"/>
        <item x="23"/>
        <item x="143"/>
        <item x="144"/>
        <item x="145"/>
        <item m="1" x="279"/>
        <item x="87"/>
        <item x="235"/>
        <item x="35"/>
        <item x="118"/>
        <item x="36"/>
        <item x="236"/>
        <item x="24"/>
        <item h="1" m="1" x="285"/>
        <item x="49"/>
        <item x="126"/>
        <item x="146"/>
        <item x="88"/>
        <item h="1" m="1" x="277"/>
        <item h="1" m="1" x="270"/>
        <item x="147"/>
        <item x="25"/>
        <item x="177"/>
        <item x="89"/>
        <item x="2"/>
        <item m="1" x="265"/>
        <item x="237"/>
        <item m="1" x="302"/>
        <item x="26"/>
        <item x="148"/>
        <item x="238"/>
        <item x="27"/>
        <item h="1" m="1" x="254"/>
        <item h="1" x="149"/>
        <item h="1" x="28"/>
        <item x="90"/>
        <item h="1" m="1" x="281"/>
        <item h="1" x="127"/>
        <item h="1" x="150"/>
        <item h="1" m="1" x="266"/>
        <item x="239"/>
        <item h="1" x="199"/>
        <item h="1" x="200"/>
        <item x="240"/>
        <item x="91"/>
        <item x="29"/>
        <item x="30"/>
        <item x="241"/>
        <item m="1" x="250"/>
        <item m="1" x="286"/>
        <item x="242"/>
        <item x="92"/>
        <item x="93"/>
        <item m="1" x="296"/>
        <item x="151"/>
        <item h="1" m="1" x="294"/>
        <item x="167"/>
        <item x="201"/>
        <item x="202"/>
        <item x="203"/>
        <item x="243"/>
        <item h="1" m="1" x="313"/>
        <item x="3"/>
        <item m="1" x="316"/>
        <item m="1" x="260"/>
        <item x="244"/>
        <item h="1" m="1" x="257"/>
        <item x="168"/>
        <item x="94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955">
        <item x="163"/>
        <item x="571"/>
        <item x="164"/>
        <item x="609"/>
        <item x="611"/>
        <item x="610"/>
        <item x="612"/>
        <item x="613"/>
        <item x="617"/>
        <item x="618"/>
        <item x="128"/>
        <item x="21"/>
        <item x="22"/>
        <item x="23"/>
        <item x="286"/>
        <item x="165"/>
        <item x="24"/>
        <item x="619"/>
        <item x="168"/>
        <item x="620"/>
        <item x="289"/>
        <item x="25"/>
        <item x="170"/>
        <item x="42"/>
        <item x="623"/>
        <item x="174"/>
        <item x="49"/>
        <item x="157"/>
        <item x="155"/>
        <item x="306"/>
        <item x="372"/>
        <item x="178"/>
        <item x="291"/>
        <item x="292"/>
        <item x="180"/>
        <item x="182"/>
        <item x="626"/>
        <item x="434"/>
        <item x="451"/>
        <item x="639"/>
        <item x="573"/>
        <item x="641"/>
        <item x="644"/>
        <item x="657"/>
        <item x="670"/>
        <item x="189"/>
        <item x="464"/>
        <item x="470"/>
        <item x="187"/>
        <item x="743"/>
        <item x="191"/>
        <item x="472"/>
        <item x="376"/>
        <item x="193"/>
        <item x="195"/>
        <item x="287"/>
        <item x="288"/>
        <item x="621"/>
        <item x="622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93"/>
        <item x="894"/>
        <item x="895"/>
        <item x="896"/>
        <item x="167"/>
        <item x="290"/>
        <item x="43"/>
        <item x="44"/>
        <item x="45"/>
        <item x="46"/>
        <item x="47"/>
        <item x="48"/>
        <item x="171"/>
        <item x="172"/>
        <item x="175"/>
        <item x="176"/>
        <item x="177"/>
        <item x="132"/>
        <item x="134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50"/>
        <item x="51"/>
        <item x="52"/>
        <item x="156"/>
        <item x="158"/>
        <item x="373"/>
        <item x="374"/>
        <item x="375"/>
        <item x="245"/>
        <item x="179"/>
        <item x="181"/>
        <item x="293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435"/>
        <item x="183"/>
        <item x="136"/>
        <item x="452"/>
        <item x="453"/>
        <item x="454"/>
        <item x="455"/>
        <item x="456"/>
        <item x="457"/>
        <item x="458"/>
        <item x="459"/>
        <item x="460"/>
        <item x="461"/>
        <item x="53"/>
        <item x="640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129"/>
        <item x="173"/>
        <item x="133"/>
        <item x="135"/>
        <item x="137"/>
        <item x="184"/>
        <item x="138"/>
        <item x="745"/>
        <item x="185"/>
        <item x="186"/>
        <item x="188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471"/>
        <item x="744"/>
        <item x="54"/>
        <item x="55"/>
        <item x="377"/>
        <item x="378"/>
        <item x="379"/>
        <item x="473"/>
        <item x="194"/>
        <item x="897"/>
        <item x="900"/>
        <item x="139"/>
        <item x="746"/>
        <item x="197"/>
        <item x="747"/>
        <item x="901"/>
        <item x="198"/>
        <item x="199"/>
        <item x="201"/>
        <item x="115"/>
        <item x="116"/>
        <item x="117"/>
        <item x="902"/>
        <item x="903"/>
        <item x="577"/>
        <item x="578"/>
        <item x="748"/>
        <item x="56"/>
        <item x="576"/>
        <item x="579"/>
        <item x="57"/>
        <item x="58"/>
        <item x="476"/>
        <item x="477"/>
        <item x="202"/>
        <item x="203"/>
        <item x="206"/>
        <item x="209"/>
        <item x="122"/>
        <item x="204"/>
        <item x="61"/>
        <item x="205"/>
        <item x="123"/>
        <item x="63"/>
        <item x="749"/>
        <item x="750"/>
        <item x="752"/>
        <item x="756"/>
        <item x="159"/>
        <item x="436"/>
        <item x="65"/>
        <item x="67"/>
        <item x="69"/>
        <item x="754"/>
        <item x="758"/>
        <item x="480"/>
        <item x="71"/>
        <item x="765"/>
        <item x="216"/>
        <item x="437"/>
        <item x="64"/>
        <item x="751"/>
        <item x="66"/>
        <item x="68"/>
        <item x="70"/>
        <item x="753"/>
        <item x="160"/>
        <item x="755"/>
        <item x="72"/>
        <item x="757"/>
        <item x="759"/>
        <item x="760"/>
        <item x="761"/>
        <item x="762"/>
        <item x="763"/>
        <item x="764"/>
        <item x="481"/>
        <item x="482"/>
        <item x="766"/>
        <item x="380"/>
        <item x="381"/>
        <item x="605"/>
        <item x="228"/>
        <item x="241"/>
        <item x="483"/>
        <item x="73"/>
        <item x="581"/>
        <item x="485"/>
        <item x="590"/>
        <item x="589"/>
        <item x="592"/>
        <item x="591"/>
        <item x="594"/>
        <item x="595"/>
        <item x="596"/>
        <item x="597"/>
        <item x="598"/>
        <item x="599"/>
        <item x="600"/>
        <item x="484"/>
        <item x="226"/>
        <item x="771"/>
        <item x="772"/>
        <item x="242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74"/>
        <item x="601"/>
        <item x="602"/>
        <item x="227"/>
        <item x="582"/>
        <item x="486"/>
        <item x="773"/>
        <item x="606"/>
        <item x="296"/>
        <item x="382"/>
        <item x="774"/>
        <item x="249"/>
        <item x="775"/>
        <item x="297"/>
        <item x="250"/>
        <item x="383"/>
        <item x="438"/>
        <item x="440"/>
        <item x="441"/>
        <item x="443"/>
        <item x="445"/>
        <item x="444"/>
        <item x="439"/>
        <item x="446"/>
        <item x="442"/>
        <item x="776"/>
        <item x="384"/>
        <item x="584"/>
        <item x="777"/>
        <item x="607"/>
        <item x="385"/>
        <item x="608"/>
        <item x="778"/>
        <item x="779"/>
        <item x="904"/>
        <item x="905"/>
        <item x="85"/>
        <item x="251"/>
        <item x="386"/>
        <item x="388"/>
        <item x="390"/>
        <item x="780"/>
        <item x="793"/>
        <item x="253"/>
        <item x="252"/>
        <item x="489"/>
        <item x="490"/>
        <item x="255"/>
        <item x="387"/>
        <item x="389"/>
        <item x="391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256"/>
        <item x="86"/>
        <item x="257"/>
        <item x="258"/>
        <item x="261"/>
        <item x="259"/>
        <item x="260"/>
        <item x="262"/>
        <item x="906"/>
        <item x="907"/>
        <item x="908"/>
        <item x="909"/>
        <item x="87"/>
        <item x="867"/>
        <item x="298"/>
        <item x="300"/>
        <item x="302"/>
        <item x="265"/>
        <item x="392"/>
        <item x="393"/>
        <item x="394"/>
        <item x="395"/>
        <item x="396"/>
        <item x="397"/>
        <item x="398"/>
        <item x="399"/>
        <item x="400"/>
        <item x="401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02"/>
        <item x="403"/>
        <item x="404"/>
        <item x="405"/>
        <item x="406"/>
        <item x="407"/>
        <item x="868"/>
        <item x="88"/>
        <item x="299"/>
        <item x="301"/>
        <item x="303"/>
        <item x="89"/>
        <item x="506"/>
        <item x="426"/>
        <item x="869"/>
        <item x="90"/>
        <item x="507"/>
        <item x="263"/>
        <item x="427"/>
        <item x="264"/>
        <item x="408"/>
        <item x="425"/>
        <item x="866"/>
        <item x="91"/>
        <item x="512"/>
        <item x="510"/>
        <item x="508"/>
        <item x="586"/>
        <item x="93"/>
        <item x="92"/>
        <item x="94"/>
        <item x="509"/>
        <item x="511"/>
        <item x="513"/>
        <item x="870"/>
        <item x="523"/>
        <item x="95"/>
        <item x="587"/>
        <item x="96"/>
        <item x="161"/>
        <item x="447"/>
        <item x="514"/>
        <item x="267"/>
        <item x="162"/>
        <item x="448"/>
        <item x="515"/>
        <item x="516"/>
        <item x="517"/>
        <item x="518"/>
        <item x="519"/>
        <item x="520"/>
        <item x="521"/>
        <item x="522"/>
        <item x="268"/>
        <item x="524"/>
        <item x="588"/>
        <item x="269"/>
        <item x="17"/>
        <item x="873"/>
        <item x="874"/>
        <item x="879"/>
        <item x="876"/>
        <item x="103"/>
        <item x="104"/>
        <item x="18"/>
        <item x="880"/>
        <item x="881"/>
        <item x="276"/>
        <item x="883"/>
        <item x="886"/>
        <item x="875"/>
        <item x="882"/>
        <item x="884"/>
        <item x="885"/>
        <item x="887"/>
        <item x="888"/>
        <item x="281"/>
        <item x="531"/>
        <item x="532"/>
        <item x="280"/>
        <item x="282"/>
        <item x="19"/>
        <item x="889"/>
        <item x="890"/>
        <item x="891"/>
        <item x="20"/>
        <item x="892"/>
        <item x="283"/>
        <item x="569"/>
        <item x="570"/>
        <item x="284"/>
        <item x="285"/>
        <item x="0"/>
        <item x="593"/>
        <item x="604"/>
        <item x="537"/>
        <item x="538"/>
        <item x="222"/>
        <item x="223"/>
        <item x="243"/>
        <item x="244"/>
        <item x="430"/>
        <item x="431"/>
        <item x="432"/>
        <item x="433"/>
        <item x="505"/>
        <item x="877"/>
        <item x="878"/>
        <item x="898"/>
        <item x="899"/>
        <item x="113"/>
        <item x="114"/>
        <item x="119"/>
        <item x="120"/>
        <item x="121"/>
        <item x="140"/>
        <item x="141"/>
        <item x="142"/>
        <item x="143"/>
        <item x="144"/>
        <item x="614"/>
        <item x="615"/>
        <item x="616"/>
        <item x="224"/>
        <item x="22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7"/>
        <item x="98"/>
        <item x="99"/>
        <item x="100"/>
        <item x="101"/>
        <item x="102"/>
        <item x="107"/>
        <item x="108"/>
        <item x="109"/>
        <item x="110"/>
        <item x="111"/>
        <item x="112"/>
        <item x="118"/>
        <item x="124"/>
        <item x="125"/>
        <item x="130"/>
        <item x="131"/>
        <item x="126"/>
        <item x="127"/>
        <item x="166"/>
        <item x="272"/>
        <item x="273"/>
        <item x="274"/>
        <item x="275"/>
        <item x="248"/>
        <item x="294"/>
        <item x="295"/>
        <item x="428"/>
        <item x="429"/>
        <item x="487"/>
        <item x="488"/>
        <item x="533"/>
        <item x="534"/>
        <item x="535"/>
        <item x="536"/>
        <item x="539"/>
        <item x="540"/>
        <item x="545"/>
        <item x="546"/>
        <item x="547"/>
        <item x="548"/>
        <item x="549"/>
        <item x="550"/>
        <item x="551"/>
        <item x="552"/>
        <item x="563"/>
        <item x="564"/>
        <item x="567"/>
        <item x="568"/>
        <item x="767"/>
        <item x="768"/>
        <item x="871"/>
        <item x="872"/>
        <item x="26"/>
        <item x="59"/>
        <item x="60"/>
        <item x="145"/>
        <item x="200"/>
        <item x="217"/>
        <item x="218"/>
        <item x="219"/>
        <item x="220"/>
        <item x="221"/>
        <item x="304"/>
        <item x="305"/>
        <item x="328"/>
        <item x="541"/>
        <item x="542"/>
        <item x="543"/>
        <item x="544"/>
        <item x="561"/>
        <item x="562"/>
        <item x="565"/>
        <item x="566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75"/>
        <item x="76"/>
        <item x="77"/>
        <item x="78"/>
        <item x="79"/>
        <item x="80"/>
        <item x="81"/>
        <item x="82"/>
        <item x="83"/>
        <item x="84"/>
        <item x="146"/>
        <item x="147"/>
        <item x="148"/>
        <item x="149"/>
        <item x="150"/>
        <item x="151"/>
        <item x="152"/>
        <item x="153"/>
        <item x="154"/>
        <item x="525"/>
        <item x="526"/>
        <item x="553"/>
        <item x="554"/>
        <item x="769"/>
        <item x="770"/>
        <item x="603"/>
        <item m="1" x="914"/>
        <item m="1" x="951"/>
        <item m="1" x="949"/>
        <item m="1" x="946"/>
        <item m="1" x="944"/>
        <item m="1" x="943"/>
        <item m="1" x="939"/>
        <item m="1" x="934"/>
        <item m="1" x="912"/>
        <item m="1" x="931"/>
        <item m="1" x="930"/>
        <item m="1" x="929"/>
        <item m="1" x="942"/>
        <item m="1" x="918"/>
        <item m="1" x="927"/>
        <item m="1" x="940"/>
        <item m="1" x="926"/>
        <item m="1" x="952"/>
        <item m="1" x="916"/>
        <item m="1" x="936"/>
        <item m="1" x="950"/>
        <item m="1" x="915"/>
        <item m="1" x="935"/>
        <item m="1" x="923"/>
        <item m="1" x="922"/>
        <item m="1" x="933"/>
        <item m="1" x="921"/>
        <item m="1" x="913"/>
        <item m="1" x="920"/>
        <item m="1" x="928"/>
        <item m="1" x="932"/>
        <item m="1" x="941"/>
        <item m="1" x="948"/>
        <item m="1" x="954"/>
        <item m="1" x="938"/>
        <item m="1" x="953"/>
        <item m="1" x="911"/>
        <item m="1" x="917"/>
        <item m="1" x="925"/>
        <item m="1" x="937"/>
        <item m="1" x="947"/>
        <item m="1" x="910"/>
        <item m="1" x="919"/>
        <item m="1" x="924"/>
        <item m="1" x="945"/>
        <item x="105"/>
        <item x="106"/>
        <item x="246"/>
        <item x="247"/>
        <item x="555"/>
        <item x="556"/>
        <item x="557"/>
        <item x="558"/>
        <item x="559"/>
        <item x="560"/>
        <item x="62"/>
        <item x="169"/>
        <item x="190"/>
        <item x="192"/>
        <item x="196"/>
        <item x="207"/>
        <item x="208"/>
        <item x="210"/>
        <item x="211"/>
        <item x="212"/>
        <item x="213"/>
        <item x="214"/>
        <item x="215"/>
        <item x="254"/>
        <item x="266"/>
        <item x="270"/>
        <item x="271"/>
        <item x="277"/>
        <item x="278"/>
        <item x="279"/>
        <item x="371"/>
        <item x="449"/>
        <item x="450"/>
        <item x="462"/>
        <item x="463"/>
        <item x="465"/>
        <item x="466"/>
        <item x="467"/>
        <item x="468"/>
        <item x="469"/>
        <item x="474"/>
        <item x="475"/>
        <item x="478"/>
        <item x="479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27"/>
        <item x="528"/>
        <item x="529"/>
        <item x="530"/>
        <item x="572"/>
        <item x="574"/>
        <item x="575"/>
        <item x="580"/>
        <item x="583"/>
        <item x="585"/>
        <item x="624"/>
        <item x="625"/>
        <item x="642"/>
        <item x="64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24">
    <i>
      <x v="5"/>
      <x v="177"/>
      <x v="680"/>
    </i>
    <i r="1">
      <x v="275"/>
      <x v="619"/>
    </i>
    <i r="1">
      <x v="313"/>
      <x v="636"/>
    </i>
    <i>
      <x v="6"/>
      <x v="12"/>
      <x v="16"/>
    </i>
    <i r="1">
      <x v="15"/>
      <x v="21"/>
    </i>
    <i r="1">
      <x v="21"/>
      <x v="23"/>
    </i>
    <i r="1">
      <x v="33"/>
      <x v="26"/>
    </i>
    <i r="1">
      <x v="66"/>
      <x v="151"/>
    </i>
    <i r="1">
      <x v="89"/>
      <x v="290"/>
    </i>
    <i r="1">
      <x v="97"/>
      <x v="291"/>
    </i>
    <i r="1">
      <x v="115"/>
      <x v="300"/>
    </i>
    <i r="1">
      <x v="117"/>
      <x v="320"/>
    </i>
    <i r="1">
      <x v="126"/>
      <x v="310"/>
    </i>
    <i r="1">
      <x v="127"/>
      <x v="311"/>
    </i>
    <i r="1">
      <x v="128"/>
      <x v="312"/>
    </i>
    <i r="1">
      <x v="133"/>
      <x v="316"/>
    </i>
    <i r="1">
      <x v="149"/>
      <x v="376"/>
    </i>
    <i r="1">
      <x v="186"/>
      <x v="821"/>
    </i>
    <i r="1">
      <x v="219"/>
      <x v="412"/>
    </i>
    <i r="1">
      <x v="236"/>
      <x v="562"/>
    </i>
    <i r="1">
      <x v="244"/>
      <x v="566"/>
    </i>
    <i r="1">
      <x v="251"/>
      <x v="578"/>
    </i>
    <i r="1">
      <x v="252"/>
      <x v="583"/>
    </i>
    <i r="1">
      <x v="263"/>
      <x v="593"/>
    </i>
    <i r="1">
      <x v="272"/>
      <x v="696"/>
    </i>
    <i r="1">
      <x v="279"/>
      <x v="698"/>
    </i>
    <i r="1">
      <x v="282"/>
      <x v="617"/>
    </i>
    <i r="1">
      <x v="296"/>
      <x v="702"/>
    </i>
    <i r="1">
      <x v="297"/>
      <x v="706"/>
    </i>
    <i>
      <x v="7"/>
      <x v="32"/>
      <x v="665"/>
    </i>
    <i r="1">
      <x v="80"/>
      <x v="708"/>
    </i>
    <i r="1">
      <x v="82"/>
      <x v="667"/>
    </i>
    <i>
      <x v="9"/>
      <x v="112"/>
      <x v="298"/>
    </i>
    <i r="1">
      <x v="259"/>
      <x v="710"/>
    </i>
    <i>
      <x v="15"/>
      <x v="261"/>
      <x v="714"/>
    </i>
    <i>
      <x v="18"/>
      <x v="11"/>
      <x v="177"/>
    </i>
    <i r="1">
      <x v="22"/>
      <x v="712"/>
    </i>
    <i r="1">
      <x v="28"/>
      <x v="179"/>
    </i>
    <i r="1">
      <x v="29"/>
      <x v="180"/>
    </i>
    <i r="1">
      <x v="47"/>
      <x v="181"/>
    </i>
    <i r="1">
      <x v="75"/>
      <x v="183"/>
    </i>
    <i r="1">
      <x v="138"/>
      <x v="670"/>
    </i>
    <i r="1">
      <x v="171"/>
      <x v="672"/>
    </i>
    <i r="1">
      <x v="174"/>
      <x v="752"/>
    </i>
    <i>
      <x v="19"/>
      <x v="261"/>
      <x v="714"/>
    </i>
    <i>
      <x v="20"/>
      <x v="34"/>
      <x v="28"/>
    </i>
    <i r="1">
      <x v="35"/>
      <x v="27"/>
    </i>
    <i r="1">
      <x v="130"/>
      <x v="308"/>
    </i>
    <i r="1">
      <x v="265"/>
      <x v="594"/>
    </i>
    <i>
      <x v="22"/>
      <x v="6"/>
      <x/>
    </i>
    <i r="1">
      <x v="17"/>
      <x v="15"/>
    </i>
    <i r="1">
      <x v="18"/>
      <x v="18"/>
    </i>
    <i r="1">
      <x v="23"/>
      <x v="22"/>
    </i>
    <i r="1">
      <x v="24"/>
      <x v="178"/>
    </i>
    <i r="1">
      <x v="27"/>
      <x v="25"/>
    </i>
    <i r="1">
      <x v="39"/>
      <x v="31"/>
    </i>
    <i r="1">
      <x v="41"/>
      <x v="34"/>
    </i>
    <i r="1">
      <x v="46"/>
      <x v="35"/>
    </i>
    <i r="1">
      <x v="57"/>
      <x v="182"/>
    </i>
    <i r="1">
      <x v="60"/>
      <x v="48"/>
    </i>
    <i r="1">
      <x v="61"/>
      <x v="45"/>
    </i>
    <i r="1">
      <x v="67"/>
      <x v="50"/>
    </i>
    <i r="1">
      <x v="71"/>
      <x v="53"/>
    </i>
    <i r="1">
      <x v="72"/>
      <x v="54"/>
    </i>
    <i r="1">
      <x v="81"/>
      <x v="273"/>
    </i>
    <i r="1">
      <x v="106"/>
      <x v="295"/>
    </i>
    <i r="1">
      <x v="111"/>
      <x v="299"/>
    </i>
    <i r="1">
      <x v="113"/>
      <x v="296"/>
    </i>
    <i r="1">
      <x v="114"/>
      <x v="297"/>
    </i>
    <i r="1">
      <x v="122"/>
      <x v="318"/>
    </i>
    <i r="1">
      <x v="124"/>
      <x v="758"/>
    </i>
    <i r="1">
      <x v="137"/>
      <x v="652"/>
    </i>
    <i r="1">
      <x v="139"/>
      <x v="678"/>
    </i>
    <i r="1">
      <x v="157"/>
      <x v="379"/>
    </i>
    <i r="1">
      <x v="160"/>
      <x v="342"/>
    </i>
    <i r="1">
      <x v="161"/>
      <x v="343"/>
    </i>
    <i r="1">
      <x v="162"/>
      <x v="655"/>
    </i>
    <i r="1">
      <x v="170"/>
      <x v="390"/>
    </i>
    <i r="1">
      <x v="210"/>
      <x v="413"/>
    </i>
    <i r="1">
      <x v="212"/>
      <x v="419"/>
    </i>
    <i r="1">
      <x v="218"/>
      <x v="423"/>
    </i>
    <i r="1">
      <x v="222"/>
      <x v="514"/>
    </i>
    <i r="1">
      <x v="228"/>
      <x v="516"/>
    </i>
    <i r="1">
      <x v="229"/>
      <x v="515"/>
    </i>
    <i r="1">
      <x v="248"/>
      <x v="574"/>
    </i>
    <i r="1">
      <x v="257"/>
      <x v="528"/>
    </i>
    <i r="1">
      <x v="268"/>
      <x v="597"/>
    </i>
    <i r="1">
      <x v="274"/>
      <x v="611"/>
    </i>
    <i r="1">
      <x v="286"/>
      <x v="716"/>
    </i>
    <i r="1">
      <x v="295"/>
      <x v="622"/>
    </i>
    <i r="1">
      <x v="302"/>
      <x v="634"/>
    </i>
    <i r="1">
      <x v="303"/>
      <x v="635"/>
    </i>
    <i r="1">
      <x v="319"/>
      <x v="642"/>
    </i>
    <i>
      <x v="23"/>
      <x v="13"/>
      <x v="14"/>
    </i>
    <i r="1">
      <x v="19"/>
      <x v="20"/>
    </i>
    <i r="1">
      <x v="38"/>
      <x v="32"/>
    </i>
    <i r="1">
      <x v="43"/>
      <x v="33"/>
    </i>
    <i r="1">
      <x v="158"/>
      <x v="722"/>
    </i>
    <i r="1">
      <x v="166"/>
      <x v="389"/>
    </i>
    <i r="1">
      <x v="238"/>
      <x v="563"/>
    </i>
    <i r="1">
      <x v="239"/>
      <x v="564"/>
    </i>
    <i r="1">
      <x v="240"/>
      <x v="565"/>
    </i>
    <i>
      <x v="28"/>
      <x v="20"/>
      <x v="759"/>
    </i>
    <i r="1">
      <x v="31"/>
      <x v="29"/>
    </i>
    <i r="1">
      <x v="36"/>
      <x v="761"/>
    </i>
    <i r="2">
      <x v="913"/>
    </i>
    <i r="1">
      <x v="37"/>
      <x v="30"/>
    </i>
    <i r="1">
      <x v="68"/>
      <x v="52"/>
    </i>
    <i r="1">
      <x v="142"/>
      <x v="340"/>
    </i>
    <i r="1">
      <x v="167"/>
      <x v="391"/>
    </i>
    <i r="1">
      <x v="188"/>
      <x v="406"/>
    </i>
    <i r="1">
      <x v="213"/>
      <x v="414"/>
    </i>
    <i r="1">
      <x v="214"/>
      <x v="415"/>
    </i>
    <i r="1">
      <x v="215"/>
      <x v="416"/>
    </i>
    <i r="1">
      <x v="241"/>
      <x v="575"/>
    </i>
    <i r="1">
      <x v="242"/>
      <x v="576"/>
    </i>
    <i r="1">
      <x v="249"/>
      <x v="568"/>
    </i>
    <i r="1">
      <x v="260"/>
      <x v="724"/>
    </i>
    <i>
      <x v="29"/>
      <x v="105"/>
      <x v="659"/>
    </i>
    <i>
      <x v="31"/>
      <x v="45"/>
      <x v="37"/>
    </i>
    <i r="1">
      <x v="119"/>
      <x v="319"/>
    </i>
    <i r="1">
      <x v="179"/>
      <x v="398"/>
    </i>
    <i r="1">
      <x v="180"/>
      <x v="400"/>
    </i>
    <i r="1">
      <x v="181"/>
      <x v="397"/>
    </i>
    <i r="1">
      <x v="182"/>
      <x v="399"/>
    </i>
    <i r="1">
      <x v="266"/>
      <x v="595"/>
    </i>
    <i>
      <x v="32"/>
      <x v="48"/>
      <x v="38"/>
    </i>
    <i r="1">
      <x v="59"/>
      <x v="46"/>
    </i>
    <i r="1">
      <x v="63"/>
      <x v="47"/>
    </i>
    <i r="1">
      <x v="69"/>
      <x v="51"/>
    </i>
    <i r="1">
      <x v="102"/>
      <x v="292"/>
    </i>
    <i r="1">
      <x v="136"/>
      <x v="315"/>
    </i>
    <i r="1">
      <x v="148"/>
      <x v="359"/>
    </i>
    <i r="1">
      <x v="153"/>
      <x v="381"/>
    </i>
    <i r="1">
      <x v="202"/>
      <x v="725"/>
    </i>
    <i r="1">
      <x v="211"/>
      <x v="421"/>
    </i>
    <i r="1">
      <x v="243"/>
      <x v="660"/>
    </i>
    <i r="1">
      <x v="245"/>
      <x v="567"/>
    </i>
    <i r="1">
      <x v="253"/>
      <x v="581"/>
    </i>
    <i r="1">
      <x v="254"/>
      <x v="580"/>
    </i>
    <i r="1">
      <x v="255"/>
      <x v="579"/>
    </i>
    <i r="1">
      <x v="267"/>
      <x v="596"/>
    </i>
    <i r="1">
      <x v="271"/>
      <x v="590"/>
    </i>
    <i r="1">
      <x v="280"/>
      <x v="831"/>
    </i>
    <i r="1">
      <x v="305"/>
      <x v="633"/>
    </i>
    <i>
      <x v="34"/>
      <x v="25"/>
      <x v="727"/>
    </i>
    <i r="1">
      <x v="26"/>
      <x v="729"/>
    </i>
    <i r="1">
      <x v="40"/>
      <x v="650"/>
    </i>
    <i r="1">
      <x v="56"/>
      <x v="731"/>
    </i>
    <i r="1">
      <x v="58"/>
      <x v="762"/>
    </i>
    <i r="1">
      <x v="76"/>
      <x v="733"/>
    </i>
    <i r="1">
      <x v="107"/>
      <x v="736"/>
    </i>
    <i r="1">
      <x v="110"/>
      <x v="738"/>
    </i>
    <i r="1">
      <x v="116"/>
      <x v="739"/>
    </i>
    <i r="1">
      <x v="152"/>
      <x v="887"/>
    </i>
    <i r="1">
      <x v="196"/>
      <x v="766"/>
    </i>
    <i r="1">
      <x v="208"/>
      <x v="741"/>
    </i>
    <i r="1">
      <x v="250"/>
      <x v="768"/>
    </i>
    <i r="1">
      <x v="307"/>
      <x v="743"/>
    </i>
    <i r="1">
      <x v="318"/>
      <x v="644"/>
    </i>
    <i>
      <x v="35"/>
      <x v="5"/>
      <x v="1"/>
    </i>
    <i r="1">
      <x v="49"/>
      <x v="40"/>
    </i>
    <i r="1">
      <x v="79"/>
      <x v="288"/>
    </i>
    <i r="1">
      <x v="87"/>
      <x v="284"/>
    </i>
    <i r="1">
      <x v="100"/>
      <x v="289"/>
    </i>
    <i r="1">
      <x v="151"/>
      <x v="380"/>
    </i>
    <i r="1">
      <x v="185"/>
      <x v="403"/>
    </i>
    <i r="1">
      <x v="246"/>
      <x v="582"/>
    </i>
    <i r="1">
      <x v="273"/>
      <x v="592"/>
    </i>
    <i>
      <x v="40"/>
      <x v="156"/>
      <x v="377"/>
    </i>
    <i r="2">
      <x v="378"/>
    </i>
    <i r="2">
      <x v="649"/>
    </i>
    <i r="2">
      <x v="837"/>
    </i>
    <i r="1">
      <x v="163"/>
      <x v="341"/>
    </i>
    <i r="1">
      <x v="201"/>
      <x v="405"/>
    </i>
    <i>
      <x v="43"/>
      <x v="308"/>
      <x v="647"/>
    </i>
    <i r="1">
      <x v="309"/>
      <x v="647"/>
    </i>
    <i r="1">
      <x v="310"/>
      <x v="647"/>
    </i>
    <i>
      <x v="45"/>
      <x v="7"/>
      <x v="3"/>
    </i>
    <i r="1">
      <x v="8"/>
      <x v="4"/>
    </i>
    <i r="1">
      <x v="9"/>
      <x v="675"/>
    </i>
    <i r="1">
      <x v="10"/>
      <x v="17"/>
    </i>
    <i r="1">
      <x v="14"/>
      <x v="19"/>
    </i>
    <i r="1">
      <x v="30"/>
      <x v="24"/>
    </i>
    <i r="1">
      <x v="44"/>
      <x v="36"/>
    </i>
    <i r="1">
      <x v="51"/>
      <x v="39"/>
    </i>
    <i r="1">
      <x v="52"/>
      <x v="41"/>
    </i>
    <i r="1">
      <x v="54"/>
      <x v="42"/>
    </i>
    <i r="1">
      <x v="55"/>
      <x v="43"/>
    </i>
    <i r="1">
      <x v="62"/>
      <x v="44"/>
    </i>
    <i r="1">
      <x v="65"/>
      <x v="49"/>
    </i>
    <i r="1">
      <x v="77"/>
      <x v="184"/>
    </i>
    <i r="1">
      <x v="88"/>
      <x v="274"/>
    </i>
    <i r="1">
      <x v="118"/>
      <x v="321"/>
    </i>
    <i r="1">
      <x v="129"/>
      <x v="306"/>
    </i>
    <i r="1">
      <x v="132"/>
      <x v="313"/>
    </i>
    <i r="1">
      <x v="134"/>
      <x v="307"/>
    </i>
    <i r="1">
      <x v="135"/>
      <x v="314"/>
    </i>
    <i r="1">
      <x v="140"/>
      <x v="317"/>
    </i>
    <i r="1">
      <x v="143"/>
      <x v="745"/>
    </i>
    <i r="1">
      <x v="146"/>
      <x v="835"/>
    </i>
    <i r="1">
      <x v="159"/>
      <x v="382"/>
    </i>
    <i r="1">
      <x v="169"/>
      <x v="388"/>
    </i>
    <i r="1">
      <x v="187"/>
      <x v="404"/>
    </i>
    <i r="1">
      <x v="205"/>
      <x v="408"/>
    </i>
    <i r="1">
      <x v="216"/>
      <x v="417"/>
    </i>
    <i r="1">
      <x v="217"/>
      <x v="418"/>
    </i>
    <i r="1">
      <x v="234"/>
      <x v="577"/>
    </i>
    <i r="1">
      <x v="237"/>
      <x v="561"/>
    </i>
    <i r="1">
      <x v="258"/>
      <x v="569"/>
    </i>
    <i r="1">
      <x v="262"/>
      <x v="748"/>
    </i>
    <i r="1">
      <x v="277"/>
      <x v="625"/>
    </i>
    <i r="1">
      <x v="281"/>
      <x v="616"/>
    </i>
    <i r="1">
      <x v="291"/>
      <x v="615"/>
    </i>
    <i r="1">
      <x v="294"/>
      <x v="621"/>
    </i>
    <i r="1">
      <x v="298"/>
      <x v="623"/>
    </i>
    <i r="1">
      <x v="301"/>
      <x v="624"/>
    </i>
    <i r="1">
      <x v="311"/>
      <x v="638"/>
    </i>
    <i r="1">
      <x v="316"/>
      <x v="639"/>
    </i>
    <i>
      <x v="48"/>
      <x v="16"/>
      <x v="269"/>
    </i>
    <i r="1">
      <x v="64"/>
      <x v="270"/>
    </i>
    <i r="1">
      <x v="84"/>
      <x v="275"/>
    </i>
    <i r="1">
      <x v="209"/>
      <x v="410"/>
    </i>
    <i r="1">
      <x v="231"/>
      <x v="522"/>
    </i>
  </rowItems>
  <colItems count="1">
    <i/>
  </colItems>
  <formats count="17">
    <format dxfId="16">
      <pivotArea dataOnly="0" labelOnly="1" outline="0" offset="IV12" fieldPosition="0">
        <references count="1">
          <reference field="0" count="1">
            <x v="3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2"/>
          </reference>
          <reference field="1" count="1">
            <x v="243"/>
          </reference>
        </references>
      </pivotArea>
    </format>
    <format dxfId="14">
      <pivotArea dataOnly="0" labelOnly="1" outline="0" offset="IV2" fieldPosition="0">
        <references count="1">
          <reference field="0" count="1">
            <x v="40"/>
          </reference>
        </references>
      </pivotArea>
    </format>
    <format dxfId="13">
      <pivotArea dataOnly="0" labelOnly="1" outline="0" offset="IV256" fieldPosition="0">
        <references count="2">
          <reference field="0" count="1" selected="0">
            <x v="40"/>
          </reference>
          <reference field="1" count="1">
            <x v="156"/>
          </reference>
        </references>
      </pivotArea>
    </format>
    <format dxfId="12">
      <pivotArea dataOnly="0" labelOnly="1" outline="0" fieldPosition="0">
        <references count="3">
          <reference field="0" count="1" selected="0">
            <x v="40"/>
          </reference>
          <reference field="1" count="1" selected="0">
            <x v="156"/>
          </reference>
          <reference field="2" count="1">
            <x v="378"/>
          </reference>
        </references>
      </pivotArea>
    </format>
    <format dxfId="11">
      <pivotArea dataOnly="0" labelOnly="1" outline="0" offset="IV1" fieldPosition="0">
        <references count="1">
          <reference field="0" count="1">
            <x v="40"/>
          </reference>
        </references>
      </pivotArea>
    </format>
    <format dxfId="10">
      <pivotArea dataOnly="0" labelOnly="1" outline="0" offset="IV1" fieldPosition="0">
        <references count="2">
          <reference field="0" count="1" selected="0">
            <x v="40"/>
          </reference>
          <reference field="1" count="1">
            <x v="156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40"/>
          </reference>
          <reference field="1" count="1" selected="0">
            <x v="156"/>
          </reference>
          <reference field="2" count="1">
            <x v="377"/>
          </reference>
        </references>
      </pivotArea>
    </format>
    <format dxfId="8">
      <pivotArea dataOnly="0" labelOnly="1" outline="0" offset="IV12:IV14" fieldPosition="0">
        <references count="1">
          <reference field="0" count="1">
            <x v="32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32"/>
          </reference>
          <reference field="1" count="1">
            <x v="243"/>
          </reference>
        </references>
      </pivotArea>
    </format>
    <format dxfId="6">
      <pivotArea dataOnly="0" labelOnly="1" outline="0" offset="IV12" fieldPosition="0">
        <references count="1">
          <reference field="0" count="1">
            <x v="32"/>
          </reference>
        </references>
      </pivotArea>
    </format>
    <format dxfId="5">
      <pivotArea dataOnly="0" labelOnly="1" outline="0" offset="IV1" fieldPosition="0">
        <references count="2">
          <reference field="0" count="1" selected="0">
            <x v="32"/>
          </reference>
          <reference field="1" count="1">
            <x v="243"/>
          </reference>
        </references>
      </pivotArea>
    </format>
    <format dxfId="4">
      <pivotArea dataOnly="0" labelOnly="1" outline="0" offset="IV1:IV3" fieldPosition="0">
        <references count="1">
          <reference field="0" count="1">
            <x v="40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40"/>
          </reference>
          <reference field="1" count="1">
            <x v="156"/>
          </reference>
        </references>
      </pivotArea>
    </format>
    <format dxfId="2">
      <pivotArea dataOnly="0" labelOnly="1" outline="0" fieldPosition="0">
        <references count="3">
          <reference field="0" count="1" selected="0">
            <x v="40"/>
          </reference>
          <reference field="1" count="1" selected="0">
            <x v="156"/>
          </reference>
          <reference field="2" count="3">
            <x v="377"/>
            <x v="378"/>
            <x v="649"/>
          </reference>
        </references>
      </pivotArea>
    </format>
    <format dxfId="1">
      <pivotArea dataOnly="0" labelOnly="1" outline="0" offset="IV12" fieldPosition="0">
        <references count="1">
          <reference field="0" count="1">
            <x v="32"/>
          </reference>
        </references>
      </pivotArea>
    </format>
    <format dxfId="0">
      <pivotArea dataOnly="0" labelOnly="1" outline="0" offset="IV1" fieldPosition="0">
        <references count="2">
          <reference field="0" count="1" selected="0">
            <x v="32"/>
          </reference>
          <reference field="1" count="1">
            <x v="243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48"/>
  <sheetViews>
    <sheetView tabSelected="1" workbookViewId="0">
      <selection activeCell="D203" sqref="D203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3.140625" customWidth="1"/>
    <col min="4" max="4" width="16.28515625" customWidth="1"/>
  </cols>
  <sheetData>
    <row r="1" spans="1:1" x14ac:dyDescent="0.25">
      <c r="A1" s="2" t="s">
        <v>845</v>
      </c>
    </row>
    <row r="3" spans="1:1" x14ac:dyDescent="0.25">
      <c r="A3" s="2" t="s">
        <v>855</v>
      </c>
    </row>
    <row r="4" spans="1:1" x14ac:dyDescent="0.25">
      <c r="A4" t="s">
        <v>849</v>
      </c>
    </row>
    <row r="5" spans="1:1" x14ac:dyDescent="0.25">
      <c r="A5" t="s">
        <v>908</v>
      </c>
    </row>
    <row r="7" spans="1:1" x14ac:dyDescent="0.25">
      <c r="A7" t="s">
        <v>846</v>
      </c>
    </row>
    <row r="8" spans="1:1" x14ac:dyDescent="0.25">
      <c r="A8" t="s">
        <v>847</v>
      </c>
    </row>
    <row r="9" spans="1:1" x14ac:dyDescent="0.25">
      <c r="A9" t="s">
        <v>854</v>
      </c>
    </row>
    <row r="11" spans="1:1" x14ac:dyDescent="0.25">
      <c r="A11" t="s">
        <v>857</v>
      </c>
    </row>
    <row r="12" spans="1:1" x14ac:dyDescent="0.25">
      <c r="A12" t="s">
        <v>848</v>
      </c>
    </row>
    <row r="14" spans="1:1" x14ac:dyDescent="0.25">
      <c r="A14" s="2" t="s">
        <v>856</v>
      </c>
    </row>
    <row r="15" spans="1:1" x14ac:dyDescent="0.25">
      <c r="A15" t="s">
        <v>850</v>
      </c>
    </row>
    <row r="16" spans="1:1" x14ac:dyDescent="0.25">
      <c r="A16" t="s">
        <v>851</v>
      </c>
    </row>
    <row r="17" spans="1:4" x14ac:dyDescent="0.25">
      <c r="A17" t="s">
        <v>852</v>
      </c>
    </row>
    <row r="18" spans="1:4" x14ac:dyDescent="0.25">
      <c r="A18" t="s">
        <v>853</v>
      </c>
    </row>
    <row r="20" spans="1:4" x14ac:dyDescent="0.25">
      <c r="A20" t="s">
        <v>907</v>
      </c>
    </row>
    <row r="21" spans="1:4" x14ac:dyDescent="0.25">
      <c r="A21" t="s">
        <v>906</v>
      </c>
    </row>
    <row r="24" spans="1:4" x14ac:dyDescent="0.25">
      <c r="A24" s="1" t="s">
        <v>840</v>
      </c>
      <c r="B24" s="1" t="s">
        <v>841</v>
      </c>
      <c r="C24" s="1" t="s">
        <v>842</v>
      </c>
      <c r="D24" s="4" t="s">
        <v>843</v>
      </c>
    </row>
    <row r="25" spans="1:4" x14ac:dyDescent="0.25">
      <c r="A25" t="s">
        <v>3</v>
      </c>
      <c r="B25" t="s">
        <v>935</v>
      </c>
      <c r="C25" t="s">
        <v>936</v>
      </c>
      <c r="D25">
        <v>1</v>
      </c>
    </row>
    <row r="26" spans="1:4" x14ac:dyDescent="0.25">
      <c r="A26" t="s">
        <v>3</v>
      </c>
      <c r="B26" t="s">
        <v>4</v>
      </c>
      <c r="C26" t="s">
        <v>6</v>
      </c>
      <c r="D26">
        <v>1</v>
      </c>
    </row>
    <row r="27" spans="1:4" x14ac:dyDescent="0.25">
      <c r="A27" t="s">
        <v>3</v>
      </c>
      <c r="B27" t="s">
        <v>7</v>
      </c>
      <c r="C27" t="s">
        <v>8</v>
      </c>
      <c r="D27">
        <v>1</v>
      </c>
    </row>
    <row r="28" spans="1:4" x14ac:dyDescent="0.25">
      <c r="A28" t="s">
        <v>10</v>
      </c>
      <c r="B28" t="s">
        <v>11</v>
      </c>
      <c r="C28" t="s">
        <v>15</v>
      </c>
      <c r="D28">
        <v>1</v>
      </c>
    </row>
    <row r="29" spans="1:4" x14ac:dyDescent="0.25">
      <c r="A29" t="s">
        <v>10</v>
      </c>
      <c r="B29" t="s">
        <v>16</v>
      </c>
      <c r="C29" t="s">
        <v>17</v>
      </c>
      <c r="D29">
        <v>1</v>
      </c>
    </row>
    <row r="30" spans="1:4" x14ac:dyDescent="0.25">
      <c r="A30" t="s">
        <v>10</v>
      </c>
      <c r="B30" t="s">
        <v>33</v>
      </c>
      <c r="C30" t="s">
        <v>34</v>
      </c>
      <c r="D30">
        <v>1</v>
      </c>
    </row>
    <row r="31" spans="1:4" x14ac:dyDescent="0.25">
      <c r="A31" t="s">
        <v>10</v>
      </c>
      <c r="B31" t="s">
        <v>41</v>
      </c>
      <c r="C31" t="s">
        <v>42</v>
      </c>
      <c r="D31">
        <v>1</v>
      </c>
    </row>
    <row r="32" spans="1:4" x14ac:dyDescent="0.25">
      <c r="A32" t="s">
        <v>10</v>
      </c>
      <c r="B32" t="s">
        <v>46</v>
      </c>
      <c r="C32" t="s">
        <v>47</v>
      </c>
      <c r="D32">
        <v>1</v>
      </c>
    </row>
    <row r="33" spans="1:4" x14ac:dyDescent="0.25">
      <c r="A33" t="s">
        <v>10</v>
      </c>
      <c r="B33" t="s">
        <v>50</v>
      </c>
      <c r="C33" t="s">
        <v>52</v>
      </c>
      <c r="D33">
        <v>1</v>
      </c>
    </row>
    <row r="34" spans="1:4" x14ac:dyDescent="0.25">
      <c r="A34" t="s">
        <v>10</v>
      </c>
      <c r="B34" t="s">
        <v>53</v>
      </c>
      <c r="C34" t="s">
        <v>54</v>
      </c>
      <c r="D34">
        <v>1</v>
      </c>
    </row>
    <row r="35" spans="1:4" x14ac:dyDescent="0.25">
      <c r="A35" t="s">
        <v>10</v>
      </c>
      <c r="B35" t="s">
        <v>55</v>
      </c>
      <c r="C35" t="s">
        <v>56</v>
      </c>
      <c r="D35">
        <v>1</v>
      </c>
    </row>
    <row r="36" spans="1:4" x14ac:dyDescent="0.25">
      <c r="A36" t="s">
        <v>10</v>
      </c>
      <c r="B36" t="s">
        <v>58</v>
      </c>
      <c r="C36" t="s">
        <v>60</v>
      </c>
      <c r="D36">
        <v>1</v>
      </c>
    </row>
    <row r="37" spans="1:4" x14ac:dyDescent="0.25">
      <c r="A37" t="s">
        <v>10</v>
      </c>
      <c r="B37" t="s">
        <v>61</v>
      </c>
      <c r="C37" t="s">
        <v>62</v>
      </c>
      <c r="D37">
        <v>1</v>
      </c>
    </row>
    <row r="38" spans="1:4" x14ac:dyDescent="0.25">
      <c r="A38" t="s">
        <v>10</v>
      </c>
      <c r="B38" t="s">
        <v>64</v>
      </c>
      <c r="C38" t="s">
        <v>65</v>
      </c>
      <c r="D38">
        <v>1</v>
      </c>
    </row>
    <row r="39" spans="1:4" x14ac:dyDescent="0.25">
      <c r="A39" t="s">
        <v>10</v>
      </c>
      <c r="B39" t="s">
        <v>67</v>
      </c>
      <c r="C39" t="s">
        <v>68</v>
      </c>
      <c r="D39">
        <v>1</v>
      </c>
    </row>
    <row r="40" spans="1:4" x14ac:dyDescent="0.25">
      <c r="A40" t="s">
        <v>10</v>
      </c>
      <c r="B40" t="s">
        <v>70</v>
      </c>
      <c r="C40" t="s">
        <v>71</v>
      </c>
      <c r="D40">
        <v>1</v>
      </c>
    </row>
    <row r="41" spans="1:4" x14ac:dyDescent="0.25">
      <c r="A41" t="s">
        <v>10</v>
      </c>
      <c r="B41" t="s">
        <v>73</v>
      </c>
      <c r="C41" t="s">
        <v>75</v>
      </c>
      <c r="D41">
        <v>1</v>
      </c>
    </row>
    <row r="42" spans="1:4" x14ac:dyDescent="0.25">
      <c r="A42" t="s">
        <v>10</v>
      </c>
      <c r="B42" t="s">
        <v>1100</v>
      </c>
      <c r="C42" t="s">
        <v>1110</v>
      </c>
      <c r="D42">
        <v>1</v>
      </c>
    </row>
    <row r="43" spans="1:4" x14ac:dyDescent="0.25">
      <c r="A43" t="s">
        <v>10</v>
      </c>
      <c r="B43" t="s">
        <v>76</v>
      </c>
      <c r="C43" t="s">
        <v>77</v>
      </c>
      <c r="D43">
        <v>1</v>
      </c>
    </row>
    <row r="44" spans="1:4" x14ac:dyDescent="0.25">
      <c r="A44" t="s">
        <v>10</v>
      </c>
      <c r="B44" t="s">
        <v>79</v>
      </c>
      <c r="C44" t="s">
        <v>81</v>
      </c>
      <c r="D44">
        <v>1</v>
      </c>
    </row>
    <row r="45" spans="1:4" x14ac:dyDescent="0.25">
      <c r="A45" t="s">
        <v>10</v>
      </c>
      <c r="B45" t="s">
        <v>82</v>
      </c>
      <c r="C45" t="s">
        <v>83</v>
      </c>
      <c r="D45">
        <v>1</v>
      </c>
    </row>
    <row r="46" spans="1:4" x14ac:dyDescent="0.25">
      <c r="A46" t="s">
        <v>10</v>
      </c>
      <c r="B46" t="s">
        <v>85</v>
      </c>
      <c r="C46" t="s">
        <v>86</v>
      </c>
      <c r="D46">
        <v>1</v>
      </c>
    </row>
    <row r="47" spans="1:4" x14ac:dyDescent="0.25">
      <c r="A47" t="s">
        <v>10</v>
      </c>
      <c r="B47" t="s">
        <v>88</v>
      </c>
      <c r="C47" t="s">
        <v>89</v>
      </c>
      <c r="D47">
        <v>1</v>
      </c>
    </row>
    <row r="48" spans="1:4" x14ac:dyDescent="0.25">
      <c r="A48" t="s">
        <v>10</v>
      </c>
      <c r="B48" t="s">
        <v>91</v>
      </c>
      <c r="C48" t="s">
        <v>93</v>
      </c>
      <c r="D48">
        <v>1</v>
      </c>
    </row>
    <row r="49" spans="1:4" x14ac:dyDescent="0.25">
      <c r="A49" t="s">
        <v>10</v>
      </c>
      <c r="B49" t="s">
        <v>952</v>
      </c>
      <c r="C49" t="s">
        <v>953</v>
      </c>
      <c r="D49">
        <v>1</v>
      </c>
    </row>
    <row r="50" spans="1:4" x14ac:dyDescent="0.25">
      <c r="A50" t="s">
        <v>10</v>
      </c>
      <c r="B50" t="s">
        <v>955</v>
      </c>
      <c r="C50" t="s">
        <v>956</v>
      </c>
      <c r="D50">
        <v>1</v>
      </c>
    </row>
    <row r="51" spans="1:4" x14ac:dyDescent="0.25">
      <c r="A51" t="s">
        <v>10</v>
      </c>
      <c r="B51" t="s">
        <v>94</v>
      </c>
      <c r="C51" t="s">
        <v>95</v>
      </c>
      <c r="D51">
        <v>1</v>
      </c>
    </row>
    <row r="52" spans="1:4" x14ac:dyDescent="0.25">
      <c r="A52" t="s">
        <v>10</v>
      </c>
      <c r="B52" t="s">
        <v>960</v>
      </c>
      <c r="C52" t="s">
        <v>961</v>
      </c>
      <c r="D52">
        <v>1</v>
      </c>
    </row>
    <row r="53" spans="1:4" x14ac:dyDescent="0.25">
      <c r="A53" t="s">
        <v>10</v>
      </c>
      <c r="B53" t="s">
        <v>965</v>
      </c>
      <c r="C53" t="s">
        <v>966</v>
      </c>
      <c r="D53">
        <v>1</v>
      </c>
    </row>
    <row r="54" spans="1:4" x14ac:dyDescent="0.25">
      <c r="A54" t="s">
        <v>97</v>
      </c>
      <c r="B54" t="s">
        <v>909</v>
      </c>
      <c r="C54" t="s">
        <v>910</v>
      </c>
      <c r="D54">
        <v>1</v>
      </c>
    </row>
    <row r="55" spans="1:4" x14ac:dyDescent="0.25">
      <c r="A55" t="s">
        <v>97</v>
      </c>
      <c r="B55" t="s">
        <v>98</v>
      </c>
      <c r="C55" t="s">
        <v>968</v>
      </c>
      <c r="D55">
        <v>1</v>
      </c>
    </row>
    <row r="56" spans="1:4" x14ac:dyDescent="0.25">
      <c r="A56" t="s">
        <v>97</v>
      </c>
      <c r="B56" t="s">
        <v>912</v>
      </c>
      <c r="C56" t="s">
        <v>913</v>
      </c>
      <c r="D56">
        <v>1</v>
      </c>
    </row>
    <row r="57" spans="1:4" x14ac:dyDescent="0.25">
      <c r="A57" t="s">
        <v>102</v>
      </c>
      <c r="B57" t="s">
        <v>103</v>
      </c>
      <c r="C57" t="s">
        <v>104</v>
      </c>
      <c r="D57">
        <v>1</v>
      </c>
    </row>
    <row r="58" spans="1:4" x14ac:dyDescent="0.25">
      <c r="A58" t="s">
        <v>102</v>
      </c>
      <c r="B58" t="s">
        <v>969</v>
      </c>
      <c r="C58" t="s">
        <v>971</v>
      </c>
      <c r="D58">
        <v>1</v>
      </c>
    </row>
    <row r="59" spans="1:4" x14ac:dyDescent="0.25">
      <c r="A59" t="s">
        <v>1129</v>
      </c>
      <c r="B59" t="s">
        <v>975</v>
      </c>
      <c r="C59" t="s">
        <v>977</v>
      </c>
      <c r="D59">
        <v>1</v>
      </c>
    </row>
    <row r="60" spans="1:4" x14ac:dyDescent="0.25">
      <c r="A60" t="s">
        <v>916</v>
      </c>
      <c r="B60" t="s">
        <v>474</v>
      </c>
      <c r="C60" t="s">
        <v>476</v>
      </c>
      <c r="D60">
        <v>1</v>
      </c>
    </row>
    <row r="61" spans="1:4" x14ac:dyDescent="0.25">
      <c r="A61" t="s">
        <v>916</v>
      </c>
      <c r="B61" t="s">
        <v>972</v>
      </c>
      <c r="C61" t="s">
        <v>974</v>
      </c>
      <c r="D61">
        <v>1</v>
      </c>
    </row>
    <row r="62" spans="1:4" x14ac:dyDescent="0.25">
      <c r="A62" t="s">
        <v>916</v>
      </c>
      <c r="B62" t="s">
        <v>477</v>
      </c>
      <c r="C62" t="s">
        <v>479</v>
      </c>
      <c r="D62">
        <v>1</v>
      </c>
    </row>
    <row r="63" spans="1:4" x14ac:dyDescent="0.25">
      <c r="A63" t="s">
        <v>916</v>
      </c>
      <c r="B63" t="s">
        <v>917</v>
      </c>
      <c r="C63" t="s">
        <v>918</v>
      </c>
      <c r="D63">
        <v>1</v>
      </c>
    </row>
    <row r="64" spans="1:4" x14ac:dyDescent="0.25">
      <c r="A64" t="s">
        <v>916</v>
      </c>
      <c r="B64" t="s">
        <v>481</v>
      </c>
      <c r="C64" t="s">
        <v>483</v>
      </c>
      <c r="D64">
        <v>1</v>
      </c>
    </row>
    <row r="65" spans="1:4" x14ac:dyDescent="0.25">
      <c r="A65" t="s">
        <v>916</v>
      </c>
      <c r="B65" t="s">
        <v>484</v>
      </c>
      <c r="C65" t="s">
        <v>485</v>
      </c>
      <c r="D65">
        <v>1</v>
      </c>
    </row>
    <row r="66" spans="1:4" x14ac:dyDescent="0.25">
      <c r="A66" t="s">
        <v>916</v>
      </c>
      <c r="B66" t="s">
        <v>919</v>
      </c>
      <c r="C66" t="s">
        <v>920</v>
      </c>
      <c r="D66">
        <v>1</v>
      </c>
    </row>
    <row r="67" spans="1:4" x14ac:dyDescent="0.25">
      <c r="A67" t="s">
        <v>916</v>
      </c>
      <c r="B67" t="s">
        <v>922</v>
      </c>
      <c r="C67" t="s">
        <v>923</v>
      </c>
      <c r="D67">
        <v>1</v>
      </c>
    </row>
    <row r="68" spans="1:4" x14ac:dyDescent="0.25">
      <c r="A68" t="s">
        <v>916</v>
      </c>
      <c r="B68" t="s">
        <v>1033</v>
      </c>
      <c r="C68" t="s">
        <v>1034</v>
      </c>
      <c r="D68">
        <v>1</v>
      </c>
    </row>
    <row r="69" spans="1:4" x14ac:dyDescent="0.25">
      <c r="A69" t="s">
        <v>1131</v>
      </c>
      <c r="B69" t="s">
        <v>975</v>
      </c>
      <c r="C69" t="s">
        <v>977</v>
      </c>
      <c r="D69">
        <v>1</v>
      </c>
    </row>
    <row r="70" spans="1:4" x14ac:dyDescent="0.25">
      <c r="A70" t="s">
        <v>106</v>
      </c>
      <c r="B70" t="s">
        <v>107</v>
      </c>
      <c r="C70" t="s">
        <v>108</v>
      </c>
      <c r="D70">
        <v>1</v>
      </c>
    </row>
    <row r="71" spans="1:4" x14ac:dyDescent="0.25">
      <c r="A71" t="s">
        <v>106</v>
      </c>
      <c r="B71" t="s">
        <v>110</v>
      </c>
      <c r="C71" t="s">
        <v>111</v>
      </c>
      <c r="D71">
        <v>1</v>
      </c>
    </row>
    <row r="72" spans="1:4" x14ac:dyDescent="0.25">
      <c r="A72" t="s">
        <v>106</v>
      </c>
      <c r="B72" t="s">
        <v>113</v>
      </c>
      <c r="C72" t="s">
        <v>114</v>
      </c>
      <c r="D72">
        <v>1</v>
      </c>
    </row>
    <row r="73" spans="1:4" x14ac:dyDescent="0.25">
      <c r="A73" t="s">
        <v>106</v>
      </c>
      <c r="B73" t="s">
        <v>116</v>
      </c>
      <c r="C73" t="s">
        <v>117</v>
      </c>
      <c r="D73">
        <v>1</v>
      </c>
    </row>
    <row r="74" spans="1:4" x14ac:dyDescent="0.25">
      <c r="A74" t="s">
        <v>119</v>
      </c>
      <c r="B74" t="s">
        <v>120</v>
      </c>
      <c r="C74" t="s">
        <v>121</v>
      </c>
      <c r="D74">
        <v>1</v>
      </c>
    </row>
    <row r="75" spans="1:4" x14ac:dyDescent="0.25">
      <c r="A75" t="s">
        <v>119</v>
      </c>
      <c r="B75" t="s">
        <v>123</v>
      </c>
      <c r="C75" t="s">
        <v>124</v>
      </c>
      <c r="D75">
        <v>1</v>
      </c>
    </row>
    <row r="76" spans="1:4" x14ac:dyDescent="0.25">
      <c r="A76" t="s">
        <v>119</v>
      </c>
      <c r="B76" t="s">
        <v>126</v>
      </c>
      <c r="C76" t="s">
        <v>127</v>
      </c>
      <c r="D76">
        <v>1</v>
      </c>
    </row>
    <row r="77" spans="1:4" x14ac:dyDescent="0.25">
      <c r="A77" t="s">
        <v>119</v>
      </c>
      <c r="B77" t="s">
        <v>129</v>
      </c>
      <c r="C77" t="s">
        <v>130</v>
      </c>
      <c r="D77">
        <v>1</v>
      </c>
    </row>
    <row r="78" spans="1:4" x14ac:dyDescent="0.25">
      <c r="A78" t="s">
        <v>119</v>
      </c>
      <c r="B78" t="s">
        <v>132</v>
      </c>
      <c r="C78" t="s">
        <v>134</v>
      </c>
      <c r="D78">
        <v>1</v>
      </c>
    </row>
    <row r="79" spans="1:4" x14ac:dyDescent="0.25">
      <c r="A79" t="s">
        <v>119</v>
      </c>
      <c r="B79" t="s">
        <v>135</v>
      </c>
      <c r="C79" t="s">
        <v>136</v>
      </c>
      <c r="D79">
        <v>1</v>
      </c>
    </row>
    <row r="80" spans="1:4" x14ac:dyDescent="0.25">
      <c r="A80" t="s">
        <v>119</v>
      </c>
      <c r="B80" t="s">
        <v>140</v>
      </c>
      <c r="C80" t="s">
        <v>141</v>
      </c>
      <c r="D80">
        <v>1</v>
      </c>
    </row>
    <row r="81" spans="1:4" x14ac:dyDescent="0.25">
      <c r="A81" t="s">
        <v>119</v>
      </c>
      <c r="B81" t="s">
        <v>143</v>
      </c>
      <c r="C81" t="s">
        <v>144</v>
      </c>
      <c r="D81">
        <v>1</v>
      </c>
    </row>
    <row r="82" spans="1:4" x14ac:dyDescent="0.25">
      <c r="A82" t="s">
        <v>119</v>
      </c>
      <c r="B82" t="s">
        <v>146</v>
      </c>
      <c r="C82" t="s">
        <v>147</v>
      </c>
      <c r="D82">
        <v>1</v>
      </c>
    </row>
    <row r="83" spans="1:4" x14ac:dyDescent="0.25">
      <c r="A83" t="s">
        <v>119</v>
      </c>
      <c r="B83" t="s">
        <v>149</v>
      </c>
      <c r="C83" t="s">
        <v>150</v>
      </c>
      <c r="D83">
        <v>1</v>
      </c>
    </row>
    <row r="84" spans="1:4" x14ac:dyDescent="0.25">
      <c r="A84" t="s">
        <v>119</v>
      </c>
      <c r="B84" t="s">
        <v>153</v>
      </c>
      <c r="C84" t="s">
        <v>154</v>
      </c>
      <c r="D84">
        <v>1</v>
      </c>
    </row>
    <row r="85" spans="1:4" x14ac:dyDescent="0.25">
      <c r="A85" t="s">
        <v>119</v>
      </c>
      <c r="B85" t="s">
        <v>156</v>
      </c>
      <c r="C85" t="s">
        <v>157</v>
      </c>
      <c r="D85">
        <v>1</v>
      </c>
    </row>
    <row r="86" spans="1:4" x14ac:dyDescent="0.25">
      <c r="A86" t="s">
        <v>119</v>
      </c>
      <c r="B86" t="s">
        <v>159</v>
      </c>
      <c r="C86" t="s">
        <v>160</v>
      </c>
      <c r="D86">
        <v>1</v>
      </c>
    </row>
    <row r="87" spans="1:4" x14ac:dyDescent="0.25">
      <c r="A87" t="s">
        <v>119</v>
      </c>
      <c r="B87" t="s">
        <v>162</v>
      </c>
      <c r="C87" t="s">
        <v>163</v>
      </c>
      <c r="D87">
        <v>1</v>
      </c>
    </row>
    <row r="88" spans="1:4" x14ac:dyDescent="0.25">
      <c r="A88" t="s">
        <v>119</v>
      </c>
      <c r="B88" t="s">
        <v>165</v>
      </c>
      <c r="C88" t="s">
        <v>166</v>
      </c>
      <c r="D88">
        <v>1</v>
      </c>
    </row>
    <row r="89" spans="1:4" x14ac:dyDescent="0.25">
      <c r="A89" t="s">
        <v>119</v>
      </c>
      <c r="B89" t="s">
        <v>168</v>
      </c>
      <c r="C89" t="s">
        <v>169</v>
      </c>
      <c r="D89">
        <v>1</v>
      </c>
    </row>
    <row r="90" spans="1:4" x14ac:dyDescent="0.25">
      <c r="A90" t="s">
        <v>119</v>
      </c>
      <c r="B90" t="s">
        <v>173</v>
      </c>
      <c r="C90" t="s">
        <v>175</v>
      </c>
      <c r="D90">
        <v>1</v>
      </c>
    </row>
    <row r="91" spans="1:4" x14ac:dyDescent="0.25">
      <c r="A91" t="s">
        <v>119</v>
      </c>
      <c r="B91" t="s">
        <v>176</v>
      </c>
      <c r="C91" t="s">
        <v>177</v>
      </c>
      <c r="D91">
        <v>1</v>
      </c>
    </row>
    <row r="92" spans="1:4" x14ac:dyDescent="0.25">
      <c r="A92" t="s">
        <v>119</v>
      </c>
      <c r="B92" t="s">
        <v>179</v>
      </c>
      <c r="C92" t="s">
        <v>180</v>
      </c>
      <c r="D92">
        <v>1</v>
      </c>
    </row>
    <row r="93" spans="1:4" x14ac:dyDescent="0.25">
      <c r="A93" t="s">
        <v>119</v>
      </c>
      <c r="B93" t="s">
        <v>183</v>
      </c>
      <c r="C93" t="s">
        <v>184</v>
      </c>
      <c r="D93">
        <v>1</v>
      </c>
    </row>
    <row r="94" spans="1:4" x14ac:dyDescent="0.25">
      <c r="A94" t="s">
        <v>119</v>
      </c>
      <c r="B94" t="s">
        <v>187</v>
      </c>
      <c r="C94" t="s">
        <v>190</v>
      </c>
      <c r="D94">
        <v>1</v>
      </c>
    </row>
    <row r="95" spans="1:4" x14ac:dyDescent="0.25">
      <c r="A95" t="s">
        <v>119</v>
      </c>
      <c r="B95" t="s">
        <v>1036</v>
      </c>
      <c r="C95" t="s">
        <v>1041</v>
      </c>
      <c r="D95">
        <v>1</v>
      </c>
    </row>
    <row r="96" spans="1:4" x14ac:dyDescent="0.25">
      <c r="A96" t="s">
        <v>119</v>
      </c>
      <c r="B96" t="s">
        <v>873</v>
      </c>
      <c r="C96" t="s">
        <v>874</v>
      </c>
      <c r="D96">
        <v>1</v>
      </c>
    </row>
    <row r="97" spans="1:4" x14ac:dyDescent="0.25">
      <c r="A97" t="s">
        <v>119</v>
      </c>
      <c r="B97" t="s">
        <v>932</v>
      </c>
      <c r="C97" t="s">
        <v>933</v>
      </c>
      <c r="D97">
        <v>1</v>
      </c>
    </row>
    <row r="98" spans="1:4" x14ac:dyDescent="0.25">
      <c r="A98" t="s">
        <v>119</v>
      </c>
      <c r="B98" t="s">
        <v>191</v>
      </c>
      <c r="C98" t="s">
        <v>193</v>
      </c>
      <c r="D98">
        <v>1</v>
      </c>
    </row>
    <row r="99" spans="1:4" x14ac:dyDescent="0.25">
      <c r="A99" t="s">
        <v>119</v>
      </c>
      <c r="B99" t="s">
        <v>194</v>
      </c>
      <c r="C99" t="s">
        <v>195</v>
      </c>
      <c r="D99">
        <v>1</v>
      </c>
    </row>
    <row r="100" spans="1:4" x14ac:dyDescent="0.25">
      <c r="A100" t="s">
        <v>119</v>
      </c>
      <c r="B100" t="s">
        <v>207</v>
      </c>
      <c r="C100" t="s">
        <v>208</v>
      </c>
      <c r="D100">
        <v>1</v>
      </c>
    </row>
    <row r="101" spans="1:4" x14ac:dyDescent="0.25">
      <c r="A101" t="s">
        <v>119</v>
      </c>
      <c r="B101" t="s">
        <v>876</v>
      </c>
      <c r="C101" t="s">
        <v>878</v>
      </c>
      <c r="D101">
        <v>1</v>
      </c>
    </row>
    <row r="102" spans="1:4" x14ac:dyDescent="0.25">
      <c r="A102" t="s">
        <v>119</v>
      </c>
      <c r="B102" t="s">
        <v>210</v>
      </c>
      <c r="C102" t="s">
        <v>212</v>
      </c>
      <c r="D102">
        <v>1</v>
      </c>
    </row>
    <row r="103" spans="1:4" x14ac:dyDescent="0.25">
      <c r="A103" t="s">
        <v>119</v>
      </c>
      <c r="B103" t="s">
        <v>213</v>
      </c>
      <c r="C103" t="s">
        <v>214</v>
      </c>
      <c r="D103">
        <v>1</v>
      </c>
    </row>
    <row r="104" spans="1:4" x14ac:dyDescent="0.25">
      <c r="A104" t="s">
        <v>119</v>
      </c>
      <c r="B104" t="s">
        <v>216</v>
      </c>
      <c r="C104" t="s">
        <v>217</v>
      </c>
      <c r="D104">
        <v>1</v>
      </c>
    </row>
    <row r="105" spans="1:4" x14ac:dyDescent="0.25">
      <c r="A105" t="s">
        <v>119</v>
      </c>
      <c r="B105" t="s">
        <v>219</v>
      </c>
      <c r="C105" t="s">
        <v>220</v>
      </c>
      <c r="D105">
        <v>1</v>
      </c>
    </row>
    <row r="106" spans="1:4" x14ac:dyDescent="0.25">
      <c r="A106" t="s">
        <v>119</v>
      </c>
      <c r="B106" t="s">
        <v>222</v>
      </c>
      <c r="C106" t="s">
        <v>224</v>
      </c>
      <c r="D106">
        <v>1</v>
      </c>
    </row>
    <row r="107" spans="1:4" x14ac:dyDescent="0.25">
      <c r="A107" t="s">
        <v>119</v>
      </c>
      <c r="B107" t="s">
        <v>225</v>
      </c>
      <c r="C107" t="s">
        <v>226</v>
      </c>
      <c r="D107">
        <v>1</v>
      </c>
    </row>
    <row r="108" spans="1:4" x14ac:dyDescent="0.25">
      <c r="A108" t="s">
        <v>119</v>
      </c>
      <c r="B108" t="s">
        <v>228</v>
      </c>
      <c r="C108" t="s">
        <v>229</v>
      </c>
      <c r="D108">
        <v>1</v>
      </c>
    </row>
    <row r="109" spans="1:4" x14ac:dyDescent="0.25">
      <c r="A109" t="s">
        <v>119</v>
      </c>
      <c r="B109" t="s">
        <v>231</v>
      </c>
      <c r="C109" t="s">
        <v>233</v>
      </c>
      <c r="D109">
        <v>1</v>
      </c>
    </row>
    <row r="110" spans="1:4" x14ac:dyDescent="0.25">
      <c r="A110" t="s">
        <v>119</v>
      </c>
      <c r="B110" t="s">
        <v>234</v>
      </c>
      <c r="C110" t="s">
        <v>235</v>
      </c>
      <c r="D110">
        <v>1</v>
      </c>
    </row>
    <row r="111" spans="1:4" x14ac:dyDescent="0.25">
      <c r="A111" t="s">
        <v>119</v>
      </c>
      <c r="B111" t="s">
        <v>237</v>
      </c>
      <c r="C111" t="s">
        <v>238</v>
      </c>
      <c r="D111">
        <v>1</v>
      </c>
    </row>
    <row r="112" spans="1:4" x14ac:dyDescent="0.25">
      <c r="A112" t="s">
        <v>119</v>
      </c>
      <c r="B112" t="s">
        <v>240</v>
      </c>
      <c r="C112" t="s">
        <v>241</v>
      </c>
      <c r="D112">
        <v>1</v>
      </c>
    </row>
    <row r="113" spans="1:4" x14ac:dyDescent="0.25">
      <c r="A113" t="s">
        <v>119</v>
      </c>
      <c r="B113" t="s">
        <v>981</v>
      </c>
      <c r="C113" t="s">
        <v>982</v>
      </c>
      <c r="D113">
        <v>1</v>
      </c>
    </row>
    <row r="114" spans="1:4" x14ac:dyDescent="0.25">
      <c r="A114" t="s">
        <v>119</v>
      </c>
      <c r="B114" t="s">
        <v>244</v>
      </c>
      <c r="C114" t="s">
        <v>245</v>
      </c>
      <c r="D114">
        <v>1</v>
      </c>
    </row>
    <row r="115" spans="1:4" x14ac:dyDescent="0.25">
      <c r="A115" t="s">
        <v>119</v>
      </c>
      <c r="B115" t="s">
        <v>248</v>
      </c>
      <c r="C115" t="s">
        <v>250</v>
      </c>
      <c r="D115">
        <v>1</v>
      </c>
    </row>
    <row r="116" spans="1:4" x14ac:dyDescent="0.25">
      <c r="A116" t="s">
        <v>119</v>
      </c>
      <c r="B116" t="s">
        <v>251</v>
      </c>
      <c r="C116" t="s">
        <v>253</v>
      </c>
      <c r="D116">
        <v>1</v>
      </c>
    </row>
    <row r="117" spans="1:4" x14ac:dyDescent="0.25">
      <c r="A117" t="s">
        <v>119</v>
      </c>
      <c r="B117" t="s">
        <v>254</v>
      </c>
      <c r="C117" t="s">
        <v>255</v>
      </c>
      <c r="D117">
        <v>1</v>
      </c>
    </row>
    <row r="118" spans="1:4" x14ac:dyDescent="0.25">
      <c r="A118" t="s">
        <v>258</v>
      </c>
      <c r="B118" t="s">
        <v>259</v>
      </c>
      <c r="C118" t="s">
        <v>260</v>
      </c>
      <c r="D118">
        <v>1</v>
      </c>
    </row>
    <row r="119" spans="1:4" x14ac:dyDescent="0.25">
      <c r="A119" t="s">
        <v>258</v>
      </c>
      <c r="B119" t="s">
        <v>263</v>
      </c>
      <c r="C119" t="s">
        <v>264</v>
      </c>
      <c r="D119">
        <v>1</v>
      </c>
    </row>
    <row r="120" spans="1:4" x14ac:dyDescent="0.25">
      <c r="A120" t="s">
        <v>258</v>
      </c>
      <c r="B120" t="s">
        <v>266</v>
      </c>
      <c r="C120" t="s">
        <v>267</v>
      </c>
      <c r="D120">
        <v>1</v>
      </c>
    </row>
    <row r="121" spans="1:4" x14ac:dyDescent="0.25">
      <c r="A121" t="s">
        <v>258</v>
      </c>
      <c r="B121" t="s">
        <v>269</v>
      </c>
      <c r="C121" t="s">
        <v>270</v>
      </c>
      <c r="D121">
        <v>1</v>
      </c>
    </row>
    <row r="122" spans="1:4" x14ac:dyDescent="0.25">
      <c r="A122" t="s">
        <v>258</v>
      </c>
      <c r="B122" t="s">
        <v>987</v>
      </c>
      <c r="C122" t="s">
        <v>989</v>
      </c>
      <c r="D122">
        <v>1</v>
      </c>
    </row>
    <row r="123" spans="1:4" x14ac:dyDescent="0.25">
      <c r="A123" t="s">
        <v>258</v>
      </c>
      <c r="B123" t="s">
        <v>272</v>
      </c>
      <c r="C123" t="s">
        <v>274</v>
      </c>
      <c r="D123">
        <v>1</v>
      </c>
    </row>
    <row r="124" spans="1:4" x14ac:dyDescent="0.25">
      <c r="A124" t="s">
        <v>258</v>
      </c>
      <c r="B124" t="s">
        <v>275</v>
      </c>
      <c r="C124" t="s">
        <v>277</v>
      </c>
      <c r="D124">
        <v>1</v>
      </c>
    </row>
    <row r="125" spans="1:4" x14ac:dyDescent="0.25">
      <c r="A125" t="s">
        <v>258</v>
      </c>
      <c r="B125" t="s">
        <v>278</v>
      </c>
      <c r="C125" t="s">
        <v>280</v>
      </c>
      <c r="D125">
        <v>1</v>
      </c>
    </row>
    <row r="126" spans="1:4" x14ac:dyDescent="0.25">
      <c r="A126" t="s">
        <v>258</v>
      </c>
      <c r="B126" t="s">
        <v>281</v>
      </c>
      <c r="C126" t="s">
        <v>283</v>
      </c>
      <c r="D126">
        <v>1</v>
      </c>
    </row>
    <row r="127" spans="1:4" x14ac:dyDescent="0.25">
      <c r="A127" t="s">
        <v>284</v>
      </c>
      <c r="B127" t="s">
        <v>1042</v>
      </c>
      <c r="C127" t="s">
        <v>1043</v>
      </c>
      <c r="D127">
        <v>1</v>
      </c>
    </row>
    <row r="128" spans="1:4" x14ac:dyDescent="0.25">
      <c r="A128" t="s">
        <v>284</v>
      </c>
      <c r="B128" t="s">
        <v>1132</v>
      </c>
      <c r="C128" t="s">
        <v>1133</v>
      </c>
      <c r="D128">
        <v>1</v>
      </c>
    </row>
    <row r="129" spans="1:4" x14ac:dyDescent="0.25">
      <c r="A129" t="s">
        <v>284</v>
      </c>
      <c r="B129" t="s">
        <v>1045</v>
      </c>
      <c r="C129" t="s">
        <v>1046</v>
      </c>
      <c r="D129">
        <v>1</v>
      </c>
    </row>
    <row r="130" spans="1:4" x14ac:dyDescent="0.25">
      <c r="A130" t="s">
        <v>284</v>
      </c>
      <c r="B130" t="s">
        <v>1045</v>
      </c>
      <c r="C130" t="s">
        <v>1155</v>
      </c>
      <c r="D130">
        <v>1</v>
      </c>
    </row>
    <row r="131" spans="1:4" x14ac:dyDescent="0.25">
      <c r="A131" t="s">
        <v>284</v>
      </c>
      <c r="B131" t="s">
        <v>285</v>
      </c>
      <c r="C131" t="s">
        <v>286</v>
      </c>
      <c r="D131">
        <v>1</v>
      </c>
    </row>
    <row r="132" spans="1:4" x14ac:dyDescent="0.25">
      <c r="A132" t="s">
        <v>284</v>
      </c>
      <c r="B132" t="s">
        <v>290</v>
      </c>
      <c r="C132" t="s">
        <v>291</v>
      </c>
      <c r="D132">
        <v>1</v>
      </c>
    </row>
    <row r="133" spans="1:4" x14ac:dyDescent="0.25">
      <c r="A133" t="s">
        <v>284</v>
      </c>
      <c r="B133" t="s">
        <v>295</v>
      </c>
      <c r="C133" t="s">
        <v>297</v>
      </c>
      <c r="D133">
        <v>1</v>
      </c>
    </row>
    <row r="134" spans="1:4" x14ac:dyDescent="0.25">
      <c r="A134" t="s">
        <v>284</v>
      </c>
      <c r="B134" t="s">
        <v>298</v>
      </c>
      <c r="C134" t="s">
        <v>300</v>
      </c>
      <c r="D134">
        <v>1</v>
      </c>
    </row>
    <row r="135" spans="1:4" x14ac:dyDescent="0.25">
      <c r="A135" t="s">
        <v>284</v>
      </c>
      <c r="B135" t="s">
        <v>301</v>
      </c>
      <c r="C135" t="s">
        <v>303</v>
      </c>
      <c r="D135">
        <v>1</v>
      </c>
    </row>
    <row r="136" spans="1:4" x14ac:dyDescent="0.25">
      <c r="A136" t="s">
        <v>284</v>
      </c>
      <c r="B136" t="s">
        <v>304</v>
      </c>
      <c r="C136" t="s">
        <v>305</v>
      </c>
      <c r="D136">
        <v>1</v>
      </c>
    </row>
    <row r="137" spans="1:4" x14ac:dyDescent="0.25">
      <c r="A137" t="s">
        <v>284</v>
      </c>
      <c r="B137" t="s">
        <v>307</v>
      </c>
      <c r="C137" t="s">
        <v>308</v>
      </c>
      <c r="D137">
        <v>1</v>
      </c>
    </row>
    <row r="138" spans="1:4" x14ac:dyDescent="0.25">
      <c r="A138" t="s">
        <v>284</v>
      </c>
      <c r="B138" t="s">
        <v>310</v>
      </c>
      <c r="C138" t="s">
        <v>311</v>
      </c>
      <c r="D138">
        <v>1</v>
      </c>
    </row>
    <row r="139" spans="1:4" x14ac:dyDescent="0.25">
      <c r="A139" t="s">
        <v>284</v>
      </c>
      <c r="B139" t="s">
        <v>313</v>
      </c>
      <c r="C139" t="s">
        <v>330</v>
      </c>
      <c r="D139">
        <v>1</v>
      </c>
    </row>
    <row r="140" spans="1:4" x14ac:dyDescent="0.25">
      <c r="A140" t="s">
        <v>284</v>
      </c>
      <c r="B140" t="s">
        <v>331</v>
      </c>
      <c r="C140" t="s">
        <v>348</v>
      </c>
      <c r="D140">
        <v>1</v>
      </c>
    </row>
    <row r="141" spans="1:4" x14ac:dyDescent="0.25">
      <c r="A141" t="s">
        <v>284</v>
      </c>
      <c r="B141" t="s">
        <v>349</v>
      </c>
      <c r="C141" t="s">
        <v>350</v>
      </c>
      <c r="D141">
        <v>1</v>
      </c>
    </row>
    <row r="142" spans="1:4" x14ac:dyDescent="0.25">
      <c r="A142" t="s">
        <v>284</v>
      </c>
      <c r="B142" t="s">
        <v>990</v>
      </c>
      <c r="C142" t="s">
        <v>992</v>
      </c>
      <c r="D142">
        <v>1</v>
      </c>
    </row>
    <row r="143" spans="1:4" x14ac:dyDescent="0.25">
      <c r="A143" t="s">
        <v>879</v>
      </c>
      <c r="B143" t="s">
        <v>880</v>
      </c>
      <c r="C143" t="s">
        <v>884</v>
      </c>
      <c r="D143">
        <v>1</v>
      </c>
    </row>
    <row r="144" spans="1:4" x14ac:dyDescent="0.25">
      <c r="A144" t="s">
        <v>352</v>
      </c>
      <c r="B144" t="s">
        <v>353</v>
      </c>
      <c r="C144" t="s">
        <v>354</v>
      </c>
      <c r="D144">
        <v>1</v>
      </c>
    </row>
    <row r="145" spans="1:4" x14ac:dyDescent="0.25">
      <c r="A145" t="s">
        <v>352</v>
      </c>
      <c r="B145" t="s">
        <v>356</v>
      </c>
      <c r="C145" t="s">
        <v>358</v>
      </c>
      <c r="D145">
        <v>1</v>
      </c>
    </row>
    <row r="146" spans="1:4" x14ac:dyDescent="0.25">
      <c r="A146" t="s">
        <v>352</v>
      </c>
      <c r="B146" t="s">
        <v>359</v>
      </c>
      <c r="C146" t="s">
        <v>361</v>
      </c>
      <c r="D146">
        <v>1</v>
      </c>
    </row>
    <row r="147" spans="1:4" x14ac:dyDescent="0.25">
      <c r="A147" t="s">
        <v>352</v>
      </c>
      <c r="B147" t="s">
        <v>362</v>
      </c>
      <c r="C147" t="s">
        <v>365</v>
      </c>
      <c r="D147">
        <v>1</v>
      </c>
    </row>
    <row r="148" spans="1:4" x14ac:dyDescent="0.25">
      <c r="A148" t="s">
        <v>352</v>
      </c>
      <c r="B148" t="s">
        <v>366</v>
      </c>
      <c r="C148" t="s">
        <v>368</v>
      </c>
      <c r="D148">
        <v>1</v>
      </c>
    </row>
    <row r="149" spans="1:4" x14ac:dyDescent="0.25">
      <c r="A149" t="s">
        <v>352</v>
      </c>
      <c r="B149" t="s">
        <v>369</v>
      </c>
      <c r="C149" t="s">
        <v>371</v>
      </c>
      <c r="D149">
        <v>1</v>
      </c>
    </row>
    <row r="150" spans="1:4" x14ac:dyDescent="0.25">
      <c r="A150" t="s">
        <v>352</v>
      </c>
      <c r="B150" t="s">
        <v>372</v>
      </c>
      <c r="C150" t="s">
        <v>373</v>
      </c>
      <c r="D150">
        <v>1</v>
      </c>
    </row>
    <row r="151" spans="1:4" x14ac:dyDescent="0.25">
      <c r="A151" t="s">
        <v>375</v>
      </c>
      <c r="B151" t="s">
        <v>376</v>
      </c>
      <c r="C151" t="s">
        <v>377</v>
      </c>
      <c r="D151">
        <v>1</v>
      </c>
    </row>
    <row r="152" spans="1:4" x14ac:dyDescent="0.25">
      <c r="A152" t="s">
        <v>375</v>
      </c>
      <c r="B152" t="s">
        <v>388</v>
      </c>
      <c r="C152" t="s">
        <v>389</v>
      </c>
      <c r="D152">
        <v>1</v>
      </c>
    </row>
    <row r="153" spans="1:4" x14ac:dyDescent="0.25">
      <c r="A153" t="s">
        <v>375</v>
      </c>
      <c r="B153" t="s">
        <v>395</v>
      </c>
      <c r="C153" t="s">
        <v>396</v>
      </c>
      <c r="D153">
        <v>1</v>
      </c>
    </row>
    <row r="154" spans="1:4" x14ac:dyDescent="0.25">
      <c r="A154" t="s">
        <v>375</v>
      </c>
      <c r="B154" t="s">
        <v>398</v>
      </c>
      <c r="C154" t="s">
        <v>399</v>
      </c>
      <c r="D154">
        <v>1</v>
      </c>
    </row>
    <row r="155" spans="1:4" x14ac:dyDescent="0.25">
      <c r="A155" t="s">
        <v>375</v>
      </c>
      <c r="B155" t="s">
        <v>401</v>
      </c>
      <c r="C155" t="s">
        <v>402</v>
      </c>
      <c r="D155">
        <v>1</v>
      </c>
    </row>
    <row r="156" spans="1:4" x14ac:dyDescent="0.25">
      <c r="A156" t="s">
        <v>375</v>
      </c>
      <c r="B156" t="s">
        <v>404</v>
      </c>
      <c r="C156" t="s">
        <v>405</v>
      </c>
      <c r="D156">
        <v>1</v>
      </c>
    </row>
    <row r="157" spans="1:4" x14ac:dyDescent="0.25">
      <c r="A157" t="s">
        <v>375</v>
      </c>
      <c r="B157" t="s">
        <v>408</v>
      </c>
      <c r="C157" t="s">
        <v>410</v>
      </c>
      <c r="D157">
        <v>1</v>
      </c>
    </row>
    <row r="158" spans="1:4" x14ac:dyDescent="0.25">
      <c r="A158" t="s">
        <v>375</v>
      </c>
      <c r="B158" t="s">
        <v>1156</v>
      </c>
      <c r="C158" t="s">
        <v>1158</v>
      </c>
      <c r="D158">
        <v>1</v>
      </c>
    </row>
    <row r="159" spans="1:4" x14ac:dyDescent="0.25">
      <c r="A159" t="s">
        <v>375</v>
      </c>
      <c r="B159" t="s">
        <v>993</v>
      </c>
      <c r="C159" t="s">
        <v>994</v>
      </c>
      <c r="D159">
        <v>1</v>
      </c>
    </row>
    <row r="160" spans="1:4" x14ac:dyDescent="0.25">
      <c r="A160" t="s">
        <v>375</v>
      </c>
      <c r="B160" t="s">
        <v>411</v>
      </c>
      <c r="C160" t="s">
        <v>412</v>
      </c>
      <c r="D160">
        <v>1</v>
      </c>
    </row>
    <row r="161" spans="1:4" x14ac:dyDescent="0.25">
      <c r="A161" t="s">
        <v>375</v>
      </c>
      <c r="B161" s="7" t="s">
        <v>414</v>
      </c>
      <c r="C161" t="s">
        <v>899</v>
      </c>
      <c r="D161">
        <v>1</v>
      </c>
    </row>
    <row r="162" spans="1:4" x14ac:dyDescent="0.25">
      <c r="A162" s="7" t="s">
        <v>375</v>
      </c>
      <c r="B162" t="s">
        <v>415</v>
      </c>
      <c r="C162" t="s">
        <v>416</v>
      </c>
      <c r="D162">
        <v>1</v>
      </c>
    </row>
    <row r="163" spans="1:4" x14ac:dyDescent="0.25">
      <c r="A163" s="7" t="s">
        <v>375</v>
      </c>
      <c r="B163" t="s">
        <v>418</v>
      </c>
      <c r="C163" t="s">
        <v>419</v>
      </c>
      <c r="D163">
        <v>1</v>
      </c>
    </row>
    <row r="164" spans="1:4" x14ac:dyDescent="0.25">
      <c r="A164" s="7" t="s">
        <v>375</v>
      </c>
      <c r="B164" t="s">
        <v>421</v>
      </c>
      <c r="C164" t="s">
        <v>422</v>
      </c>
      <c r="D164">
        <v>1</v>
      </c>
    </row>
    <row r="165" spans="1:4" x14ac:dyDescent="0.25">
      <c r="A165" t="s">
        <v>375</v>
      </c>
      <c r="B165" t="s">
        <v>424</v>
      </c>
      <c r="C165" t="s">
        <v>425</v>
      </c>
      <c r="D165">
        <v>1</v>
      </c>
    </row>
    <row r="166" spans="1:4" x14ac:dyDescent="0.25">
      <c r="A166" t="s">
        <v>375</v>
      </c>
      <c r="B166" t="s">
        <v>427</v>
      </c>
      <c r="C166" t="s">
        <v>428</v>
      </c>
      <c r="D166">
        <v>1</v>
      </c>
    </row>
    <row r="167" spans="1:4" x14ac:dyDescent="0.25">
      <c r="A167" t="s">
        <v>375</v>
      </c>
      <c r="B167" t="s">
        <v>437</v>
      </c>
      <c r="C167" t="s">
        <v>438</v>
      </c>
      <c r="D167">
        <v>1</v>
      </c>
    </row>
    <row r="168" spans="1:4" x14ac:dyDescent="0.25">
      <c r="A168" t="s">
        <v>375</v>
      </c>
      <c r="B168" t="s">
        <v>1120</v>
      </c>
      <c r="C168" t="s">
        <v>1121</v>
      </c>
      <c r="D168">
        <v>1</v>
      </c>
    </row>
    <row r="169" spans="1:4" x14ac:dyDescent="0.25">
      <c r="A169" t="s">
        <v>375</v>
      </c>
      <c r="B169" t="s">
        <v>440</v>
      </c>
      <c r="C169" t="s">
        <v>442</v>
      </c>
      <c r="D169">
        <v>1</v>
      </c>
    </row>
    <row r="170" spans="1:4" x14ac:dyDescent="0.25">
      <c r="A170" t="s">
        <v>996</v>
      </c>
      <c r="B170" t="s">
        <v>997</v>
      </c>
      <c r="C170" t="s">
        <v>998</v>
      </c>
      <c r="D170">
        <v>1</v>
      </c>
    </row>
    <row r="171" spans="1:4" x14ac:dyDescent="0.25">
      <c r="A171" t="s">
        <v>996</v>
      </c>
      <c r="B171" t="s">
        <v>1000</v>
      </c>
      <c r="C171" t="s">
        <v>1001</v>
      </c>
      <c r="D171">
        <v>1</v>
      </c>
    </row>
    <row r="172" spans="1:4" x14ac:dyDescent="0.25">
      <c r="A172" t="s">
        <v>996</v>
      </c>
      <c r="B172" t="s">
        <v>870</v>
      </c>
      <c r="C172" t="s">
        <v>871</v>
      </c>
      <c r="D172">
        <v>1</v>
      </c>
    </row>
    <row r="173" spans="1:4" x14ac:dyDescent="0.25">
      <c r="A173" t="s">
        <v>996</v>
      </c>
      <c r="B173" t="s">
        <v>1003</v>
      </c>
      <c r="C173" t="s">
        <v>1004</v>
      </c>
      <c r="D173">
        <v>1</v>
      </c>
    </row>
    <row r="174" spans="1:4" x14ac:dyDescent="0.25">
      <c r="A174" t="s">
        <v>996</v>
      </c>
      <c r="B174" t="s">
        <v>1047</v>
      </c>
      <c r="C174" t="s">
        <v>1048</v>
      </c>
      <c r="D174">
        <v>1</v>
      </c>
    </row>
    <row r="175" spans="1:4" x14ac:dyDescent="0.25">
      <c r="A175" t="s">
        <v>996</v>
      </c>
      <c r="B175" t="s">
        <v>1006</v>
      </c>
      <c r="C175" t="s">
        <v>1007</v>
      </c>
      <c r="D175">
        <v>1</v>
      </c>
    </row>
    <row r="176" spans="1:4" x14ac:dyDescent="0.25">
      <c r="A176" t="s">
        <v>996</v>
      </c>
      <c r="B176" t="s">
        <v>1009</v>
      </c>
      <c r="C176" t="s">
        <v>1011</v>
      </c>
      <c r="D176">
        <v>1</v>
      </c>
    </row>
    <row r="177" spans="1:4" x14ac:dyDescent="0.25">
      <c r="A177" t="s">
        <v>996</v>
      </c>
      <c r="B177" t="s">
        <v>1012</v>
      </c>
      <c r="C177" t="s">
        <v>1014</v>
      </c>
      <c r="D177">
        <v>1</v>
      </c>
    </row>
    <row r="178" spans="1:4" x14ac:dyDescent="0.25">
      <c r="A178" t="s">
        <v>996</v>
      </c>
      <c r="B178" t="s">
        <v>1015</v>
      </c>
      <c r="C178" t="s">
        <v>1016</v>
      </c>
      <c r="D178">
        <v>1</v>
      </c>
    </row>
    <row r="179" spans="1:4" x14ac:dyDescent="0.25">
      <c r="A179" t="s">
        <v>996</v>
      </c>
      <c r="B179" t="s">
        <v>1123</v>
      </c>
      <c r="C179" t="s">
        <v>1336</v>
      </c>
      <c r="D179">
        <v>1</v>
      </c>
    </row>
    <row r="180" spans="1:4" x14ac:dyDescent="0.25">
      <c r="A180" t="s">
        <v>996</v>
      </c>
      <c r="B180" t="s">
        <v>1052</v>
      </c>
      <c r="C180" t="s">
        <v>1053</v>
      </c>
      <c r="D180">
        <v>1</v>
      </c>
    </row>
    <row r="181" spans="1:4" x14ac:dyDescent="0.25">
      <c r="A181" t="s">
        <v>996</v>
      </c>
      <c r="B181" t="s">
        <v>1018</v>
      </c>
      <c r="C181" t="s">
        <v>1019</v>
      </c>
      <c r="D181">
        <v>1</v>
      </c>
    </row>
    <row r="182" spans="1:4" x14ac:dyDescent="0.25">
      <c r="A182" t="s">
        <v>996</v>
      </c>
      <c r="B182" t="s">
        <v>1055</v>
      </c>
      <c r="C182" t="s">
        <v>1056</v>
      </c>
      <c r="D182">
        <v>1</v>
      </c>
    </row>
    <row r="183" spans="1:4" x14ac:dyDescent="0.25">
      <c r="A183" t="s">
        <v>996</v>
      </c>
      <c r="B183" t="s">
        <v>1021</v>
      </c>
      <c r="C183" t="s">
        <v>1022</v>
      </c>
      <c r="D183">
        <v>1</v>
      </c>
    </row>
    <row r="184" spans="1:4" x14ac:dyDescent="0.25">
      <c r="A184" t="s">
        <v>996</v>
      </c>
      <c r="B184" t="s">
        <v>443</v>
      </c>
      <c r="C184" t="s">
        <v>445</v>
      </c>
      <c r="D184">
        <v>1</v>
      </c>
    </row>
    <row r="185" spans="1:4" x14ac:dyDescent="0.25">
      <c r="A185" t="s">
        <v>446</v>
      </c>
      <c r="B185" t="s">
        <v>447</v>
      </c>
      <c r="C185" t="s">
        <v>448</v>
      </c>
      <c r="D185">
        <v>1</v>
      </c>
    </row>
    <row r="186" spans="1:4" x14ac:dyDescent="0.25">
      <c r="A186" t="s">
        <v>446</v>
      </c>
      <c r="B186" t="s">
        <v>450</v>
      </c>
      <c r="C186" t="s">
        <v>451</v>
      </c>
      <c r="D186">
        <v>1</v>
      </c>
    </row>
    <row r="187" spans="1:4" x14ac:dyDescent="0.25">
      <c r="A187" t="s">
        <v>446</v>
      </c>
      <c r="B187" t="s">
        <v>453</v>
      </c>
      <c r="C187" t="s">
        <v>455</v>
      </c>
      <c r="D187">
        <v>1</v>
      </c>
    </row>
    <row r="188" spans="1:4" x14ac:dyDescent="0.25">
      <c r="A188" t="s">
        <v>446</v>
      </c>
      <c r="B188" t="s">
        <v>456</v>
      </c>
      <c r="C188" t="s">
        <v>457</v>
      </c>
      <c r="D188">
        <v>1</v>
      </c>
    </row>
    <row r="189" spans="1:4" x14ac:dyDescent="0.25">
      <c r="A189" t="s">
        <v>446</v>
      </c>
      <c r="B189" t="s">
        <v>459</v>
      </c>
      <c r="C189" t="s">
        <v>460</v>
      </c>
      <c r="D189">
        <v>1</v>
      </c>
    </row>
    <row r="190" spans="1:4" x14ac:dyDescent="0.25">
      <c r="A190" t="s">
        <v>446</v>
      </c>
      <c r="B190" t="s">
        <v>462</v>
      </c>
      <c r="C190" t="s">
        <v>464</v>
      </c>
      <c r="D190">
        <v>1</v>
      </c>
    </row>
    <row r="191" spans="1:4" x14ac:dyDescent="0.25">
      <c r="A191" t="s">
        <v>446</v>
      </c>
      <c r="B191" t="s">
        <v>465</v>
      </c>
      <c r="C191" t="s">
        <v>467</v>
      </c>
      <c r="D191">
        <v>1</v>
      </c>
    </row>
    <row r="192" spans="1:4" x14ac:dyDescent="0.25">
      <c r="A192" t="s">
        <v>446</v>
      </c>
      <c r="B192" t="s">
        <v>468</v>
      </c>
      <c r="C192" t="s">
        <v>470</v>
      </c>
      <c r="D192">
        <v>1</v>
      </c>
    </row>
    <row r="193" spans="1:4" x14ac:dyDescent="0.25">
      <c r="A193" t="s">
        <v>446</v>
      </c>
      <c r="B193" t="s">
        <v>471</v>
      </c>
      <c r="C193" t="s">
        <v>472</v>
      </c>
      <c r="D193">
        <v>1</v>
      </c>
    </row>
    <row r="194" spans="1:4" x14ac:dyDescent="0.25">
      <c r="A194" s="7" t="s">
        <v>487</v>
      </c>
      <c r="B194" s="7" t="s">
        <v>488</v>
      </c>
      <c r="C194" s="7" t="s">
        <v>500</v>
      </c>
      <c r="D194">
        <v>1</v>
      </c>
    </row>
    <row r="195" spans="1:4" x14ac:dyDescent="0.25">
      <c r="A195" s="7" t="s">
        <v>487</v>
      </c>
      <c r="B195" s="7" t="s">
        <v>488</v>
      </c>
      <c r="C195" s="7" t="s">
        <v>501</v>
      </c>
      <c r="D195">
        <v>1</v>
      </c>
    </row>
    <row r="196" spans="1:4" x14ac:dyDescent="0.25">
      <c r="A196" s="7" t="s">
        <v>487</v>
      </c>
      <c r="B196" s="7" t="s">
        <v>488</v>
      </c>
      <c r="C196" s="7" t="s">
        <v>869</v>
      </c>
      <c r="D196">
        <v>1</v>
      </c>
    </row>
    <row r="197" spans="1:4" x14ac:dyDescent="0.25">
      <c r="A197" t="s">
        <v>487</v>
      </c>
      <c r="B197" s="7" t="s">
        <v>488</v>
      </c>
      <c r="C197" t="s">
        <v>1159</v>
      </c>
      <c r="D197">
        <v>1</v>
      </c>
    </row>
    <row r="198" spans="1:4" x14ac:dyDescent="0.25">
      <c r="A198" t="s">
        <v>487</v>
      </c>
      <c r="B198" t="s">
        <v>502</v>
      </c>
      <c r="C198" t="s">
        <v>503</v>
      </c>
      <c r="D198">
        <v>1</v>
      </c>
    </row>
    <row r="199" spans="1:4" x14ac:dyDescent="0.25">
      <c r="A199" t="s">
        <v>487</v>
      </c>
      <c r="B199" t="s">
        <v>505</v>
      </c>
      <c r="C199" t="s">
        <v>506</v>
      </c>
      <c r="D199">
        <v>1</v>
      </c>
    </row>
    <row r="200" spans="1:4" x14ac:dyDescent="0.25">
      <c r="A200" t="s">
        <v>1160</v>
      </c>
      <c r="B200" t="s">
        <v>1161</v>
      </c>
      <c r="C200" t="s">
        <v>930</v>
      </c>
      <c r="D200">
        <v>0</v>
      </c>
    </row>
    <row r="201" spans="1:4" x14ac:dyDescent="0.25">
      <c r="A201" t="s">
        <v>1160</v>
      </c>
      <c r="B201" t="s">
        <v>1162</v>
      </c>
      <c r="C201" t="s">
        <v>930</v>
      </c>
      <c r="D201">
        <v>0</v>
      </c>
    </row>
    <row r="202" spans="1:4" x14ac:dyDescent="0.25">
      <c r="A202" t="s">
        <v>1160</v>
      </c>
      <c r="B202" t="s">
        <v>1163</v>
      </c>
      <c r="C202" t="s">
        <v>930</v>
      </c>
      <c r="D202">
        <v>0</v>
      </c>
    </row>
    <row r="203" spans="1:4" x14ac:dyDescent="0.25">
      <c r="A203" t="s">
        <v>508</v>
      </c>
      <c r="B203" t="s">
        <v>509</v>
      </c>
      <c r="C203" t="s">
        <v>510</v>
      </c>
      <c r="D203">
        <v>1</v>
      </c>
    </row>
    <row r="204" spans="1:4" x14ac:dyDescent="0.25">
      <c r="A204" t="s">
        <v>508</v>
      </c>
      <c r="B204" t="s">
        <v>512</v>
      </c>
      <c r="C204" t="s">
        <v>513</v>
      </c>
      <c r="D204">
        <v>1</v>
      </c>
    </row>
    <row r="205" spans="1:4" x14ac:dyDescent="0.25">
      <c r="A205" t="s">
        <v>508</v>
      </c>
      <c r="B205" t="s">
        <v>926</v>
      </c>
      <c r="C205" t="s">
        <v>927</v>
      </c>
      <c r="D205">
        <v>1</v>
      </c>
    </row>
    <row r="206" spans="1:4" x14ac:dyDescent="0.25">
      <c r="A206" t="s">
        <v>508</v>
      </c>
      <c r="B206" t="s">
        <v>516</v>
      </c>
      <c r="C206" t="s">
        <v>519</v>
      </c>
      <c r="D206">
        <v>1</v>
      </c>
    </row>
    <row r="207" spans="1:4" x14ac:dyDescent="0.25">
      <c r="A207" t="s">
        <v>508</v>
      </c>
      <c r="B207" t="s">
        <v>520</v>
      </c>
      <c r="C207" t="s">
        <v>521</v>
      </c>
      <c r="D207">
        <v>1</v>
      </c>
    </row>
    <row r="208" spans="1:4" x14ac:dyDescent="0.25">
      <c r="A208" t="s">
        <v>508</v>
      </c>
      <c r="B208" t="s">
        <v>524</v>
      </c>
      <c r="C208" t="s">
        <v>525</v>
      </c>
      <c r="D208">
        <v>1</v>
      </c>
    </row>
    <row r="209" spans="1:4" x14ac:dyDescent="0.25">
      <c r="A209" t="s">
        <v>508</v>
      </c>
      <c r="B209" t="s">
        <v>528</v>
      </c>
      <c r="C209" t="s">
        <v>529</v>
      </c>
      <c r="D209">
        <v>1</v>
      </c>
    </row>
    <row r="210" spans="1:4" x14ac:dyDescent="0.25">
      <c r="A210" t="s">
        <v>508</v>
      </c>
      <c r="B210" t="s">
        <v>542</v>
      </c>
      <c r="C210" t="s">
        <v>543</v>
      </c>
      <c r="D210">
        <v>1</v>
      </c>
    </row>
    <row r="211" spans="1:4" x14ac:dyDescent="0.25">
      <c r="A211" t="s">
        <v>508</v>
      </c>
      <c r="B211" t="s">
        <v>545</v>
      </c>
      <c r="C211" t="s">
        <v>546</v>
      </c>
      <c r="D211">
        <v>1</v>
      </c>
    </row>
    <row r="212" spans="1:4" x14ac:dyDescent="0.25">
      <c r="A212" t="s">
        <v>508</v>
      </c>
      <c r="B212" t="s">
        <v>549</v>
      </c>
      <c r="C212" t="s">
        <v>550</v>
      </c>
      <c r="D212">
        <v>1</v>
      </c>
    </row>
    <row r="213" spans="1:4" x14ac:dyDescent="0.25">
      <c r="A213" t="s">
        <v>508</v>
      </c>
      <c r="B213" t="s">
        <v>563</v>
      </c>
      <c r="C213" t="s">
        <v>564</v>
      </c>
      <c r="D213">
        <v>1</v>
      </c>
    </row>
    <row r="214" spans="1:4" x14ac:dyDescent="0.25">
      <c r="A214" t="s">
        <v>508</v>
      </c>
      <c r="B214" t="s">
        <v>577</v>
      </c>
      <c r="C214" t="s">
        <v>578</v>
      </c>
      <c r="D214">
        <v>1</v>
      </c>
    </row>
    <row r="215" spans="1:4" x14ac:dyDescent="0.25">
      <c r="A215" t="s">
        <v>508</v>
      </c>
      <c r="B215" t="s">
        <v>651</v>
      </c>
      <c r="C215" t="s">
        <v>652</v>
      </c>
      <c r="D215">
        <v>1</v>
      </c>
    </row>
    <row r="216" spans="1:4" x14ac:dyDescent="0.25">
      <c r="A216" t="s">
        <v>508</v>
      </c>
      <c r="B216" t="s">
        <v>654</v>
      </c>
      <c r="C216" t="s">
        <v>655</v>
      </c>
      <c r="D216">
        <v>1</v>
      </c>
    </row>
    <row r="217" spans="1:4" x14ac:dyDescent="0.25">
      <c r="A217" t="s">
        <v>508</v>
      </c>
      <c r="B217" t="s">
        <v>657</v>
      </c>
      <c r="C217" t="s">
        <v>658</v>
      </c>
      <c r="D217">
        <v>1</v>
      </c>
    </row>
    <row r="218" spans="1:4" x14ac:dyDescent="0.25">
      <c r="A218" t="s">
        <v>508</v>
      </c>
      <c r="B218" t="s">
        <v>660</v>
      </c>
      <c r="C218" t="s">
        <v>663</v>
      </c>
      <c r="D218">
        <v>1</v>
      </c>
    </row>
    <row r="219" spans="1:4" x14ac:dyDescent="0.25">
      <c r="A219" t="s">
        <v>508</v>
      </c>
      <c r="B219" t="s">
        <v>664</v>
      </c>
      <c r="C219" t="s">
        <v>665</v>
      </c>
      <c r="D219">
        <v>1</v>
      </c>
    </row>
    <row r="220" spans="1:4" x14ac:dyDescent="0.25">
      <c r="A220" t="s">
        <v>508</v>
      </c>
      <c r="B220" t="s">
        <v>667</v>
      </c>
      <c r="C220" t="s">
        <v>668</v>
      </c>
      <c r="D220">
        <v>1</v>
      </c>
    </row>
    <row r="221" spans="1:4" x14ac:dyDescent="0.25">
      <c r="A221" t="s">
        <v>508</v>
      </c>
      <c r="B221" t="s">
        <v>670</v>
      </c>
      <c r="C221" t="s">
        <v>671</v>
      </c>
      <c r="D221">
        <v>1</v>
      </c>
    </row>
    <row r="222" spans="1:4" x14ac:dyDescent="0.25">
      <c r="A222" t="s">
        <v>508</v>
      </c>
      <c r="B222" t="s">
        <v>673</v>
      </c>
      <c r="C222" t="s">
        <v>674</v>
      </c>
      <c r="D222">
        <v>1</v>
      </c>
    </row>
    <row r="223" spans="1:4" x14ac:dyDescent="0.25">
      <c r="A223" t="s">
        <v>508</v>
      </c>
      <c r="B223" t="s">
        <v>681</v>
      </c>
      <c r="C223" t="s">
        <v>682</v>
      </c>
      <c r="D223">
        <v>1</v>
      </c>
    </row>
    <row r="224" spans="1:4" x14ac:dyDescent="0.25">
      <c r="A224" t="s">
        <v>508</v>
      </c>
      <c r="B224" t="s">
        <v>1024</v>
      </c>
      <c r="C224" t="s">
        <v>1025</v>
      </c>
      <c r="D224">
        <v>1</v>
      </c>
    </row>
    <row r="225" spans="1:4" x14ac:dyDescent="0.25">
      <c r="A225" t="s">
        <v>508</v>
      </c>
      <c r="B225" t="s">
        <v>1126</v>
      </c>
      <c r="C225" t="s">
        <v>1127</v>
      </c>
      <c r="D225">
        <v>1</v>
      </c>
    </row>
    <row r="226" spans="1:4" x14ac:dyDescent="0.25">
      <c r="A226" t="s">
        <v>508</v>
      </c>
      <c r="B226" t="s">
        <v>684</v>
      </c>
      <c r="C226" t="s">
        <v>687</v>
      </c>
      <c r="D226">
        <v>1</v>
      </c>
    </row>
    <row r="227" spans="1:4" x14ac:dyDescent="0.25">
      <c r="A227" t="s">
        <v>508</v>
      </c>
      <c r="B227" t="s">
        <v>688</v>
      </c>
      <c r="C227" t="s">
        <v>690</v>
      </c>
      <c r="D227">
        <v>1</v>
      </c>
    </row>
    <row r="228" spans="1:4" x14ac:dyDescent="0.25">
      <c r="A228" t="s">
        <v>508</v>
      </c>
      <c r="B228" t="s">
        <v>691</v>
      </c>
      <c r="C228" t="s">
        <v>693</v>
      </c>
      <c r="D228">
        <v>1</v>
      </c>
    </row>
    <row r="229" spans="1:4" x14ac:dyDescent="0.25">
      <c r="A229" t="s">
        <v>508</v>
      </c>
      <c r="B229" t="s">
        <v>694</v>
      </c>
      <c r="C229" t="s">
        <v>695</v>
      </c>
      <c r="D229">
        <v>1</v>
      </c>
    </row>
    <row r="230" spans="1:4" x14ac:dyDescent="0.25">
      <c r="A230" t="s">
        <v>508</v>
      </c>
      <c r="B230" t="s">
        <v>697</v>
      </c>
      <c r="C230" t="s">
        <v>698</v>
      </c>
      <c r="D230">
        <v>1</v>
      </c>
    </row>
    <row r="231" spans="1:4" x14ac:dyDescent="0.25">
      <c r="A231" t="s">
        <v>508</v>
      </c>
      <c r="B231" t="s">
        <v>711</v>
      </c>
      <c r="C231" t="s">
        <v>712</v>
      </c>
      <c r="D231">
        <v>1</v>
      </c>
    </row>
    <row r="232" spans="1:4" x14ac:dyDescent="0.25">
      <c r="A232" t="s">
        <v>508</v>
      </c>
      <c r="B232" t="s">
        <v>1164</v>
      </c>
      <c r="C232" t="s">
        <v>1165</v>
      </c>
      <c r="D232">
        <v>1</v>
      </c>
    </row>
    <row r="233" spans="1:4" x14ac:dyDescent="0.25">
      <c r="A233" t="s">
        <v>508</v>
      </c>
      <c r="B233" t="s">
        <v>785</v>
      </c>
      <c r="C233" t="s">
        <v>787</v>
      </c>
      <c r="D233">
        <v>1</v>
      </c>
    </row>
    <row r="234" spans="1:4" x14ac:dyDescent="0.25">
      <c r="A234" t="s">
        <v>508</v>
      </c>
      <c r="B234" t="s">
        <v>788</v>
      </c>
      <c r="C234" t="s">
        <v>789</v>
      </c>
      <c r="D234">
        <v>1</v>
      </c>
    </row>
    <row r="235" spans="1:4" x14ac:dyDescent="0.25">
      <c r="A235" t="s">
        <v>508</v>
      </c>
      <c r="B235" t="s">
        <v>1027</v>
      </c>
      <c r="C235" t="s">
        <v>1029</v>
      </c>
      <c r="D235">
        <v>1</v>
      </c>
    </row>
    <row r="236" spans="1:4" x14ac:dyDescent="0.25">
      <c r="A236" t="s">
        <v>508</v>
      </c>
      <c r="B236" t="s">
        <v>791</v>
      </c>
      <c r="C236" t="s">
        <v>794</v>
      </c>
      <c r="D236">
        <v>1</v>
      </c>
    </row>
    <row r="237" spans="1:4" x14ac:dyDescent="0.25">
      <c r="A237" t="s">
        <v>508</v>
      </c>
      <c r="B237" t="s">
        <v>795</v>
      </c>
      <c r="C237" t="s">
        <v>796</v>
      </c>
      <c r="D237">
        <v>1</v>
      </c>
    </row>
    <row r="238" spans="1:4" x14ac:dyDescent="0.25">
      <c r="A238" t="s">
        <v>508</v>
      </c>
      <c r="B238" t="s">
        <v>797</v>
      </c>
      <c r="C238" t="s">
        <v>798</v>
      </c>
      <c r="D238">
        <v>1</v>
      </c>
    </row>
    <row r="239" spans="1:4" x14ac:dyDescent="0.25">
      <c r="A239" t="s">
        <v>508</v>
      </c>
      <c r="B239" t="s">
        <v>800</v>
      </c>
      <c r="C239" t="s">
        <v>801</v>
      </c>
      <c r="D239">
        <v>1</v>
      </c>
    </row>
    <row r="240" spans="1:4" x14ac:dyDescent="0.25">
      <c r="A240" t="s">
        <v>508</v>
      </c>
      <c r="B240" t="s">
        <v>803</v>
      </c>
      <c r="C240" t="s">
        <v>804</v>
      </c>
      <c r="D240">
        <v>1</v>
      </c>
    </row>
    <row r="241" spans="1:4" x14ac:dyDescent="0.25">
      <c r="A241" t="s">
        <v>508</v>
      </c>
      <c r="B241" t="s">
        <v>807</v>
      </c>
      <c r="C241" t="s">
        <v>808</v>
      </c>
      <c r="D241">
        <v>1</v>
      </c>
    </row>
    <row r="242" spans="1:4" x14ac:dyDescent="0.25">
      <c r="A242" t="s">
        <v>508</v>
      </c>
      <c r="B242" t="s">
        <v>811</v>
      </c>
      <c r="C242" t="s">
        <v>813</v>
      </c>
      <c r="D242">
        <v>1</v>
      </c>
    </row>
    <row r="243" spans="1:4" x14ac:dyDescent="0.25">
      <c r="A243" t="s">
        <v>508</v>
      </c>
      <c r="B243" t="s">
        <v>814</v>
      </c>
      <c r="C243" t="s">
        <v>815</v>
      </c>
      <c r="D243">
        <v>1</v>
      </c>
    </row>
    <row r="244" spans="1:4" x14ac:dyDescent="0.25">
      <c r="A244" t="s">
        <v>817</v>
      </c>
      <c r="B244" t="s">
        <v>818</v>
      </c>
      <c r="C244" t="s">
        <v>823</v>
      </c>
      <c r="D244">
        <v>1</v>
      </c>
    </row>
    <row r="245" spans="1:4" x14ac:dyDescent="0.25">
      <c r="A245" t="s">
        <v>817</v>
      </c>
      <c r="B245" t="s">
        <v>824</v>
      </c>
      <c r="C245" t="s">
        <v>825</v>
      </c>
      <c r="D245">
        <v>1</v>
      </c>
    </row>
    <row r="246" spans="1:4" x14ac:dyDescent="0.25">
      <c r="A246" t="s">
        <v>817</v>
      </c>
      <c r="B246" t="s">
        <v>826</v>
      </c>
      <c r="C246" t="s">
        <v>827</v>
      </c>
      <c r="D246">
        <v>1</v>
      </c>
    </row>
    <row r="247" spans="1:4" x14ac:dyDescent="0.25">
      <c r="A247" t="s">
        <v>817</v>
      </c>
      <c r="B247" t="s">
        <v>830</v>
      </c>
      <c r="C247" t="s">
        <v>831</v>
      </c>
      <c r="D247">
        <v>1</v>
      </c>
    </row>
    <row r="248" spans="1:4" x14ac:dyDescent="0.25">
      <c r="A248" t="s">
        <v>817</v>
      </c>
      <c r="B248" t="s">
        <v>833</v>
      </c>
      <c r="C248" t="s">
        <v>837</v>
      </c>
      <c r="D248">
        <v>1</v>
      </c>
    </row>
  </sheetData>
  <conditionalFormatting sqref="D1:D1048576">
    <cfRule type="expression" dxfId="18" priority="2">
      <formula>$D1=1</formula>
    </cfRule>
    <cfRule type="expression" dxfId="17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021"/>
  <sheetViews>
    <sheetView topLeftCell="A924" workbookViewId="0">
      <selection activeCell="C957" sqref="C95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840</v>
      </c>
      <c r="B1" t="s">
        <v>841</v>
      </c>
      <c r="C1" t="s">
        <v>842</v>
      </c>
      <c r="G1" t="s">
        <v>838</v>
      </c>
      <c r="H1" t="s">
        <v>839</v>
      </c>
      <c r="I1" s="3" t="s">
        <v>844</v>
      </c>
      <c r="J1" t="s">
        <v>843</v>
      </c>
    </row>
    <row r="2" spans="1:10" x14ac:dyDescent="0.25">
      <c r="A2" t="s">
        <v>0</v>
      </c>
    </row>
    <row r="3" spans="1:10" x14ac:dyDescent="0.25">
      <c r="A3" t="s">
        <v>1130</v>
      </c>
    </row>
    <row r="4" spans="1:10" x14ac:dyDescent="0.25">
      <c r="A4" t="s">
        <v>1</v>
      </c>
    </row>
    <row r="5" spans="1:10" x14ac:dyDescent="0.25">
      <c r="A5" t="s">
        <v>867</v>
      </c>
    </row>
    <row r="6" spans="1:10" x14ac:dyDescent="0.25">
      <c r="A6" t="s">
        <v>904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931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868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3</v>
      </c>
      <c r="B10" t="s">
        <v>935</v>
      </c>
      <c r="C10" t="s">
        <v>936</v>
      </c>
      <c r="G10" t="str">
        <f t="shared" si="0"/>
        <v>xlsx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1</v>
      </c>
      <c r="J10" s="6">
        <f t="shared" si="1"/>
        <v>0</v>
      </c>
    </row>
    <row r="11" spans="1:10" x14ac:dyDescent="0.25">
      <c r="A11" t="s">
        <v>3</v>
      </c>
      <c r="B11" t="s">
        <v>935</v>
      </c>
      <c r="C11" t="s">
        <v>937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3</v>
      </c>
      <c r="B12" t="s">
        <v>935</v>
      </c>
      <c r="C12" t="s">
        <v>938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3</v>
      </c>
      <c r="B13" t="s">
        <v>935</v>
      </c>
      <c r="C13" t="s">
        <v>939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3</v>
      </c>
      <c r="B14" t="s">
        <v>935</v>
      </c>
      <c r="C14" t="s">
        <v>940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3</v>
      </c>
      <c r="B15" t="s">
        <v>935</v>
      </c>
      <c r="C15" t="s">
        <v>941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3</v>
      </c>
      <c r="B16" t="s">
        <v>935</v>
      </c>
      <c r="C16" t="s">
        <v>942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3</v>
      </c>
      <c r="B17" t="s">
        <v>935</v>
      </c>
      <c r="C17" t="s">
        <v>943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3</v>
      </c>
      <c r="B18" t="s">
        <v>935</v>
      </c>
      <c r="C18" t="s">
        <v>944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3</v>
      </c>
      <c r="B19" t="s">
        <v>935</v>
      </c>
      <c r="C19" t="s">
        <v>945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3</v>
      </c>
      <c r="B20" t="s">
        <v>935</v>
      </c>
      <c r="C20" t="s">
        <v>946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3</v>
      </c>
      <c r="B21" t="s">
        <v>935</v>
      </c>
      <c r="C21" t="s">
        <v>947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3</v>
      </c>
      <c r="B22" t="s">
        <v>935</v>
      </c>
      <c r="C22" t="s">
        <v>948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3</v>
      </c>
      <c r="B23" t="s">
        <v>935</v>
      </c>
      <c r="C23" t="s">
        <v>949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3</v>
      </c>
      <c r="B24" t="s">
        <v>935</v>
      </c>
      <c r="C24" t="s">
        <v>950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3</v>
      </c>
      <c r="B25" t="s">
        <v>935</v>
      </c>
      <c r="C25" t="s">
        <v>951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3</v>
      </c>
      <c r="B26" t="s">
        <v>4</v>
      </c>
      <c r="C26" t="s">
        <v>5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3</v>
      </c>
      <c r="B27" t="s">
        <v>4</v>
      </c>
      <c r="C27" t="s">
        <v>6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Social Cost of Carbon.xlsx</v>
      </c>
      <c r="I27" s="5">
        <f>IFERROR(INDEX(About!$D:$D,MATCH(Sheet1!H27,About!$C:$C,0),1),0)</f>
        <v>1</v>
      </c>
      <c r="J27" s="6">
        <f t="shared" si="1"/>
        <v>0</v>
      </c>
    </row>
    <row r="28" spans="1:10" x14ac:dyDescent="0.25">
      <c r="A28" t="s">
        <v>3</v>
      </c>
      <c r="B28" t="s">
        <v>7</v>
      </c>
      <c r="C28" t="s">
        <v>8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1</v>
      </c>
      <c r="J28" s="6">
        <f t="shared" si="1"/>
        <v>0</v>
      </c>
    </row>
    <row r="29" spans="1:10" x14ac:dyDescent="0.25">
      <c r="A29" t="s">
        <v>3</v>
      </c>
      <c r="B29" t="s">
        <v>7</v>
      </c>
      <c r="C29" t="s">
        <v>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10</v>
      </c>
      <c r="B30" t="s">
        <v>11</v>
      </c>
      <c r="C30" t="s">
        <v>12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10</v>
      </c>
      <c r="B31" t="s">
        <v>11</v>
      </c>
      <c r="C31" t="s">
        <v>13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10</v>
      </c>
      <c r="B32" t="s">
        <v>11</v>
      </c>
      <c r="C32" t="s">
        <v>14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10</v>
      </c>
      <c r="B33" t="s">
        <v>11</v>
      </c>
      <c r="C33" t="s">
        <v>15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1</v>
      </c>
      <c r="J33" s="6">
        <f t="shared" si="1"/>
        <v>0</v>
      </c>
    </row>
    <row r="34" spans="1:10" x14ac:dyDescent="0.25">
      <c r="A34" t="s">
        <v>10</v>
      </c>
      <c r="B34" t="s">
        <v>16</v>
      </c>
      <c r="C34" t="s">
        <v>17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25">
      <c r="A35" t="s">
        <v>10</v>
      </c>
      <c r="B35" t="s">
        <v>16</v>
      </c>
      <c r="C35" t="s">
        <v>1030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1</v>
      </c>
    </row>
    <row r="36" spans="1:10" x14ac:dyDescent="0.25">
      <c r="A36" t="s">
        <v>10</v>
      </c>
      <c r="B36" t="s">
        <v>16</v>
      </c>
      <c r="C36" t="s">
        <v>18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10</v>
      </c>
      <c r="B37" t="s">
        <v>16</v>
      </c>
      <c r="C37" t="s">
        <v>19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10</v>
      </c>
      <c r="B38" t="s">
        <v>16</v>
      </c>
      <c r="C38" t="s">
        <v>20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10</v>
      </c>
      <c r="B39" t="s">
        <v>16</v>
      </c>
      <c r="C39" t="s">
        <v>21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10</v>
      </c>
      <c r="B40" t="s">
        <v>16</v>
      </c>
      <c r="C40" t="s">
        <v>22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10</v>
      </c>
      <c r="B41" t="s">
        <v>16</v>
      </c>
      <c r="C41" t="s">
        <v>23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10</v>
      </c>
      <c r="B42" t="s">
        <v>16</v>
      </c>
      <c r="C42" t="s">
        <v>24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10</v>
      </c>
      <c r="B43" t="s">
        <v>16</v>
      </c>
      <c r="C43" t="s">
        <v>25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10</v>
      </c>
      <c r="B44" t="s">
        <v>16</v>
      </c>
      <c r="C44" t="s">
        <v>26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10</v>
      </c>
      <c r="B45" t="s">
        <v>16</v>
      </c>
      <c r="C45" t="s">
        <v>27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10</v>
      </c>
      <c r="B46" t="s">
        <v>16</v>
      </c>
      <c r="C46" t="s">
        <v>28</v>
      </c>
      <c r="D46" t="s">
        <v>1167</v>
      </c>
      <c r="E46" t="s">
        <v>1168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10</v>
      </c>
      <c r="B47" t="s">
        <v>16</v>
      </c>
      <c r="C47" t="s">
        <v>29</v>
      </c>
      <c r="D47" t="s">
        <v>1167</v>
      </c>
      <c r="E47" t="s">
        <v>1169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10</v>
      </c>
      <c r="B48" t="s">
        <v>16</v>
      </c>
      <c r="C48" t="s">
        <v>30</v>
      </c>
      <c r="D48" t="s">
        <v>1167</v>
      </c>
      <c r="E48" t="s">
        <v>1170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10</v>
      </c>
      <c r="B49" t="s">
        <v>16</v>
      </c>
      <c r="C49" t="s">
        <v>31</v>
      </c>
      <c r="D49" t="s">
        <v>1171</v>
      </c>
      <c r="E49" t="s">
        <v>1172</v>
      </c>
      <c r="F49" t="s">
        <v>1173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10</v>
      </c>
      <c r="B50" t="s">
        <v>16</v>
      </c>
      <c r="C50" t="s">
        <v>32</v>
      </c>
      <c r="D50" t="s">
        <v>1171</v>
      </c>
      <c r="E50" t="s">
        <v>1172</v>
      </c>
      <c r="F50" t="s">
        <v>1168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10</v>
      </c>
      <c r="B51" t="s">
        <v>33</v>
      </c>
      <c r="C51" t="s">
        <v>34</v>
      </c>
      <c r="D51" t="s">
        <v>1171</v>
      </c>
      <c r="E51" t="s">
        <v>1172</v>
      </c>
      <c r="F51" t="s">
        <v>1169</v>
      </c>
      <c r="G51" t="str">
        <f t="shared" si="0"/>
        <v>xlsx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1</v>
      </c>
      <c r="J51" s="6">
        <f t="shared" si="1"/>
        <v>0</v>
      </c>
    </row>
    <row r="52" spans="1:10" x14ac:dyDescent="0.25">
      <c r="A52" t="s">
        <v>10</v>
      </c>
      <c r="B52" t="s">
        <v>33</v>
      </c>
      <c r="C52" t="s">
        <v>35</v>
      </c>
      <c r="D52" t="s">
        <v>1171</v>
      </c>
      <c r="E52" t="s">
        <v>1172</v>
      </c>
      <c r="F52" t="s">
        <v>1174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25">
      <c r="A53" t="s">
        <v>10</v>
      </c>
      <c r="B53" t="s">
        <v>33</v>
      </c>
      <c r="C53" t="s">
        <v>36</v>
      </c>
      <c r="D53" t="s">
        <v>1171</v>
      </c>
      <c r="E53" t="s">
        <v>1172</v>
      </c>
      <c r="F53" t="s">
        <v>1166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25">
      <c r="A54" t="s">
        <v>10</v>
      </c>
      <c r="B54" t="s">
        <v>33</v>
      </c>
      <c r="C54" t="s">
        <v>37</v>
      </c>
      <c r="D54" t="s">
        <v>1171</v>
      </c>
      <c r="E54" t="s">
        <v>1172</v>
      </c>
      <c r="F54" t="s">
        <v>1170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25">
      <c r="A55" t="s">
        <v>10</v>
      </c>
      <c r="B55" t="s">
        <v>33</v>
      </c>
      <c r="C55" t="s">
        <v>38</v>
      </c>
      <c r="D55" t="s">
        <v>1171</v>
      </c>
      <c r="E55" t="s">
        <v>1172</v>
      </c>
      <c r="F55" t="s">
        <v>1175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25">
      <c r="A56" t="s">
        <v>10</v>
      </c>
      <c r="B56" t="s">
        <v>33</v>
      </c>
      <c r="C56" t="s">
        <v>39</v>
      </c>
      <c r="D56" t="s">
        <v>1176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10</v>
      </c>
      <c r="B57" t="s">
        <v>33</v>
      </c>
      <c r="C57" t="s">
        <v>40</v>
      </c>
      <c r="D57" t="s">
        <v>1177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10</v>
      </c>
      <c r="B58" t="s">
        <v>41</v>
      </c>
      <c r="C58" t="s">
        <v>42</v>
      </c>
      <c r="D58" t="s">
        <v>1178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1</v>
      </c>
      <c r="J58" s="6">
        <f t="shared" si="1"/>
        <v>0</v>
      </c>
    </row>
    <row r="59" spans="1:10" x14ac:dyDescent="0.25">
      <c r="A59" t="s">
        <v>10</v>
      </c>
      <c r="B59" t="s">
        <v>41</v>
      </c>
      <c r="C59" t="s">
        <v>43</v>
      </c>
      <c r="D59" t="s">
        <v>1179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10</v>
      </c>
      <c r="B60" t="s">
        <v>41</v>
      </c>
      <c r="C60" t="s">
        <v>44</v>
      </c>
      <c r="D60" t="s">
        <v>1180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10</v>
      </c>
      <c r="B61" t="s">
        <v>41</v>
      </c>
      <c r="C61" t="s">
        <v>45</v>
      </c>
      <c r="D61" t="s">
        <v>1181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25">
      <c r="A62" t="s">
        <v>10</v>
      </c>
      <c r="B62" t="s">
        <v>46</v>
      </c>
      <c r="C62" t="s">
        <v>47</v>
      </c>
      <c r="D62" t="s">
        <v>1182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1</v>
      </c>
      <c r="J62" s="6">
        <f t="shared" si="1"/>
        <v>0</v>
      </c>
    </row>
    <row r="63" spans="1:10" x14ac:dyDescent="0.25">
      <c r="A63" t="s">
        <v>10</v>
      </c>
      <c r="B63" t="s">
        <v>46</v>
      </c>
      <c r="C63" t="s">
        <v>48</v>
      </c>
      <c r="D63" t="s">
        <v>1183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10</v>
      </c>
      <c r="B64" t="s">
        <v>46</v>
      </c>
      <c r="C64" t="s">
        <v>49</v>
      </c>
      <c r="D64" t="s">
        <v>1184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10</v>
      </c>
      <c r="B65" t="s">
        <v>50</v>
      </c>
      <c r="C65" t="s">
        <v>51</v>
      </c>
      <c r="D65" t="s">
        <v>1185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Component Lifetime.xlsx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10</v>
      </c>
      <c r="B66" t="s">
        <v>50</v>
      </c>
      <c r="C66" t="s">
        <v>52</v>
      </c>
      <c r="D66" t="s">
        <v>1186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Component Lifetime.xlsx</v>
      </c>
      <c r="I66" s="5">
        <f>IFERROR(INDEX(About!$D:$D,MATCH(Sheet1!H66,About!$C:$C,0),1),0)</f>
        <v>1</v>
      </c>
      <c r="J66" s="6">
        <f t="shared" si="1"/>
        <v>0</v>
      </c>
    </row>
    <row r="67" spans="1:10" x14ac:dyDescent="0.25">
      <c r="A67" t="s">
        <v>10</v>
      </c>
      <c r="B67" t="s">
        <v>53</v>
      </c>
      <c r="C67" t="s">
        <v>54</v>
      </c>
      <c r="D67" t="s">
        <v>1187</v>
      </c>
      <c r="G67" t="str">
        <f t="shared" si="0"/>
        <v>xlsx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1</v>
      </c>
      <c r="J67" s="6">
        <f t="shared" si="1"/>
        <v>0</v>
      </c>
    </row>
    <row r="68" spans="1:10" x14ac:dyDescent="0.25">
      <c r="A68" t="s">
        <v>10</v>
      </c>
      <c r="B68" t="s">
        <v>53</v>
      </c>
      <c r="C68" t="s">
        <v>1031</v>
      </c>
      <c r="D68" t="s">
        <v>1188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10</v>
      </c>
      <c r="B69" t="s">
        <v>53</v>
      </c>
      <c r="C69" t="s">
        <v>1032</v>
      </c>
      <c r="D69" t="s">
        <v>1189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10</v>
      </c>
      <c r="B70" t="s">
        <v>55</v>
      </c>
      <c r="C70" t="s">
        <v>56</v>
      </c>
      <c r="D70" t="s">
        <v>1190</v>
      </c>
      <c r="G70" t="str">
        <f t="shared" si="2"/>
        <v>xlsx</v>
      </c>
      <c r="H70" s="5" t="str">
        <f>IFERROR(IF(B70="FoPITY",INDEX(Customizations!$C$2:$C$19,MATCH(Sheet1!C70,Customizations!$B$2:$B$19,0),1),INDEX(About!C:C,MATCH(Sheet1!B70,About!B:B,0),1)),"")</f>
        <v>Distributed Solar Cap Factor.xlsx</v>
      </c>
      <c r="I70" s="5">
        <f>IFERROR(INDEX(About!$D:$D,MATCH(Sheet1!H70,About!$C:$C,0),1),0)</f>
        <v>1</v>
      </c>
      <c r="J70" s="6">
        <f t="shared" si="1"/>
        <v>0</v>
      </c>
    </row>
    <row r="71" spans="1:10" x14ac:dyDescent="0.25">
      <c r="A71" t="s">
        <v>10</v>
      </c>
      <c r="B71" t="s">
        <v>55</v>
      </c>
      <c r="C71" t="s">
        <v>57</v>
      </c>
      <c r="D71" t="s">
        <v>1191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Distributed Solar Cap Factor.xlsx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10</v>
      </c>
      <c r="B72" t="s">
        <v>58</v>
      </c>
      <c r="C72" t="s">
        <v>59</v>
      </c>
      <c r="D72" t="s">
        <v>1192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Embedded Carbon in Components per Currency Unit.xlsx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10</v>
      </c>
      <c r="B73" t="s">
        <v>58</v>
      </c>
      <c r="C73" t="s">
        <v>60</v>
      </c>
      <c r="D73" t="s">
        <v>1193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Embedded Carbon in Components per Currency Unit.xlsx</v>
      </c>
      <c r="I73" s="5">
        <f>IFERROR(INDEX(About!$D:$D,MATCH(Sheet1!H73,About!$C:$C,0),1),0)</f>
        <v>1</v>
      </c>
      <c r="J73" s="6">
        <f t="shared" si="3"/>
        <v>0</v>
      </c>
    </row>
    <row r="74" spans="1:10" x14ac:dyDescent="0.25">
      <c r="A74" t="s">
        <v>10</v>
      </c>
      <c r="B74" t="s">
        <v>61</v>
      </c>
      <c r="C74" t="s">
        <v>62</v>
      </c>
      <c r="D74" t="s">
        <v>1194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Bldg Svc Demand wrt E Cost.xlsx</v>
      </c>
      <c r="I74" s="5">
        <f>IFERROR(INDEX(About!$D:$D,MATCH(Sheet1!H74,About!$C:$C,0),1),0)</f>
        <v>1</v>
      </c>
      <c r="J74" s="6">
        <f t="shared" si="3"/>
        <v>0</v>
      </c>
    </row>
    <row r="75" spans="1:10" x14ac:dyDescent="0.25">
      <c r="A75" t="s">
        <v>10</v>
      </c>
      <c r="B75" t="s">
        <v>61</v>
      </c>
      <c r="C75" t="s">
        <v>63</v>
      </c>
      <c r="D75" t="s">
        <v>1195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Bldg Svc Demand wrt E Cost.xlsx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10</v>
      </c>
      <c r="B76" t="s">
        <v>64</v>
      </c>
      <c r="C76" t="s">
        <v>65</v>
      </c>
      <c r="D76" t="s">
        <v>1196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 of Component E Demand wrt E Cost.xlsx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25">
      <c r="A77" t="s">
        <v>10</v>
      </c>
      <c r="B77" t="s">
        <v>64</v>
      </c>
      <c r="C77" t="s">
        <v>66</v>
      </c>
      <c r="D77" t="s">
        <v>1197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 of Component E Demand wrt E Cost.xlsx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10</v>
      </c>
      <c r="B78" t="s">
        <v>67</v>
      </c>
      <c r="C78" t="s">
        <v>68</v>
      </c>
      <c r="D78" t="s">
        <v>1198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Elast of Component Price wrt E Use.xlsx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25">
      <c r="A79" t="s">
        <v>10</v>
      </c>
      <c r="B79" t="s">
        <v>67</v>
      </c>
      <c r="C79" t="s">
        <v>69</v>
      </c>
      <c r="D79" t="s">
        <v>1199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Elast of Component Price wrt E Use.xlsx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25">
      <c r="A80" t="s">
        <v>10</v>
      </c>
      <c r="B80" t="s">
        <v>70</v>
      </c>
      <c r="C80" t="s">
        <v>71</v>
      </c>
      <c r="D80" t="s">
        <v>1200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Elasticity of Dist Solar Deployment wrt Subsidy Perc.xlsx</v>
      </c>
      <c r="I80" s="5">
        <f>IFERROR(INDEX(About!$D:$D,MATCH(Sheet1!H80,About!$C:$C,0),1),0)</f>
        <v>1</v>
      </c>
      <c r="J80" s="6">
        <f t="shared" si="3"/>
        <v>0</v>
      </c>
    </row>
    <row r="81" spans="1:10" x14ac:dyDescent="0.25">
      <c r="A81" t="s">
        <v>10</v>
      </c>
      <c r="B81" t="s">
        <v>70</v>
      </c>
      <c r="C81" t="s">
        <v>72</v>
      </c>
      <c r="D81" t="s">
        <v>1201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Elasticity of Dist Solar Deployment wrt Subsidy Perc.xlsx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10</v>
      </c>
      <c r="B82" t="s">
        <v>73</v>
      </c>
      <c r="C82" t="s">
        <v>74</v>
      </c>
      <c r="D82" t="s">
        <v>1202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Frac of Bldgs Owned by Entity.xlsx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25">
      <c r="A83" t="s">
        <v>10</v>
      </c>
      <c r="B83" t="s">
        <v>73</v>
      </c>
      <c r="C83" t="s">
        <v>75</v>
      </c>
      <c r="D83" t="s">
        <v>1203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Frac of Bldgs Owned by Entity.xlsx</v>
      </c>
      <c r="I83" s="5">
        <f>IFERROR(INDEX(About!$D:$D,MATCH(Sheet1!H83,About!$C:$C,0),1),0)</f>
        <v>1</v>
      </c>
      <c r="J83" s="6">
        <f t="shared" si="3"/>
        <v>0</v>
      </c>
    </row>
    <row r="84" spans="1:10" x14ac:dyDescent="0.25">
      <c r="A84" t="s">
        <v>10</v>
      </c>
      <c r="B84" t="s">
        <v>1100</v>
      </c>
      <c r="C84" t="s">
        <v>1101</v>
      </c>
      <c r="D84" t="s">
        <v>1204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10</v>
      </c>
      <c r="B85" t="s">
        <v>1100</v>
      </c>
      <c r="C85" t="s">
        <v>1102</v>
      </c>
      <c r="D85" t="s">
        <v>1205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10</v>
      </c>
      <c r="B86" t="s">
        <v>1100</v>
      </c>
      <c r="C86" t="s">
        <v>1103</v>
      </c>
      <c r="D86" t="s">
        <v>1206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25">
      <c r="A87" t="s">
        <v>10</v>
      </c>
      <c r="B87" t="s">
        <v>1100</v>
      </c>
      <c r="C87" t="s">
        <v>1104</v>
      </c>
      <c r="D87" t="s">
        <v>1207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10</v>
      </c>
      <c r="B88" t="s">
        <v>1100</v>
      </c>
      <c r="C88" t="s">
        <v>1105</v>
      </c>
      <c r="D88" t="s">
        <v>1208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10</v>
      </c>
      <c r="B89" t="s">
        <v>1100</v>
      </c>
      <c r="C89" t="s">
        <v>1106</v>
      </c>
      <c r="D89" t="s">
        <v>1209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25">
      <c r="A90" t="s">
        <v>10</v>
      </c>
      <c r="B90" t="s">
        <v>1100</v>
      </c>
      <c r="C90" t="s">
        <v>1107</v>
      </c>
      <c r="D90" t="s">
        <v>1210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10</v>
      </c>
      <c r="B91" t="s">
        <v>1100</v>
      </c>
      <c r="C91" t="s">
        <v>1108</v>
      </c>
      <c r="D91" t="s">
        <v>1211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10</v>
      </c>
      <c r="B92" t="s">
        <v>1100</v>
      </c>
      <c r="C92" t="s">
        <v>1109</v>
      </c>
      <c r="D92" t="s">
        <v>1212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10</v>
      </c>
      <c r="B93" t="s">
        <v>1100</v>
      </c>
      <c r="C93" t="s">
        <v>1110</v>
      </c>
      <c r="D93" t="s">
        <v>1213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Incr Cost per Unit E for Electrified Building Equipment.xlsx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25">
      <c r="A94" t="s">
        <v>10</v>
      </c>
      <c r="B94" t="s">
        <v>76</v>
      </c>
      <c r="C94" t="s">
        <v>77</v>
      </c>
      <c r="D94" t="s">
        <v>1214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Market Share Changes due to Rebate Prog by Qual Lvl.xlsx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25">
      <c r="A95" t="s">
        <v>10</v>
      </c>
      <c r="B95" t="s">
        <v>76</v>
      </c>
      <c r="C95" t="s">
        <v>78</v>
      </c>
      <c r="D95" t="s">
        <v>1215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Market Share Changes due to Rebate Prog by Qual Lvl.xlsx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25">
      <c r="A96" t="s">
        <v>10</v>
      </c>
      <c r="B96" t="s">
        <v>79</v>
      </c>
      <c r="C96" t="s">
        <v>80</v>
      </c>
      <c r="D96" t="s">
        <v>1216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Perc Components Fuel Use Reduction for Electricity.xlsx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25">
      <c r="A97" t="s">
        <v>10</v>
      </c>
      <c r="B97" t="s">
        <v>79</v>
      </c>
      <c r="C97" t="s">
        <v>81</v>
      </c>
      <c r="D97" t="s">
        <v>1217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Perc Components Fuel Use Reduction for Electricity.xlsx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25">
      <c r="A98" t="s">
        <v>10</v>
      </c>
      <c r="B98" t="s">
        <v>82</v>
      </c>
      <c r="C98" t="s">
        <v>83</v>
      </c>
      <c r="D98" t="s">
        <v>1218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Perc E Use Difference from Std by Qual Level.xlsx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25">
      <c r="A99" t="s">
        <v>10</v>
      </c>
      <c r="B99" t="s">
        <v>82</v>
      </c>
      <c r="C99" t="s">
        <v>84</v>
      </c>
      <c r="D99" t="s">
        <v>1219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Perc E Use Difference from Std by Qual Level.xlsx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25">
      <c r="A100" t="s">
        <v>10</v>
      </c>
      <c r="B100" t="s">
        <v>85</v>
      </c>
      <c r="C100" t="s">
        <v>86</v>
      </c>
      <c r="D100" t="s">
        <v>1220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Pot Perc Eff Impr due to Impr Contractor Edu and Training.xlsx</v>
      </c>
      <c r="I100" s="5">
        <f>IFERROR(INDEX(About!$D:$D,MATCH(Sheet1!H100,About!$C:$C,0),1),0)</f>
        <v>1</v>
      </c>
      <c r="J100" s="6">
        <f t="shared" si="3"/>
        <v>0</v>
      </c>
    </row>
    <row r="101" spans="1:10" x14ac:dyDescent="0.25">
      <c r="A101" t="s">
        <v>10</v>
      </c>
      <c r="B101" t="s">
        <v>85</v>
      </c>
      <c r="C101" t="s">
        <v>87</v>
      </c>
      <c r="D101" t="s">
        <v>1221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Pot Perc Eff Impr due to Impr Contractor Edu and Training.xlsx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25">
      <c r="A102" t="s">
        <v>10</v>
      </c>
      <c r="B102" t="s">
        <v>88</v>
      </c>
      <c r="C102" t="s">
        <v>89</v>
      </c>
      <c r="D102" t="s">
        <v>1222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Potential Perc Eff Improvement due to Impr Labeling.xlsx</v>
      </c>
      <c r="I102" s="5">
        <f>IFERROR(INDEX(About!$D:$D,MATCH(Sheet1!H102,About!$C:$C,0),1),0)</f>
        <v>1</v>
      </c>
      <c r="J102" s="6">
        <f t="shared" si="3"/>
        <v>0</v>
      </c>
    </row>
    <row r="103" spans="1:10" x14ac:dyDescent="0.25">
      <c r="A103" t="s">
        <v>10</v>
      </c>
      <c r="B103" t="s">
        <v>88</v>
      </c>
      <c r="C103" t="s">
        <v>90</v>
      </c>
      <c r="D103" t="s">
        <v>1223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Potential Perc Eff Improvement due to Impr Labeling.xlsx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25">
      <c r="A104" t="s">
        <v>10</v>
      </c>
      <c r="B104" t="s">
        <v>91</v>
      </c>
      <c r="C104" t="s">
        <v>92</v>
      </c>
      <c r="D104" t="s">
        <v>1224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Recipient Buildings Fuel Fractions.xlsx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25">
      <c r="A105" t="s">
        <v>10</v>
      </c>
      <c r="B105" t="s">
        <v>91</v>
      </c>
      <c r="C105" t="s">
        <v>93</v>
      </c>
      <c r="D105" t="s">
        <v>1225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Recipient Buildings Fuel Fractions.xlsx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25">
      <c r="A106" t="s">
        <v>10</v>
      </c>
      <c r="B106" t="s">
        <v>952</v>
      </c>
      <c r="C106" t="s">
        <v>953</v>
      </c>
      <c r="D106" t="s">
        <v>1226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Rebate Perc by Building Component Type.xlsx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25">
      <c r="A107" t="s">
        <v>10</v>
      </c>
      <c r="B107" t="s">
        <v>952</v>
      </c>
      <c r="C107" t="s">
        <v>954</v>
      </c>
      <c r="D107" t="s">
        <v>1227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Rebate Perc by Building Component Type.xlsx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25">
      <c r="A108" t="s">
        <v>10</v>
      </c>
      <c r="B108" t="s">
        <v>955</v>
      </c>
      <c r="C108" t="s">
        <v>956</v>
      </c>
      <c r="D108" t="s">
        <v>1228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Shr of Bldg Cap and Instl Costs by ISIC Code.xlsx</v>
      </c>
      <c r="I108" s="5">
        <f>IFERROR(INDEX(About!$D:$D,MATCH(Sheet1!H108,About!$C:$C,0),1),0)</f>
        <v>1</v>
      </c>
      <c r="J108" s="6">
        <f t="shared" si="3"/>
        <v>0</v>
      </c>
    </row>
    <row r="109" spans="1:10" x14ac:dyDescent="0.25">
      <c r="A109" t="s">
        <v>10</v>
      </c>
      <c r="B109" t="s">
        <v>955</v>
      </c>
      <c r="C109" t="s">
        <v>957</v>
      </c>
      <c r="D109" t="s">
        <v>1229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Bldg Cap and Instl Costs by ISIC Code.xlsx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25">
      <c r="A110" t="s">
        <v>10</v>
      </c>
      <c r="B110" t="s">
        <v>955</v>
      </c>
      <c r="C110" t="s">
        <v>958</v>
      </c>
      <c r="D110" t="s">
        <v>1230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Shr of Bldg Cap and Instl Costs by ISIC Code.xlsx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10</v>
      </c>
      <c r="B111" t="s">
        <v>955</v>
      </c>
      <c r="C111" t="s">
        <v>959</v>
      </c>
      <c r="D111" t="s">
        <v>1231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Shr of Bldg Cap and Instl Costs by ISIC Code.xlsx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10</v>
      </c>
      <c r="B112" t="s">
        <v>94</v>
      </c>
      <c r="C112" t="s">
        <v>95</v>
      </c>
      <c r="D112" t="s">
        <v>1232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Share of Cpnt E Use that is New This Year.xlsx</v>
      </c>
      <c r="I112" s="5">
        <f>IFERROR(INDEX(About!$D:$D,MATCH(Sheet1!H112,About!$C:$C,0),1),0)</f>
        <v>1</v>
      </c>
      <c r="J112" s="6">
        <f t="shared" si="3"/>
        <v>0</v>
      </c>
    </row>
    <row r="113" spans="1:10" x14ac:dyDescent="0.25">
      <c r="A113" t="s">
        <v>10</v>
      </c>
      <c r="B113" t="s">
        <v>94</v>
      </c>
      <c r="C113" t="s">
        <v>96</v>
      </c>
      <c r="D113" t="s">
        <v>1233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Share of Cpnt E Use that is New This Year.xlsx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10</v>
      </c>
      <c r="B114" t="s">
        <v>1312</v>
      </c>
      <c r="C114" t="s">
        <v>1313</v>
      </c>
      <c r="D114" t="s">
        <v>1234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/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10</v>
      </c>
      <c r="B115" t="s">
        <v>1312</v>
      </c>
      <c r="C115" t="s">
        <v>1314</v>
      </c>
      <c r="D115" t="s">
        <v>1235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/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10</v>
      </c>
      <c r="B116" t="s">
        <v>960</v>
      </c>
      <c r="C116" t="s">
        <v>961</v>
      </c>
      <c r="D116" t="s">
        <v>1236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1</v>
      </c>
      <c r="J116" s="6">
        <f t="shared" si="3"/>
        <v>0</v>
      </c>
    </row>
    <row r="117" spans="1:10" x14ac:dyDescent="0.25">
      <c r="A117" t="s">
        <v>10</v>
      </c>
      <c r="B117" t="s">
        <v>960</v>
      </c>
      <c r="C117" t="s">
        <v>962</v>
      </c>
      <c r="D117" t="s">
        <v>1237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25">
      <c r="A118" t="s">
        <v>10</v>
      </c>
      <c r="B118" t="s">
        <v>960</v>
      </c>
      <c r="C118" t="s">
        <v>963</v>
      </c>
      <c r="D118" t="s">
        <v>1238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Start Year Components Energy Use.xlsx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25">
      <c r="A119" t="s">
        <v>10</v>
      </c>
      <c r="B119" t="s">
        <v>960</v>
      </c>
      <c r="C119" t="s">
        <v>964</v>
      </c>
      <c r="D119" t="s">
        <v>1239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Components Energy Use.xlsx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25">
      <c r="A120" t="s">
        <v>10</v>
      </c>
      <c r="B120" t="s">
        <v>965</v>
      </c>
      <c r="C120" t="s">
        <v>966</v>
      </c>
      <c r="D120" t="s">
        <v>1240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Start Year Distributed Electricity Capacity.xlsx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25">
      <c r="A121" t="s">
        <v>10</v>
      </c>
      <c r="B121" t="s">
        <v>965</v>
      </c>
      <c r="C121" t="s">
        <v>967</v>
      </c>
      <c r="D121" t="s">
        <v>1241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Start Year Distributed Electricity Capacity.xlsx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97</v>
      </c>
      <c r="B122" t="s">
        <v>909</v>
      </c>
      <c r="C122" t="s">
        <v>910</v>
      </c>
      <c r="D122" t="s">
        <v>1242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BAU Fraction of CCS Potential Achieved by Sector.xlsx</v>
      </c>
      <c r="I122" s="5">
        <f>IFERROR(INDEX(About!$D:$D,MATCH(Sheet1!H122,About!$C:$C,0),1),0)</f>
        <v>1</v>
      </c>
      <c r="J122" s="6">
        <f t="shared" si="3"/>
        <v>0</v>
      </c>
    </row>
    <row r="123" spans="1:10" x14ac:dyDescent="0.25">
      <c r="A123" t="s">
        <v>97</v>
      </c>
      <c r="B123" t="s">
        <v>909</v>
      </c>
      <c r="C123" t="s">
        <v>911</v>
      </c>
      <c r="D123" t="s">
        <v>1243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BAU Fraction of CCS Potential Achieved by Sector.xlsx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25">
      <c r="A124" t="s">
        <v>97</v>
      </c>
      <c r="B124" t="s">
        <v>98</v>
      </c>
      <c r="C124" t="s">
        <v>99</v>
      </c>
      <c r="D124" t="s">
        <v>1244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CCS Calculations.xlsx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25">
      <c r="A125" t="s">
        <v>97</v>
      </c>
      <c r="B125" t="s">
        <v>98</v>
      </c>
      <c r="C125" t="s">
        <v>100</v>
      </c>
      <c r="D125" t="s">
        <v>1245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CCS Calculations.xlsx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25">
      <c r="A126" t="s">
        <v>97</v>
      </c>
      <c r="B126" t="s">
        <v>98</v>
      </c>
      <c r="C126" t="s">
        <v>101</v>
      </c>
      <c r="D126" t="s">
        <v>1246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25">
      <c r="A127" t="s">
        <v>97</v>
      </c>
      <c r="B127" t="s">
        <v>98</v>
      </c>
      <c r="C127" t="s">
        <v>968</v>
      </c>
      <c r="D127" t="s">
        <v>1247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CCS Calculations.xlsx</v>
      </c>
      <c r="I127" s="5">
        <f>IFERROR(INDEX(About!$D:$D,MATCH(Sheet1!H127,About!$C:$C,0),1),0)</f>
        <v>1</v>
      </c>
      <c r="J127" s="6">
        <f t="shared" si="3"/>
        <v>0</v>
      </c>
    </row>
    <row r="128" spans="1:10" x14ac:dyDescent="0.25">
      <c r="A128" t="s">
        <v>97</v>
      </c>
      <c r="B128" t="s">
        <v>912</v>
      </c>
      <c r="C128" t="s">
        <v>913</v>
      </c>
      <c r="D128" t="s">
        <v>1248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CO2 Capture Potentials.xlsx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25">
      <c r="A129" t="s">
        <v>97</v>
      </c>
      <c r="B129" t="s">
        <v>912</v>
      </c>
      <c r="C129" t="s">
        <v>914</v>
      </c>
      <c r="D129" t="s">
        <v>1249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CO2 Capture Potentials.xlsx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25">
      <c r="A130" t="s">
        <v>97</v>
      </c>
      <c r="B130" t="s">
        <v>912</v>
      </c>
      <c r="C130" t="s">
        <v>915</v>
      </c>
      <c r="D130" t="s">
        <v>1250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CO2 Capture Potentials.xlsx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25">
      <c r="A131" t="s">
        <v>102</v>
      </c>
      <c r="B131" t="s">
        <v>103</v>
      </c>
      <c r="C131" t="s">
        <v>104</v>
      </c>
      <c r="D131" t="s">
        <v>1251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Discount Rate.xlsx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25">
      <c r="A132" t="s">
        <v>102</v>
      </c>
      <c r="B132" t="s">
        <v>103</v>
      </c>
      <c r="C132" t="s">
        <v>105</v>
      </c>
      <c r="D132" t="s">
        <v>1252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Discount Rate.xlsx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102</v>
      </c>
      <c r="B133" t="s">
        <v>969</v>
      </c>
      <c r="C133" t="s">
        <v>970</v>
      </c>
      <c r="D133" t="s">
        <v>1253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Quantization Size for Cash Flows.xlsx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25">
      <c r="A134" t="s">
        <v>102</v>
      </c>
      <c r="B134" t="s">
        <v>969</v>
      </c>
      <c r="C134" t="s">
        <v>971</v>
      </c>
      <c r="D134" t="s">
        <v>1254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Quantization Size for Cash Flows.xlsx</v>
      </c>
      <c r="I134" s="5">
        <f>IFERROR(INDEX(About!$D:$D,MATCH(Sheet1!H134,About!$C:$C,0),1),0)</f>
        <v>1</v>
      </c>
      <c r="J134" s="6">
        <f t="shared" si="3"/>
        <v>0</v>
      </c>
    </row>
    <row r="135" spans="1:10" x14ac:dyDescent="0.25">
      <c r="A135" t="s">
        <v>1129</v>
      </c>
      <c r="B135" t="s">
        <v>975</v>
      </c>
      <c r="C135" t="s">
        <v>976</v>
      </c>
      <c r="D135" t="s">
        <v>1255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Quantization Size for Pollutants.xlsx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25">
      <c r="A136" t="s">
        <v>1129</v>
      </c>
      <c r="B136" t="s">
        <v>975</v>
      </c>
      <c r="C136" t="s">
        <v>977</v>
      </c>
      <c r="D136" t="s">
        <v>1256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Quantization Size for Pollutants.xlsx</v>
      </c>
      <c r="I136" s="5">
        <f>IFERROR(INDEX(About!$D:$D,MATCH(Sheet1!H136,About!$C:$C,0),1),0)</f>
        <v>1</v>
      </c>
      <c r="J136" s="6">
        <f t="shared" si="5"/>
        <v>0</v>
      </c>
    </row>
    <row r="137" spans="1:10" x14ac:dyDescent="0.25">
      <c r="A137" t="s">
        <v>916</v>
      </c>
      <c r="B137" t="s">
        <v>474</v>
      </c>
      <c r="C137" t="s">
        <v>475</v>
      </c>
      <c r="D137" s="8" t="s">
        <v>1257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Bool Are Energy Prices Affected by Chng in Production Costs.xlsx</v>
      </c>
      <c r="I137" s="5">
        <f>IFERROR(INDEX(About!$D:$D,MATCH(Sheet1!H137,About!$C:$C,0),1),0)</f>
        <v>1</v>
      </c>
      <c r="J137" s="6">
        <f t="shared" si="5"/>
        <v>1</v>
      </c>
    </row>
    <row r="138" spans="1:10" x14ac:dyDescent="0.25">
      <c r="A138" t="s">
        <v>916</v>
      </c>
      <c r="B138" t="s">
        <v>474</v>
      </c>
      <c r="C138" t="s">
        <v>476</v>
      </c>
      <c r="D138" t="s">
        <v>1258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Bool Are Energy Prices Affected by Chng in Production Costs.xlsx</v>
      </c>
      <c r="I138" s="5">
        <f>IFERROR(INDEX(About!$D:$D,MATCH(Sheet1!H138,About!$C:$C,0),1),0)</f>
        <v>1</v>
      </c>
      <c r="J138" s="6">
        <f t="shared" si="5"/>
        <v>0</v>
      </c>
    </row>
    <row r="139" spans="1:10" x14ac:dyDescent="0.25">
      <c r="A139" t="s">
        <v>916</v>
      </c>
      <c r="B139" t="s">
        <v>972</v>
      </c>
      <c r="C139" t="s">
        <v>973</v>
      </c>
      <c r="D139" t="s">
        <v>1259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Boolean Disable Macroecon Feedback Loops.xlsx</v>
      </c>
      <c r="I139" s="5">
        <f>IFERROR(INDEX(About!$D:$D,MATCH(Sheet1!H139,About!$C:$C,0),1),0)</f>
        <v>1</v>
      </c>
      <c r="J139" s="6">
        <f t="shared" si="5"/>
        <v>1</v>
      </c>
    </row>
    <row r="140" spans="1:10" x14ac:dyDescent="0.25">
      <c r="A140" t="s">
        <v>916</v>
      </c>
      <c r="B140" t="s">
        <v>972</v>
      </c>
      <c r="C140" t="s">
        <v>974</v>
      </c>
      <c r="D140" t="s">
        <v>1260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Boolean Disable Macroecon Feedback Loops.xlsx</v>
      </c>
      <c r="I140" s="5">
        <f>IFERROR(INDEX(About!$D:$D,MATCH(Sheet1!H140,About!$C:$C,0),1),0)</f>
        <v>1</v>
      </c>
      <c r="J140" s="6">
        <f t="shared" si="5"/>
        <v>0</v>
      </c>
    </row>
    <row r="141" spans="1:10" x14ac:dyDescent="0.25">
      <c r="A141" t="s">
        <v>916</v>
      </c>
      <c r="B141" t="s">
        <v>477</v>
      </c>
      <c r="C141" t="s">
        <v>478</v>
      </c>
      <c r="D141" t="s">
        <v>1261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Boolean Exempt Non CO2 Emissions from Carbon Tax.xlsx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25">
      <c r="A142" t="s">
        <v>916</v>
      </c>
      <c r="B142" t="s">
        <v>477</v>
      </c>
      <c r="C142" t="s">
        <v>479</v>
      </c>
      <c r="D142" t="s">
        <v>1262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Boolean Exempt Non CO2 Emissions from Carbon Tax.xlsx</v>
      </c>
      <c r="I142" s="5">
        <f>IFERROR(INDEX(About!$D:$D,MATCH(Sheet1!H142,About!$C:$C,0),1),0)</f>
        <v>1</v>
      </c>
      <c r="J142" s="6">
        <f t="shared" si="5"/>
        <v>0</v>
      </c>
    </row>
    <row r="143" spans="1:10" x14ac:dyDescent="0.25">
      <c r="A143" t="s">
        <v>916</v>
      </c>
      <c r="B143" t="s">
        <v>917</v>
      </c>
      <c r="C143" t="s">
        <v>480</v>
      </c>
      <c r="D143" t="s">
        <v>1263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Boolean Exempt Process Emissions From Carbon Tax.xlsx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25">
      <c r="A144" t="s">
        <v>916</v>
      </c>
      <c r="B144" t="s">
        <v>917</v>
      </c>
      <c r="C144" t="s">
        <v>918</v>
      </c>
      <c r="D144" t="s">
        <v>1264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Boolean Exempt Process Emissions From Carbon Tax.xlsx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25">
      <c r="A145" t="s">
        <v>916</v>
      </c>
      <c r="B145" t="s">
        <v>481</v>
      </c>
      <c r="C145" t="s">
        <v>482</v>
      </c>
      <c r="D145" t="s">
        <v>1265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Boolean Include Emissions from Imported Electricity.xlsx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25">
      <c r="A146" t="s">
        <v>916</v>
      </c>
      <c r="B146" t="s">
        <v>481</v>
      </c>
      <c r="C146" t="s">
        <v>483</v>
      </c>
      <c r="D146" t="s">
        <v>1266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Boolean Include Emissions from Imported Electricity.xlsx</v>
      </c>
      <c r="I146" s="5">
        <f>IFERROR(INDEX(About!$D:$D,MATCH(Sheet1!H146,About!$C:$C,0),1),0)</f>
        <v>1</v>
      </c>
      <c r="J146" s="6">
        <f t="shared" si="5"/>
        <v>0</v>
      </c>
    </row>
    <row r="147" spans="1:10" x14ac:dyDescent="0.25">
      <c r="A147" t="s">
        <v>916</v>
      </c>
      <c r="B147" t="s">
        <v>484</v>
      </c>
      <c r="C147" t="s">
        <v>485</v>
      </c>
      <c r="D147" t="s">
        <v>1267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Use Twenty Year GWP Values.xlsx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25">
      <c r="A148" t="s">
        <v>916</v>
      </c>
      <c r="B148" t="s">
        <v>484</v>
      </c>
      <c r="C148" t="s">
        <v>486</v>
      </c>
      <c r="D148" t="s">
        <v>1268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Boolean Use Twenty Year GWP Values.xlsx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25">
      <c r="A149" t="s">
        <v>916</v>
      </c>
      <c r="B149" t="s">
        <v>919</v>
      </c>
      <c r="C149" t="s">
        <v>920</v>
      </c>
      <c r="D149" t="s">
        <v>1269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Elasticity of Sectoral Energy Use wrt Per Capita GDP in Recession.xlsx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25">
      <c r="A150" t="s">
        <v>916</v>
      </c>
      <c r="B150" t="s">
        <v>919</v>
      </c>
      <c r="C150" t="s">
        <v>921</v>
      </c>
      <c r="D150" t="s">
        <v>1270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Elasticity of Sectoral Energy Use wrt Per Capita GDP in Recession.xlsx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916</v>
      </c>
      <c r="B151" t="s">
        <v>922</v>
      </c>
      <c r="C151" t="s">
        <v>923</v>
      </c>
      <c r="D151" t="s">
        <v>1271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GDP Growth Rates.xlsx</v>
      </c>
      <c r="I151" s="5">
        <f>IFERROR(INDEX(About!$D:$D,MATCH(Sheet1!H151,About!$C:$C,0),1),0)</f>
        <v>1</v>
      </c>
      <c r="J151" s="6">
        <f t="shared" si="5"/>
        <v>0</v>
      </c>
    </row>
    <row r="152" spans="1:10" x14ac:dyDescent="0.25">
      <c r="A152" t="s">
        <v>916</v>
      </c>
      <c r="B152" t="s">
        <v>922</v>
      </c>
      <c r="C152" t="s">
        <v>924</v>
      </c>
      <c r="D152" t="s">
        <v>1272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GDP Growth Rates.xlsx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25">
      <c r="A153" t="s">
        <v>916</v>
      </c>
      <c r="B153" t="s">
        <v>922</v>
      </c>
      <c r="C153" t="s">
        <v>925</v>
      </c>
      <c r="D153" t="s">
        <v>1273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GDP Growth Rates.xlsx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916</v>
      </c>
      <c r="B154" t="s">
        <v>1033</v>
      </c>
      <c r="C154" t="s">
        <v>1034</v>
      </c>
      <c r="D154" t="s">
        <v>1274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Government Revenue Accounting.xlsx</v>
      </c>
      <c r="I154" s="5">
        <f>IFERROR(INDEX(About!$D:$D,MATCH(Sheet1!H154,About!$C:$C,0),1),0)</f>
        <v>1</v>
      </c>
      <c r="J154" s="6">
        <f t="shared" si="5"/>
        <v>0</v>
      </c>
    </row>
    <row r="155" spans="1:10" x14ac:dyDescent="0.25">
      <c r="A155" t="s">
        <v>916</v>
      </c>
      <c r="B155" t="s">
        <v>1033</v>
      </c>
      <c r="C155" t="s">
        <v>1111</v>
      </c>
      <c r="D155" t="s">
        <v>1275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Government Revenue Accounting.xlsx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25">
      <c r="A156" t="s">
        <v>916</v>
      </c>
      <c r="B156" t="s">
        <v>1033</v>
      </c>
      <c r="C156" t="s">
        <v>1112</v>
      </c>
      <c r="D156" t="s">
        <v>1276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916</v>
      </c>
      <c r="B157" t="s">
        <v>1033</v>
      </c>
      <c r="C157" t="s">
        <v>1113</v>
      </c>
      <c r="D157" t="s">
        <v>1277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25">
      <c r="A158" t="s">
        <v>916</v>
      </c>
      <c r="B158" t="s">
        <v>1033</v>
      </c>
      <c r="C158" t="s">
        <v>1114</v>
      </c>
      <c r="D158" t="s">
        <v>1278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916</v>
      </c>
      <c r="B159" t="s">
        <v>1033</v>
      </c>
      <c r="C159" t="s">
        <v>1115</v>
      </c>
      <c r="D159" t="s">
        <v>1279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916</v>
      </c>
      <c r="B160" t="s">
        <v>1033</v>
      </c>
      <c r="C160" t="s">
        <v>1116</v>
      </c>
      <c r="D160" t="s">
        <v>1280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25">
      <c r="A161" t="s">
        <v>916</v>
      </c>
      <c r="B161" t="s">
        <v>1033</v>
      </c>
      <c r="C161" t="s">
        <v>1117</v>
      </c>
      <c r="D161" t="s">
        <v>1281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916</v>
      </c>
      <c r="B162" t="s">
        <v>1033</v>
      </c>
      <c r="C162" t="s">
        <v>1118</v>
      </c>
      <c r="D162" t="s">
        <v>1282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916</v>
      </c>
      <c r="B163" t="s">
        <v>1033</v>
      </c>
      <c r="C163" t="s">
        <v>1119</v>
      </c>
      <c r="D163" t="s">
        <v>1283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25">
      <c r="A164" t="s">
        <v>1131</v>
      </c>
      <c r="B164" t="s">
        <v>975</v>
      </c>
      <c r="C164" t="s">
        <v>976</v>
      </c>
      <c r="D164" t="s">
        <v>1284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Quantization Size for Pollutants.xlsx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25">
      <c r="A165" t="s">
        <v>1131</v>
      </c>
      <c r="B165" t="s">
        <v>975</v>
      </c>
      <c r="C165" t="s">
        <v>977</v>
      </c>
      <c r="D165" s="8" t="s">
        <v>1285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Quantization Size for Pollutants.xlsx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25">
      <c r="A166" t="s">
        <v>106</v>
      </c>
      <c r="B166" t="s">
        <v>107</v>
      </c>
      <c r="C166" t="s">
        <v>108</v>
      </c>
      <c r="D166" t="s">
        <v>1286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BAU Fraction of Heat from CHP.xlsx</v>
      </c>
      <c r="I166" s="5">
        <f>IFERROR(INDEX(About!$D:$D,MATCH(Sheet1!H166,About!$C:$C,0),1),0)</f>
        <v>1</v>
      </c>
      <c r="J166" s="6">
        <f t="shared" si="5"/>
        <v>0</v>
      </c>
    </row>
    <row r="167" spans="1:10" x14ac:dyDescent="0.25">
      <c r="A167" t="s">
        <v>106</v>
      </c>
      <c r="B167" t="s">
        <v>107</v>
      </c>
      <c r="C167" t="s">
        <v>109</v>
      </c>
      <c r="D167" t="s">
        <v>1287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BAU Fraction of Heat from CHP.xlsx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25">
      <c r="A168" t="s">
        <v>106</v>
      </c>
      <c r="B168" t="s">
        <v>110</v>
      </c>
      <c r="C168" t="s">
        <v>111</v>
      </c>
      <c r="D168" t="s">
        <v>1288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BAU Frac of Heat Provided by Fuel.xlsx</v>
      </c>
      <c r="I168" s="5">
        <f>IFERROR(INDEX(About!$D:$D,MATCH(Sheet1!H168,About!$C:$C,0),1),0)</f>
        <v>1</v>
      </c>
      <c r="J168" s="6">
        <f t="shared" si="5"/>
        <v>0</v>
      </c>
    </row>
    <row r="169" spans="1:10" x14ac:dyDescent="0.25">
      <c r="A169" t="s">
        <v>106</v>
      </c>
      <c r="B169" t="s">
        <v>110</v>
      </c>
      <c r="C169" t="s">
        <v>112</v>
      </c>
      <c r="D169" t="s">
        <v>1289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BAU Frac of Heat Provided by Fuel.xlsx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25">
      <c r="A170" t="s">
        <v>106</v>
      </c>
      <c r="B170" t="s">
        <v>113</v>
      </c>
      <c r="C170" t="s">
        <v>114</v>
      </c>
      <c r="D170" t="s">
        <v>1290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Efficiency of Conversion to Usable Heat.xlsx</v>
      </c>
      <c r="I170" s="5">
        <f>IFERROR(INDEX(About!$D:$D,MATCH(Sheet1!H170,About!$C:$C,0),1),0)</f>
        <v>1</v>
      </c>
      <c r="J170" s="6">
        <f t="shared" si="5"/>
        <v>0</v>
      </c>
    </row>
    <row r="171" spans="1:10" x14ac:dyDescent="0.25">
      <c r="A171" t="s">
        <v>106</v>
      </c>
      <c r="B171" t="s">
        <v>113</v>
      </c>
      <c r="C171" t="s">
        <v>115</v>
      </c>
      <c r="D171" t="s">
        <v>1291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Efficiency of Conversion to Usable Heat.xlsx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25">
      <c r="A172" t="s">
        <v>106</v>
      </c>
      <c r="B172" t="s">
        <v>116</v>
      </c>
      <c r="C172" t="s">
        <v>117</v>
      </c>
      <c r="D172" t="s">
        <v>1292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Recipient Heat Fuel Fractions.xlsx</v>
      </c>
      <c r="I172" s="5">
        <f>IFERROR(INDEX(About!$D:$D,MATCH(Sheet1!H172,About!$C:$C,0),1),0)</f>
        <v>1</v>
      </c>
      <c r="J172" s="6">
        <f t="shared" si="5"/>
        <v>0</v>
      </c>
    </row>
    <row r="173" spans="1:10" x14ac:dyDescent="0.25">
      <c r="A173" t="s">
        <v>106</v>
      </c>
      <c r="B173" t="s">
        <v>116</v>
      </c>
      <c r="C173" t="s">
        <v>118</v>
      </c>
      <c r="D173" t="s">
        <v>1293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Recipient Heat Fuel Fractions.xlsx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25">
      <c r="A174" t="s">
        <v>119</v>
      </c>
      <c r="B174" t="s">
        <v>120</v>
      </c>
      <c r="C174" t="s">
        <v>121</v>
      </c>
      <c r="D174" t="s">
        <v>1294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Ann Ret per Unit Inc in Relative Cost.xlsx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25">
      <c r="A175" t="s">
        <v>119</v>
      </c>
      <c r="B175" t="s">
        <v>120</v>
      </c>
      <c r="C175" t="s">
        <v>122</v>
      </c>
      <c r="D175" t="s">
        <v>1295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Ann Ret per Unit Inc in Relative Cost.xlsx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119</v>
      </c>
      <c r="B176" t="s">
        <v>123</v>
      </c>
      <c r="C176" t="s">
        <v>124</v>
      </c>
      <c r="D176" t="s">
        <v>1296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Battery Cost per Unit Cap.xlsx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25">
      <c r="A177" t="s">
        <v>119</v>
      </c>
      <c r="B177" t="s">
        <v>123</v>
      </c>
      <c r="C177" t="s">
        <v>978</v>
      </c>
      <c r="D177" t="s">
        <v>1297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Battery Cost per Unit Cap.xlsx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25">
      <c r="A178" t="s">
        <v>119</v>
      </c>
      <c r="B178" t="s">
        <v>123</v>
      </c>
      <c r="C178" t="s">
        <v>125</v>
      </c>
      <c r="D178" t="s">
        <v>1298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Battery Cost per Unit Cap.xlsx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25">
      <c r="A179" t="s">
        <v>119</v>
      </c>
      <c r="B179" t="s">
        <v>126</v>
      </c>
      <c r="C179" t="s">
        <v>127</v>
      </c>
      <c r="D179" t="s">
        <v>1299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BAU Cap Retirements before Quantization.xlsx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25">
      <c r="A180" t="s">
        <v>119</v>
      </c>
      <c r="B180" t="s">
        <v>126</v>
      </c>
      <c r="C180" t="s">
        <v>128</v>
      </c>
      <c r="D180" t="s">
        <v>1300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BAU Cap Retirements before Quantization.xlsx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25">
      <c r="A181" t="s">
        <v>119</v>
      </c>
      <c r="B181" t="s">
        <v>129</v>
      </c>
      <c r="C181" t="s">
        <v>130</v>
      </c>
      <c r="D181" t="s">
        <v>1301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BAU Dispatch Priority by Elec Source.xlsx</v>
      </c>
      <c r="I181" s="5">
        <f>IFERROR(INDEX(About!$D:$D,MATCH(Sheet1!H181,About!$C:$C,0),1),0)</f>
        <v>1</v>
      </c>
      <c r="J181" s="6">
        <f t="shared" si="5"/>
        <v>0</v>
      </c>
    </row>
    <row r="182" spans="1:10" x14ac:dyDescent="0.25">
      <c r="A182" t="s">
        <v>119</v>
      </c>
      <c r="B182" t="s">
        <v>129</v>
      </c>
      <c r="C182" t="s">
        <v>131</v>
      </c>
      <c r="D182" t="s">
        <v>1302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BAU Dispatch Priority by Elec Source.xlsx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25">
      <c r="A183" t="s">
        <v>119</v>
      </c>
      <c r="B183" t="s">
        <v>132</v>
      </c>
      <c r="C183" t="s">
        <v>133</v>
      </c>
      <c r="D183" t="s">
        <v>1303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Do Suppliers Bid at Peak Capacity Factors.xlsx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25">
      <c r="A184" t="s">
        <v>119</v>
      </c>
      <c r="B184" t="s">
        <v>132</v>
      </c>
      <c r="C184" t="s">
        <v>134</v>
      </c>
      <c r="D184" t="s">
        <v>1304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Do Suppliers Bid at Peak Capacity Factors.xlsx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25">
      <c r="A185" t="s">
        <v>119</v>
      </c>
      <c r="B185" t="s">
        <v>135</v>
      </c>
      <c r="C185" t="s">
        <v>136</v>
      </c>
      <c r="D185" t="s">
        <v>1305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BAU Expected Capacity Factors.xlsx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25">
      <c r="A186" t="s">
        <v>119</v>
      </c>
      <c r="B186" t="s">
        <v>135</v>
      </c>
      <c r="C186" t="s">
        <v>137</v>
      </c>
      <c r="D186" t="s">
        <v>1306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BAU Expected Capacity Factors.xlsx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25">
      <c r="A187" t="s">
        <v>119</v>
      </c>
      <c r="B187" t="s">
        <v>135</v>
      </c>
      <c r="C187" t="s">
        <v>138</v>
      </c>
      <c r="D187" t="s">
        <v>1307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Expected Capacity Factors.xlsx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25">
      <c r="A188" t="s">
        <v>119</v>
      </c>
      <c r="B188" t="s">
        <v>135</v>
      </c>
      <c r="C188" t="s">
        <v>139</v>
      </c>
      <c r="D188" t="s">
        <v>1308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BAU Expected Capacity Factors.xlsx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25">
      <c r="A189" t="s">
        <v>119</v>
      </c>
      <c r="B189" t="s">
        <v>140</v>
      </c>
      <c r="C189" t="s">
        <v>141</v>
      </c>
      <c r="D189" t="s">
        <v>1168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BAU Generation Capacity Lifetime.xlsx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25">
      <c r="A190" t="s">
        <v>119</v>
      </c>
      <c r="B190" t="s">
        <v>140</v>
      </c>
      <c r="C190" t="s">
        <v>142</v>
      </c>
      <c r="D190" t="s">
        <v>1169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Generation Capacity Lifetime.xlsx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25">
      <c r="A191" t="s">
        <v>119</v>
      </c>
      <c r="B191" t="s">
        <v>143</v>
      </c>
      <c r="C191" t="s">
        <v>144</v>
      </c>
      <c r="D191" t="s">
        <v>1170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BAU Guaranteed Dispatch Perc by Elec Source.xlsx</v>
      </c>
      <c r="I191" s="5">
        <f>IFERROR(INDEX(About!$D:$D,MATCH(Sheet1!H191,About!$C:$C,0),1),0)</f>
        <v>1</v>
      </c>
      <c r="J191" s="6">
        <f t="shared" si="5"/>
        <v>0</v>
      </c>
    </row>
    <row r="192" spans="1:10" x14ac:dyDescent="0.25">
      <c r="A192" t="s">
        <v>119</v>
      </c>
      <c r="B192" t="s">
        <v>143</v>
      </c>
      <c r="C192" t="s">
        <v>145</v>
      </c>
      <c r="D192" t="s">
        <v>1172</v>
      </c>
      <c r="E192" t="s">
        <v>1173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BAU Guaranteed Dispatch Perc by Elec Source.xlsx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25">
      <c r="A193" t="s">
        <v>119</v>
      </c>
      <c r="B193" t="s">
        <v>146</v>
      </c>
      <c r="C193" t="s">
        <v>147</v>
      </c>
      <c r="D193" t="s">
        <v>1172</v>
      </c>
      <c r="E193" t="s">
        <v>1168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BAU Heat Rate by Electricity Fuel.xlsx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25">
      <c r="A194" t="s">
        <v>119</v>
      </c>
      <c r="B194" t="s">
        <v>146</v>
      </c>
      <c r="C194" t="s">
        <v>148</v>
      </c>
      <c r="D194" t="s">
        <v>1172</v>
      </c>
      <c r="E194" t="s">
        <v>1169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BAU Heat Rate by Electricity Fuel.xlsx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25">
      <c r="A195" t="s">
        <v>119</v>
      </c>
      <c r="B195" t="s">
        <v>149</v>
      </c>
      <c r="C195" t="s">
        <v>150</v>
      </c>
      <c r="D195" t="s">
        <v>1172</v>
      </c>
      <c r="E195" t="s">
        <v>1174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Peaking and Flexibility Flags.xlsx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25">
      <c r="A196" t="s">
        <v>119</v>
      </c>
      <c r="B196" t="s">
        <v>149</v>
      </c>
      <c r="C196" t="s">
        <v>151</v>
      </c>
      <c r="D196" t="s">
        <v>1172</v>
      </c>
      <c r="E196" t="s">
        <v>1166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Peaking and Flexibility Flags.xlsx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119</v>
      </c>
      <c r="B197" t="s">
        <v>149</v>
      </c>
      <c r="C197" t="s">
        <v>152</v>
      </c>
      <c r="D197" t="s">
        <v>1172</v>
      </c>
      <c r="E197" t="s">
        <v>1170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Boolean Peaking and Flexibility Flags.xlsx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25">
      <c r="A198" t="s">
        <v>119</v>
      </c>
      <c r="B198" t="s">
        <v>153</v>
      </c>
      <c r="C198" t="s">
        <v>154</v>
      </c>
      <c r="D198" t="s">
        <v>1172</v>
      </c>
      <c r="E198" t="s">
        <v>1175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BAU Pumped Hydro Cap.xlsx</v>
      </c>
      <c r="I198" s="5">
        <f>IFERROR(INDEX(About!$D:$D,MATCH(Sheet1!H198,About!$C:$C,0),1),0)</f>
        <v>1</v>
      </c>
      <c r="J198" s="6">
        <f t="shared" si="5"/>
        <v>0</v>
      </c>
    </row>
    <row r="199" spans="1:10" x14ac:dyDescent="0.25">
      <c r="A199" t="s">
        <v>119</v>
      </c>
      <c r="B199" t="s">
        <v>153</v>
      </c>
      <c r="C199" t="s">
        <v>155</v>
      </c>
      <c r="D199" t="s">
        <v>1309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BAU Pumped Hydro Cap.xlsx</v>
      </c>
      <c r="I199" s="5">
        <f>IFERROR(INDEX(About!$D:$D,MATCH(Sheet1!H199,About!$C:$C,0),1),0)</f>
        <v>1</v>
      </c>
      <c r="J199" s="6">
        <f t="shared" ref="J199:J262" si="7">IF(G199=".csv",1,0)*I199</f>
        <v>1</v>
      </c>
    </row>
    <row r="200" spans="1:10" x14ac:dyDescent="0.25">
      <c r="A200" t="s">
        <v>119</v>
      </c>
      <c r="B200" t="s">
        <v>156</v>
      </c>
      <c r="C200" t="s">
        <v>157</v>
      </c>
      <c r="D200" t="s">
        <v>1310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BAU Pol Mandated Cap Const Sched.xlsx</v>
      </c>
      <c r="I200" s="5">
        <f>IFERROR(INDEX(About!$D:$D,MATCH(Sheet1!H200,About!$C:$C,0),1),0)</f>
        <v>1</v>
      </c>
      <c r="J200" s="6">
        <f t="shared" si="7"/>
        <v>0</v>
      </c>
    </row>
    <row r="201" spans="1:10" x14ac:dyDescent="0.25">
      <c r="A201" t="s">
        <v>119</v>
      </c>
      <c r="B201" t="s">
        <v>156</v>
      </c>
      <c r="C201" t="s">
        <v>158</v>
      </c>
      <c r="D201" t="s">
        <v>1311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BAU Pol Mandated Cap Const Sched.xlsx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25">
      <c r="A202" t="s">
        <v>119</v>
      </c>
      <c r="B202" t="s">
        <v>159</v>
      </c>
      <c r="C202" t="s">
        <v>160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BAU RPS Percentage This Year.xlsx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25">
      <c r="A203" t="s">
        <v>119</v>
      </c>
      <c r="B203" t="s">
        <v>159</v>
      </c>
      <c r="C203" t="s">
        <v>161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BAU RPS Percentage This Year.xlsx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25">
      <c r="A204" t="s">
        <v>119</v>
      </c>
      <c r="B204" t="s">
        <v>162</v>
      </c>
      <c r="C204" t="s">
        <v>163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BAU Trans and Distr Loss Perc.xlsx</v>
      </c>
      <c r="I204" s="5">
        <f>IFERROR(INDEX(About!$D:$D,MATCH(Sheet1!H204,About!$C:$C,0),1),0)</f>
        <v>1</v>
      </c>
      <c r="J204" s="6">
        <f t="shared" si="7"/>
        <v>0</v>
      </c>
    </row>
    <row r="205" spans="1:10" x14ac:dyDescent="0.25">
      <c r="A205" t="s">
        <v>119</v>
      </c>
      <c r="B205" t="s">
        <v>162</v>
      </c>
      <c r="C205" t="s">
        <v>164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BAU Trans and Distr Loss Perc.xlsx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25">
      <c r="A206" t="s">
        <v>119</v>
      </c>
      <c r="B206" t="s">
        <v>165</v>
      </c>
      <c r="C206" t="s">
        <v>166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BAU Transmission Capacity.xlsx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25">
      <c r="A207" t="s">
        <v>119</v>
      </c>
      <c r="B207" t="s">
        <v>165</v>
      </c>
      <c r="C207" t="s">
        <v>167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BAU Transmission Capacity.xlsx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25">
      <c r="A208" t="s">
        <v>119</v>
      </c>
      <c r="B208" t="s">
        <v>168</v>
      </c>
      <c r="C208" t="s">
        <v>169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Capacity Construction and Maint Costs.xlsx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25">
      <c r="A209" t="s">
        <v>119</v>
      </c>
      <c r="B209" t="s">
        <v>168</v>
      </c>
      <c r="C209" t="s">
        <v>170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Capacity Construction and Maint Costs.xlsx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119</v>
      </c>
      <c r="B210" t="s">
        <v>168</v>
      </c>
      <c r="C210" t="s">
        <v>171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Capacity Construction and Maint Costs.xlsx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25">
      <c r="A211" t="s">
        <v>119</v>
      </c>
      <c r="B211" t="s">
        <v>168</v>
      </c>
      <c r="C211" t="s">
        <v>1035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Capacity Construction and Maint Costs.xlsx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25">
      <c r="A212" t="s">
        <v>119</v>
      </c>
      <c r="B212" t="s">
        <v>168</v>
      </c>
      <c r="C212" t="s">
        <v>172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119</v>
      </c>
      <c r="B213" t="s">
        <v>173</v>
      </c>
      <c r="C213" t="s">
        <v>174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Decommissioning Cost per Unit Cap.xlsx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119</v>
      </c>
      <c r="B214" t="s">
        <v>173</v>
      </c>
      <c r="C214" t="s">
        <v>175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Decommissioning Cost per Unit Cap.xlsx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25">
      <c r="A215" t="s">
        <v>119</v>
      </c>
      <c r="B215" t="s">
        <v>176</v>
      </c>
      <c r="C215" t="s">
        <v>177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Dispatch Priority by Elec Source.xlsx</v>
      </c>
      <c r="I215" s="5">
        <f>IFERROR(INDEX(About!$D:$D,MATCH(Sheet1!H215,About!$C:$C,0),1),0)</f>
        <v>1</v>
      </c>
      <c r="J215" s="6">
        <f t="shared" si="7"/>
        <v>0</v>
      </c>
    </row>
    <row r="216" spans="1:10" x14ac:dyDescent="0.25">
      <c r="A216" t="s">
        <v>119</v>
      </c>
      <c r="B216" t="s">
        <v>176</v>
      </c>
      <c r="C216" t="s">
        <v>178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Dispatch Priority by Elec Source.xlsx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119</v>
      </c>
      <c r="B217" t="s">
        <v>179</v>
      </c>
      <c r="C217" t="s">
        <v>180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Demand Response Capacity.xlsx</v>
      </c>
      <c r="I217" s="5">
        <f>IFERROR(INDEX(About!$D:$D,MATCH(Sheet1!H217,About!$C:$C,0),1),0)</f>
        <v>1</v>
      </c>
      <c r="J217" s="6">
        <f t="shared" si="7"/>
        <v>0</v>
      </c>
    </row>
    <row r="218" spans="1:10" x14ac:dyDescent="0.25">
      <c r="A218" t="s">
        <v>119</v>
      </c>
      <c r="B218" t="s">
        <v>179</v>
      </c>
      <c r="C218" t="s">
        <v>181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Demand Response Capacity.xlsx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119</v>
      </c>
      <c r="B219" t="s">
        <v>179</v>
      </c>
      <c r="C219" t="s">
        <v>182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Demand Response Capacity.xlsx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25">
      <c r="A220" t="s">
        <v>119</v>
      </c>
      <c r="B220" t="s">
        <v>183</v>
      </c>
      <c r="C220" t="s">
        <v>184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Demand Response Costs.xlsx</v>
      </c>
      <c r="I220" s="5">
        <f>IFERROR(INDEX(About!$D:$D,MATCH(Sheet1!H220,About!$C:$C,0),1),0)</f>
        <v>1</v>
      </c>
      <c r="J220" s="6">
        <f t="shared" si="7"/>
        <v>0</v>
      </c>
    </row>
    <row r="221" spans="1:10" x14ac:dyDescent="0.25">
      <c r="A221" t="s">
        <v>119</v>
      </c>
      <c r="B221" t="s">
        <v>183</v>
      </c>
      <c r="C221" t="s">
        <v>185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Demand Response Costs.xlsx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119</v>
      </c>
      <c r="B222" t="s">
        <v>183</v>
      </c>
      <c r="C222" t="s">
        <v>186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Demand Response Costs.xlsx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119</v>
      </c>
      <c r="B223" t="s">
        <v>187</v>
      </c>
      <c r="C223" t="s">
        <v>188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Elec Imports and Exports.xlsx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119</v>
      </c>
      <c r="B224" t="s">
        <v>187</v>
      </c>
      <c r="C224" t="s">
        <v>979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Elec Imports and Exports.xlsx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25">
      <c r="A225" t="s">
        <v>119</v>
      </c>
      <c r="B225" t="s">
        <v>187</v>
      </c>
      <c r="C225" t="s">
        <v>189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Elec Imports and Exports.xlsx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25">
      <c r="A226" t="s">
        <v>119</v>
      </c>
      <c r="B226" t="s">
        <v>187</v>
      </c>
      <c r="C226" t="s">
        <v>980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Elec Imports and Exports.xlsx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119</v>
      </c>
      <c r="B227" t="s">
        <v>187</v>
      </c>
      <c r="C227" t="s">
        <v>190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Elec Imports and Exports.xlsx</v>
      </c>
      <c r="I227" s="5">
        <f>IFERROR(INDEX(About!$D:$D,MATCH(Sheet1!H227,About!$C:$C,0),1),0)</f>
        <v>1</v>
      </c>
      <c r="J227" s="6">
        <f t="shared" si="7"/>
        <v>0</v>
      </c>
    </row>
    <row r="228" spans="1:10" x14ac:dyDescent="0.25">
      <c r="A228" t="s">
        <v>119</v>
      </c>
      <c r="B228" t="s">
        <v>1036</v>
      </c>
      <c r="C228" t="s">
        <v>1037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Equipment Load Factors.xlsx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119</v>
      </c>
      <c r="B229" t="s">
        <v>1036</v>
      </c>
      <c r="C229" t="s">
        <v>1038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Equipment Load Factors.xlsx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25">
      <c r="A230" t="s">
        <v>119</v>
      </c>
      <c r="B230" t="s">
        <v>1036</v>
      </c>
      <c r="C230" t="s">
        <v>1039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Equipment Load Factors.xlsx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119</v>
      </c>
      <c r="B231" t="s">
        <v>1036</v>
      </c>
      <c r="C231" t="s">
        <v>1040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Equipment Load Factors.xlsx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25">
      <c r="A232" t="s">
        <v>119</v>
      </c>
      <c r="B232" t="s">
        <v>1036</v>
      </c>
      <c r="C232" t="s">
        <v>1041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Equipment Load Factors.xlsx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25">
      <c r="A233" t="s">
        <v>119</v>
      </c>
      <c r="B233" t="s">
        <v>873</v>
      </c>
      <c r="C233" t="s">
        <v>874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Elasticity of Power Plant Fuel Type Shifting wrt Fuel Price.xlsx</v>
      </c>
      <c r="I233" s="5">
        <f>IFERROR(INDEX(About!$D:$D,MATCH(Sheet1!H233,About!$C:$C,0),1),0)</f>
        <v>1</v>
      </c>
      <c r="J233" s="6">
        <f t="shared" si="7"/>
        <v>0</v>
      </c>
    </row>
    <row r="234" spans="1:10" x14ac:dyDescent="0.25">
      <c r="A234" t="s">
        <v>119</v>
      </c>
      <c r="B234" t="s">
        <v>873</v>
      </c>
      <c r="C234" t="s">
        <v>875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Elasticity of Power Plant Fuel Type Shifting wrt Fuel Price.xlsx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25">
      <c r="A235" t="s">
        <v>119</v>
      </c>
      <c r="B235" t="s">
        <v>932</v>
      </c>
      <c r="C235" t="s">
        <v>933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Elasticity of TCC wrt Transmission Capacity.xlsx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25">
      <c r="A236" t="s">
        <v>119</v>
      </c>
      <c r="B236" t="s">
        <v>932</v>
      </c>
      <c r="C236" t="s">
        <v>934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Elasticity of TCC wrt Transmission Capacity.xlsx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25">
      <c r="A237" t="s">
        <v>119</v>
      </c>
      <c r="B237" t="s">
        <v>191</v>
      </c>
      <c r="C237" t="s">
        <v>192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Frac of TCAMRB that Provides Flexibility.xlsx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25">
      <c r="A238" t="s">
        <v>119</v>
      </c>
      <c r="B238" t="s">
        <v>191</v>
      </c>
      <c r="C238" t="s">
        <v>193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Frac of TCAMRB that Provides Flexibility.xlsx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25">
      <c r="A239" t="s">
        <v>119</v>
      </c>
      <c r="B239" t="s">
        <v>194</v>
      </c>
      <c r="C239" t="s">
        <v>195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Flexibility Point Calculations.xlsx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25">
      <c r="A240" t="s">
        <v>119</v>
      </c>
      <c r="B240" t="s">
        <v>194</v>
      </c>
      <c r="C240" t="s">
        <v>196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Flexibility Point Calculations.xlsx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25">
      <c r="A241" t="s">
        <v>119</v>
      </c>
      <c r="B241" t="s">
        <v>194</v>
      </c>
      <c r="C241" t="s">
        <v>197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Flexibility Point Calculations.xlsx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119</v>
      </c>
      <c r="B242" t="s">
        <v>194</v>
      </c>
      <c r="C242" t="s">
        <v>198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Flexibility Point Calculations.xlsx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25">
      <c r="A243" t="s">
        <v>119</v>
      </c>
      <c r="B243" t="s">
        <v>194</v>
      </c>
      <c r="C243" t="s">
        <v>199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Flexibility Point Calculations.xlsx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25">
      <c r="A244" t="s">
        <v>119</v>
      </c>
      <c r="B244" t="s">
        <v>194</v>
      </c>
      <c r="C244" t="s">
        <v>200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Flexibility Point Calculations.xlsx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119</v>
      </c>
      <c r="B245" t="s">
        <v>194</v>
      </c>
      <c r="C245" t="s">
        <v>201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Flexibility Point Calculations.xlsx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25">
      <c r="A246" t="s">
        <v>119</v>
      </c>
      <c r="B246" t="s">
        <v>194</v>
      </c>
      <c r="C246" t="s">
        <v>202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Flexibility Point Calculations.xlsx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119</v>
      </c>
      <c r="B247" t="s">
        <v>194</v>
      </c>
      <c r="C247" t="s">
        <v>203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Flexibility Point Calculations.xlsx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119</v>
      </c>
      <c r="B248" t="s">
        <v>194</v>
      </c>
      <c r="C248" t="s">
        <v>204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25">
      <c r="A249" t="s">
        <v>119</v>
      </c>
      <c r="B249" t="s">
        <v>194</v>
      </c>
      <c r="C249" t="s">
        <v>205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119</v>
      </c>
      <c r="B250" t="s">
        <v>194</v>
      </c>
      <c r="C250" t="s">
        <v>905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119</v>
      </c>
      <c r="B251" t="s">
        <v>194</v>
      </c>
      <c r="C251" t="s">
        <v>206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119</v>
      </c>
      <c r="B252" t="s">
        <v>207</v>
      </c>
      <c r="C252" t="s">
        <v>208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Flexibility Points Consumed by Source.xlsx</v>
      </c>
      <c r="I252" s="5">
        <f>IFERROR(INDEX(About!$D:$D,MATCH(Sheet1!H252,About!$C:$C,0),1),0)</f>
        <v>1</v>
      </c>
      <c r="J252" s="6">
        <f t="shared" si="7"/>
        <v>0</v>
      </c>
    </row>
    <row r="253" spans="1:10" x14ac:dyDescent="0.25">
      <c r="A253" t="s">
        <v>119</v>
      </c>
      <c r="B253" t="s">
        <v>207</v>
      </c>
      <c r="C253" t="s">
        <v>209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Points Consumed by Source.xlsx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119</v>
      </c>
      <c r="B254" t="s">
        <v>876</v>
      </c>
      <c r="C254" t="s">
        <v>877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Fuel Shifting Cost as Frac of Const Cost.xlsx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25">
      <c r="A255" t="s">
        <v>119</v>
      </c>
      <c r="B255" t="s">
        <v>876</v>
      </c>
      <c r="C255" t="s">
        <v>878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Fuel Shifting Cost as Frac of Const Cost.xlsx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25">
      <c r="A256" t="s">
        <v>119</v>
      </c>
      <c r="B256" t="s">
        <v>1315</v>
      </c>
      <c r="C256" t="s">
        <v>268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/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119</v>
      </c>
      <c r="B257" t="s">
        <v>1315</v>
      </c>
      <c r="C257" t="s">
        <v>1316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/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119</v>
      </c>
      <c r="B258" t="s">
        <v>1315</v>
      </c>
      <c r="C258" t="s">
        <v>1317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/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119</v>
      </c>
      <c r="B259" t="s">
        <v>1315</v>
      </c>
      <c r="C259" t="s">
        <v>986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/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119</v>
      </c>
      <c r="B260" t="s">
        <v>210</v>
      </c>
      <c r="C260" t="s">
        <v>211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Guaranteed Dispatch Perc by Elec Source.xlsx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25">
      <c r="A261" t="s">
        <v>119</v>
      </c>
      <c r="B261" t="s">
        <v>210</v>
      </c>
      <c r="C261" t="s">
        <v>212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Guaranteed Dispatch Perc by Elec Source.xlsx</v>
      </c>
      <c r="I261" s="5">
        <f>IFERROR(INDEX(About!$D:$D,MATCH(Sheet1!H261,About!$C:$C,0),1),0)</f>
        <v>1</v>
      </c>
      <c r="J261" s="6">
        <f t="shared" si="7"/>
        <v>0</v>
      </c>
    </row>
    <row r="262" spans="1:10" x14ac:dyDescent="0.25">
      <c r="A262" t="s">
        <v>119</v>
      </c>
      <c r="B262" t="s">
        <v>213</v>
      </c>
      <c r="C262" t="s">
        <v>214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Max Cap Growth Lookup Table.xlsx</v>
      </c>
      <c r="I262" s="5">
        <f>IFERROR(INDEX(About!$D:$D,MATCH(Sheet1!H262,About!$C:$C,0),1),0)</f>
        <v>1</v>
      </c>
      <c r="J262" s="6">
        <f t="shared" si="7"/>
        <v>0</v>
      </c>
    </row>
    <row r="263" spans="1:10" x14ac:dyDescent="0.25">
      <c r="A263" t="s">
        <v>119</v>
      </c>
      <c r="B263" t="s">
        <v>213</v>
      </c>
      <c r="C263" t="s">
        <v>215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Max Cap Growth Lookup Table.xlsx</v>
      </c>
      <c r="I263" s="5">
        <f>IFERROR(INDEX(About!$D:$D,MATCH(Sheet1!H263,About!$C:$C,0),1),0)</f>
        <v>1</v>
      </c>
      <c r="J263" s="6">
        <f t="shared" ref="J263:J326" si="9">IF(G263=".csv",1,0)*I263</f>
        <v>1</v>
      </c>
    </row>
    <row r="264" spans="1:10" x14ac:dyDescent="0.25">
      <c r="A264" t="s">
        <v>119</v>
      </c>
      <c r="B264" t="s">
        <v>216</v>
      </c>
      <c r="C264" t="s">
        <v>217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Max Potential Capacity by Source.xlsx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25">
      <c r="A265" t="s">
        <v>119</v>
      </c>
      <c r="B265" t="s">
        <v>216</v>
      </c>
      <c r="C265" t="s">
        <v>218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Max Potential Capacity by Source.xlsx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25">
      <c r="A266" t="s">
        <v>119</v>
      </c>
      <c r="B266" t="s">
        <v>219</v>
      </c>
      <c r="C266" t="s">
        <v>220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Minimum Power Plant Capacity.xlsx</v>
      </c>
      <c r="I266" s="5">
        <f>IFERROR(INDEX(About!$D:$D,MATCH(Sheet1!H266,About!$C:$C,0),1),0)</f>
        <v>1</v>
      </c>
      <c r="J266" s="6">
        <f t="shared" si="9"/>
        <v>0</v>
      </c>
    </row>
    <row r="267" spans="1:10" x14ac:dyDescent="0.25">
      <c r="A267" t="s">
        <v>119</v>
      </c>
      <c r="B267" t="s">
        <v>219</v>
      </c>
      <c r="C267" t="s">
        <v>221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Minimum Power Plant Capacity.xlsx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119</v>
      </c>
      <c r="B268" t="s">
        <v>222</v>
      </c>
      <c r="C268" t="s">
        <v>223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Nonfuel GHG Emis per Unit Output.xlsx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119</v>
      </c>
      <c r="B269" t="s">
        <v>222</v>
      </c>
      <c r="C269" t="s">
        <v>224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Nonfuel GHG Emis per Unit Output.xlsx</v>
      </c>
      <c r="I269" s="5">
        <f>IFERROR(INDEX(About!$D:$D,MATCH(Sheet1!H269,About!$C:$C,0),1),0)</f>
        <v>1</v>
      </c>
      <c r="J269" s="6">
        <f t="shared" si="9"/>
        <v>0</v>
      </c>
    </row>
    <row r="270" spans="1:10" x14ac:dyDescent="0.25">
      <c r="A270" t="s">
        <v>119</v>
      </c>
      <c r="B270" t="s">
        <v>225</v>
      </c>
      <c r="C270" t="s">
        <v>226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Normalized Standard Deviation of Dispatch Costs.xlsx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25">
      <c r="A271" t="s">
        <v>119</v>
      </c>
      <c r="B271" t="s">
        <v>225</v>
      </c>
      <c r="C271" t="s">
        <v>227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Normalized Standard Deviation of Dispatch Costs.xlsx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25">
      <c r="A272" t="s">
        <v>119</v>
      </c>
      <c r="B272" t="s">
        <v>228</v>
      </c>
      <c r="C272" t="s">
        <v>229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Norm St Dev of New Cap Costs.xlsx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25">
      <c r="A273" t="s">
        <v>119</v>
      </c>
      <c r="B273" t="s">
        <v>228</v>
      </c>
      <c r="C273" t="s">
        <v>230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Norm St Dev of New Cap Costs.xlsx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25">
      <c r="A274" t="s">
        <v>119</v>
      </c>
      <c r="B274" t="s">
        <v>231</v>
      </c>
      <c r="C274" t="s">
        <v>232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Pol Mandated Cap Const Sched.xlsx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119</v>
      </c>
      <c r="B275" t="s">
        <v>231</v>
      </c>
      <c r="C275" t="s">
        <v>233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Pol Mandated Cap Const Sched.xlsx</v>
      </c>
      <c r="I275" s="5">
        <f>IFERROR(INDEX(About!$D:$D,MATCH(Sheet1!H275,About!$C:$C,0),1),0)</f>
        <v>1</v>
      </c>
      <c r="J275" s="6">
        <f t="shared" si="9"/>
        <v>0</v>
      </c>
    </row>
    <row r="276" spans="1:10" x14ac:dyDescent="0.25">
      <c r="A276" t="s">
        <v>119</v>
      </c>
      <c r="B276" t="s">
        <v>234</v>
      </c>
      <c r="C276" t="s">
        <v>235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Peak Time Capacity Factors.xlsx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25">
      <c r="A277" t="s">
        <v>119</v>
      </c>
      <c r="B277" t="s">
        <v>234</v>
      </c>
      <c r="C277" t="s">
        <v>236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Peak Time Capacity Factors.xlsx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25">
      <c r="A278" t="s">
        <v>119</v>
      </c>
      <c r="B278" t="s">
        <v>237</v>
      </c>
      <c r="C278" t="s">
        <v>238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Reserve Margin.xlsx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25">
      <c r="A279" t="s">
        <v>119</v>
      </c>
      <c r="B279" t="s">
        <v>237</v>
      </c>
      <c r="C279" t="s">
        <v>239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Reserve Margin.xlsx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25">
      <c r="A280" t="s">
        <v>119</v>
      </c>
      <c r="B280" t="s">
        <v>240</v>
      </c>
      <c r="C280" t="s">
        <v>241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RPS Qualifying Source Definitions.xlsx</v>
      </c>
      <c r="I280" s="5">
        <f>IFERROR(INDEX(About!$D:$D,MATCH(Sheet1!H280,About!$C:$C,0),1),0)</f>
        <v>1</v>
      </c>
      <c r="J280" s="6">
        <f t="shared" si="9"/>
        <v>0</v>
      </c>
    </row>
    <row r="281" spans="1:10" x14ac:dyDescent="0.25">
      <c r="A281" t="s">
        <v>119</v>
      </c>
      <c r="B281" t="s">
        <v>240</v>
      </c>
      <c r="C281" t="s">
        <v>242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RPS Qualifying Source Definitions.xlsx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119</v>
      </c>
      <c r="B282" t="s">
        <v>240</v>
      </c>
      <c r="C282" t="s">
        <v>243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RPS Qualifying Source Definitions.xlsx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119</v>
      </c>
      <c r="B283" t="s">
        <v>981</v>
      </c>
      <c r="C283" t="s">
        <v>982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Share of Electricity Sector Capital and OM Costs by ISIC Code.xlsx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25">
      <c r="A284" t="s">
        <v>119</v>
      </c>
      <c r="B284" t="s">
        <v>981</v>
      </c>
      <c r="C284" t="s">
        <v>983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Share of Electricity Sector Capital and OM Costs by ISIC Code.xlsx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119</v>
      </c>
      <c r="B285" t="s">
        <v>981</v>
      </c>
      <c r="C285" t="s">
        <v>984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Share of Electricity Sector Capital and OM Costs by ISIC Code.xlsx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25">
      <c r="A286" t="s">
        <v>119</v>
      </c>
      <c r="B286" t="s">
        <v>981</v>
      </c>
      <c r="C286" t="s">
        <v>985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Share of Electricity Sector Capital and OM Costs by ISIC Code.xlsx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25">
      <c r="A287" t="s">
        <v>119</v>
      </c>
      <c r="B287" t="s">
        <v>244</v>
      </c>
      <c r="C287" t="s">
        <v>245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Start Year Capacities.xlsx</v>
      </c>
      <c r="I287" s="5">
        <f>IFERROR(INDEX(About!$D:$D,MATCH(Sheet1!H287,About!$C:$C,0),1),0)</f>
        <v>1</v>
      </c>
      <c r="J287" s="6">
        <f t="shared" si="9"/>
        <v>0</v>
      </c>
    </row>
    <row r="288" spans="1:10" x14ac:dyDescent="0.25">
      <c r="A288" t="s">
        <v>119</v>
      </c>
      <c r="B288" t="s">
        <v>244</v>
      </c>
      <c r="C288" t="s">
        <v>246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Start Year Capacities.xlsx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25">
      <c r="A289" t="s">
        <v>119</v>
      </c>
      <c r="B289" t="s">
        <v>244</v>
      </c>
      <c r="C289" t="s">
        <v>247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Start Year Capacities.xlsx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25">
      <c r="A290" t="s">
        <v>119</v>
      </c>
      <c r="B290" t="s">
        <v>248</v>
      </c>
      <c r="C290" t="s">
        <v>249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Trans Cap Across Modeled Region Border.xlsx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25">
      <c r="A291" t="s">
        <v>119</v>
      </c>
      <c r="B291" t="s">
        <v>248</v>
      </c>
      <c r="C291" t="s">
        <v>250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Trans Cap Across Modeled Region Border.xlsx</v>
      </c>
      <c r="I291" s="5">
        <f>IFERROR(INDEX(About!$D:$D,MATCH(Sheet1!H291,About!$C:$C,0),1),0)</f>
        <v>1</v>
      </c>
      <c r="J291" s="6">
        <f t="shared" si="9"/>
        <v>0</v>
      </c>
    </row>
    <row r="292" spans="1:10" x14ac:dyDescent="0.25">
      <c r="A292" t="s">
        <v>119</v>
      </c>
      <c r="B292" t="s">
        <v>251</v>
      </c>
      <c r="C292" t="s">
        <v>252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Trans Const Cost per Unit Cap Dist.xlsx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25">
      <c r="A293" t="s">
        <v>119</v>
      </c>
      <c r="B293" t="s">
        <v>251</v>
      </c>
      <c r="C293" t="s">
        <v>253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Trans Const Cost per Unit Cap Dist.xlsx</v>
      </c>
      <c r="I293" s="5">
        <f>IFERROR(INDEX(About!$D:$D,MATCH(Sheet1!H293,About!$C:$C,0),1),0)</f>
        <v>1</v>
      </c>
      <c r="J293" s="6">
        <f t="shared" si="9"/>
        <v>0</v>
      </c>
    </row>
    <row r="294" spans="1:10" x14ac:dyDescent="0.25">
      <c r="A294" t="s">
        <v>119</v>
      </c>
      <c r="B294" t="s">
        <v>254</v>
      </c>
      <c r="C294" t="s">
        <v>255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Water Use by Power Plant Type.xlsx</v>
      </c>
      <c r="I294" s="5">
        <f>IFERROR(INDEX(About!$D:$D,MATCH(Sheet1!H294,About!$C:$C,0),1),0)</f>
        <v>1</v>
      </c>
      <c r="J294" s="6">
        <f t="shared" si="9"/>
        <v>0</v>
      </c>
    </row>
    <row r="295" spans="1:10" x14ac:dyDescent="0.25">
      <c r="A295" t="s">
        <v>119</v>
      </c>
      <c r="B295" t="s">
        <v>254</v>
      </c>
      <c r="C295" t="s">
        <v>256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Water Use by Power Plant Type.xlsx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25">
      <c r="A296" t="s">
        <v>119</v>
      </c>
      <c r="B296" t="s">
        <v>254</v>
      </c>
      <c r="C296" t="s">
        <v>257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Water Use by Power Plant Type.xlsx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25">
      <c r="A297" t="s">
        <v>258</v>
      </c>
      <c r="B297" t="s">
        <v>259</v>
      </c>
      <c r="C297" t="s">
        <v>260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Battery Cap by Veh Type.xlsx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25">
      <c r="A298" t="s">
        <v>258</v>
      </c>
      <c r="B298" t="s">
        <v>259</v>
      </c>
      <c r="C298" t="s">
        <v>261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Battery Cap by Veh Type.xlsx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25">
      <c r="A299" t="s">
        <v>258</v>
      </c>
      <c r="B299" t="s">
        <v>259</v>
      </c>
      <c r="C299" t="s">
        <v>262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Battery Cap by Veh Type.xlsx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25">
      <c r="A300" t="s">
        <v>258</v>
      </c>
      <c r="B300" t="s">
        <v>263</v>
      </c>
      <c r="C300" t="s">
        <v>264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BAU CO2 Sequestered Globally.xlsx</v>
      </c>
      <c r="I300" s="5">
        <f>IFERROR(INDEX(About!$D:$D,MATCH(Sheet1!H300,About!$C:$C,0),1),0)</f>
        <v>1</v>
      </c>
      <c r="J300" s="6">
        <f t="shared" si="9"/>
        <v>0</v>
      </c>
    </row>
    <row r="301" spans="1:10" x14ac:dyDescent="0.25">
      <c r="A301" t="s">
        <v>258</v>
      </c>
      <c r="B301" t="s">
        <v>263</v>
      </c>
      <c r="C301" t="s">
        <v>265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BAU CO2 Sequestered Globally.xlsx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258</v>
      </c>
      <c r="B302" t="s">
        <v>266</v>
      </c>
      <c r="C302" t="s">
        <v>267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BAU Global Battery Storage Cap.xlsx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25">
      <c r="A303" t="s">
        <v>258</v>
      </c>
      <c r="B303" t="s">
        <v>266</v>
      </c>
      <c r="C303" t="s">
        <v>268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BAU Global Battery Storage Cap.xlsx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258</v>
      </c>
      <c r="B304" t="s">
        <v>269</v>
      </c>
      <c r="C304" t="s">
        <v>270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BAU Global Solar and Wind Cap.xlsx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25">
      <c r="A305" t="s">
        <v>258</v>
      </c>
      <c r="B305" t="s">
        <v>269</v>
      </c>
      <c r="C305" t="s">
        <v>271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BAU Global Solar and Wind Cap.xlsx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258</v>
      </c>
      <c r="B306" t="s">
        <v>987</v>
      </c>
      <c r="C306" t="s">
        <v>988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Frac of Tech Outside Modeled Region Affecting Endo Learning.xlsx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25">
      <c r="A307" t="s">
        <v>258</v>
      </c>
      <c r="B307" t="s">
        <v>987</v>
      </c>
      <c r="C307" t="s">
        <v>989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Frac of Tech Outside Modeled Region Affecting Endo Learning.xlsx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25">
      <c r="A308" t="s">
        <v>258</v>
      </c>
      <c r="B308" t="s">
        <v>272</v>
      </c>
      <c r="C308" t="s">
        <v>273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Grid Battery Energy to Power Ratio.xlsx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258</v>
      </c>
      <c r="B309" t="s">
        <v>272</v>
      </c>
      <c r="C309" t="s">
        <v>274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Grid Battery Energy to Power Ratio.xlsx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25">
      <c r="A310" t="s">
        <v>258</v>
      </c>
      <c r="B310" t="s">
        <v>275</v>
      </c>
      <c r="C310" t="s">
        <v>276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Perc Decline in Battery Cost per Doubling of Cap.xlsx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258</v>
      </c>
      <c r="B311" t="s">
        <v>275</v>
      </c>
      <c r="C311" t="s">
        <v>277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Perc Decline in Battery Cost per Doubling of Cap.xlsx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25">
      <c r="A312" t="s">
        <v>258</v>
      </c>
      <c r="B312" t="s">
        <v>278</v>
      </c>
      <c r="C312" t="s">
        <v>279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Perc Decline in Cap Cost per Doubling of Cap.xlsx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258</v>
      </c>
      <c r="B313" t="s">
        <v>278</v>
      </c>
      <c r="C313" t="s">
        <v>280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Perc Decline in Cap Cost per Doubling of Cap.xlsx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25">
      <c r="A314" t="s">
        <v>258</v>
      </c>
      <c r="B314" t="s">
        <v>281</v>
      </c>
      <c r="C314" t="s">
        <v>282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Perc Decline in CCS Eqpt Cost per Doubling of Capacity.xlsx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258</v>
      </c>
      <c r="B315" t="s">
        <v>281</v>
      </c>
      <c r="C315" t="s">
        <v>283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Perc Decline in CCS Eqpt Cost per Doubling of Capacity.xlsx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25">
      <c r="A316" t="s">
        <v>284</v>
      </c>
      <c r="B316" t="s">
        <v>1042</v>
      </c>
      <c r="C316" t="s">
        <v>1043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BAU Carbon Tax Rate.xlsx</v>
      </c>
      <c r="I316" s="5">
        <f>IFERROR(INDEX(About!$D:$D,MATCH(Sheet1!H316,About!$C:$C,0),1),0)</f>
        <v>1</v>
      </c>
      <c r="J316" s="6">
        <f t="shared" si="9"/>
        <v>0</v>
      </c>
    </row>
    <row r="317" spans="1:10" x14ac:dyDescent="0.25">
      <c r="A317" t="s">
        <v>284</v>
      </c>
      <c r="B317" t="s">
        <v>1042</v>
      </c>
      <c r="C317" t="s">
        <v>1044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BAU Carbon Tax Rate.xlsx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284</v>
      </c>
      <c r="B318" t="s">
        <v>1132</v>
      </c>
      <c r="C318" t="s">
        <v>1133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BAU Fuel Cost per Unit Energy by Sector.xlsx</v>
      </c>
      <c r="I318" s="5">
        <f>IFERROR(INDEX(About!$D:$D,MATCH(Sheet1!H318,About!$C:$C,0),1),0)</f>
        <v>1</v>
      </c>
      <c r="J318" s="6">
        <f t="shared" si="9"/>
        <v>0</v>
      </c>
    </row>
    <row r="319" spans="1:10" x14ac:dyDescent="0.25">
      <c r="A319" t="s">
        <v>284</v>
      </c>
      <c r="B319" t="s">
        <v>1132</v>
      </c>
      <c r="C319" t="s">
        <v>1134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BAU Fuel Cost per Unit Energy by Sector.xlsx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25">
      <c r="A320" t="s">
        <v>284</v>
      </c>
      <c r="B320" t="s">
        <v>1132</v>
      </c>
      <c r="C320" t="s">
        <v>1135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BAU Fuel Cost per Unit Energy by Sector.xlsx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25">
      <c r="A321" t="s">
        <v>284</v>
      </c>
      <c r="B321" t="s">
        <v>1132</v>
      </c>
      <c r="C321" t="s">
        <v>1136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BAU Fuel Cost per Unit Energy by Sector.xlsx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284</v>
      </c>
      <c r="B322" t="s">
        <v>1132</v>
      </c>
      <c r="C322" t="s">
        <v>1137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BAU Fuel Cost per Unit Energy by Sector.xlsx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25">
      <c r="A323" t="s">
        <v>284</v>
      </c>
      <c r="B323" t="s">
        <v>1132</v>
      </c>
      <c r="C323" t="s">
        <v>1138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BAU Fuel Cost per Unit Energy by Sector.xlsx</v>
      </c>
      <c r="I323" s="5">
        <f>IFERROR(INDEX(About!$D:$D,MATCH(Sheet1!H323,About!$C:$C,0),1),0)</f>
        <v>1</v>
      </c>
      <c r="J323" s="6">
        <f t="shared" si="9"/>
        <v>1</v>
      </c>
    </row>
    <row r="324" spans="1:10" x14ac:dyDescent="0.25">
      <c r="A324" t="s">
        <v>284</v>
      </c>
      <c r="B324" t="s">
        <v>1132</v>
      </c>
      <c r="C324" t="s">
        <v>1139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Fuel Cost per Unit Energy by Sector.xlsx</v>
      </c>
      <c r="I324" s="5">
        <f>IFERROR(INDEX(About!$D:$D,MATCH(Sheet1!H324,About!$C:$C,0),1),0)</f>
        <v>1</v>
      </c>
      <c r="J324" s="6">
        <f t="shared" si="9"/>
        <v>1</v>
      </c>
    </row>
    <row r="325" spans="1:10" x14ac:dyDescent="0.25">
      <c r="A325" t="s">
        <v>284</v>
      </c>
      <c r="B325" t="s">
        <v>1132</v>
      </c>
      <c r="C325" t="s">
        <v>1140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Cost per Unit Energy by Sector.xlsx</v>
      </c>
      <c r="I325" s="5">
        <f>IFERROR(INDEX(About!$D:$D,MATCH(Sheet1!H325,About!$C:$C,0),1),0)</f>
        <v>1</v>
      </c>
      <c r="J325" s="6">
        <f t="shared" si="9"/>
        <v>1</v>
      </c>
    </row>
    <row r="326" spans="1:10" x14ac:dyDescent="0.25">
      <c r="A326" t="s">
        <v>284</v>
      </c>
      <c r="B326" t="s">
        <v>1132</v>
      </c>
      <c r="C326" t="s">
        <v>1141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Cost per Unit Energy by Sector.xlsx</v>
      </c>
      <c r="I326" s="5">
        <f>IFERROR(INDEX(About!$D:$D,MATCH(Sheet1!H326,About!$C:$C,0),1),0)</f>
        <v>1</v>
      </c>
      <c r="J326" s="6">
        <f t="shared" si="9"/>
        <v>1</v>
      </c>
    </row>
    <row r="327" spans="1:10" x14ac:dyDescent="0.25">
      <c r="A327" t="s">
        <v>284</v>
      </c>
      <c r="B327" t="s">
        <v>1132</v>
      </c>
      <c r="C327" t="s">
        <v>1142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Cost per Unit Energy by Sector.xlsx</v>
      </c>
      <c r="I327" s="5">
        <f>IFERROR(INDEX(About!$D:$D,MATCH(Sheet1!H327,About!$C:$C,0),1),0)</f>
        <v>1</v>
      </c>
      <c r="J327" s="6">
        <f t="shared" ref="J327:J390" si="11">IF(G327=".csv",1,0)*I327</f>
        <v>1</v>
      </c>
    </row>
    <row r="328" spans="1:10" x14ac:dyDescent="0.25">
      <c r="A328" t="s">
        <v>284</v>
      </c>
      <c r="B328" t="s">
        <v>1132</v>
      </c>
      <c r="C328" t="s">
        <v>1143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Cost per Unit Energy by Sector.xlsx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25">
      <c r="A329" t="s">
        <v>284</v>
      </c>
      <c r="B329" t="s">
        <v>1132</v>
      </c>
      <c r="C329" t="s">
        <v>1144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Cost per Unit Energy by Sector.xlsx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284</v>
      </c>
      <c r="B330" t="s">
        <v>1132</v>
      </c>
      <c r="C330" t="s">
        <v>1145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Cost per Unit Energy by Sector.xlsx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284</v>
      </c>
      <c r="B331" t="s">
        <v>1132</v>
      </c>
      <c r="C331" t="s">
        <v>1146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Cost per Unit Energy by Sector.xlsx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284</v>
      </c>
      <c r="B332" t="s">
        <v>1132</v>
      </c>
      <c r="C332" t="s">
        <v>1147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Cost per Unit Energy by Sector.xlsx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284</v>
      </c>
      <c r="B333" t="s">
        <v>1132</v>
      </c>
      <c r="C333" t="s">
        <v>1148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Cost per Unit Energy by Sector.xlsx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284</v>
      </c>
      <c r="B334" t="s">
        <v>1132</v>
      </c>
      <c r="C334" t="s">
        <v>1149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Cost per Unit Energy by Sector.xlsx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25">
      <c r="A335" t="s">
        <v>284</v>
      </c>
      <c r="B335" t="s">
        <v>1132</v>
      </c>
      <c r="C335" t="s">
        <v>1150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Cost per Unit Energy by Sector.xlsx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284</v>
      </c>
      <c r="B336" t="s">
        <v>1132</v>
      </c>
      <c r="C336" t="s">
        <v>1151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Cost per Unit Energy by Sector.xlsx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284</v>
      </c>
      <c r="B337" t="s">
        <v>1132</v>
      </c>
      <c r="C337" t="s">
        <v>1152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Cost per Unit Energy by Sector.xlsx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284</v>
      </c>
      <c r="B338" t="s">
        <v>1132</v>
      </c>
      <c r="C338" t="s">
        <v>1153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Cost per Unit Energy by Sector.xlsx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284</v>
      </c>
      <c r="B339" t="s">
        <v>1132</v>
      </c>
      <c r="C339" t="s">
        <v>1154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Cost per Unit Energy by Sector.xlsx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284</v>
      </c>
      <c r="B340" t="s">
        <v>1045</v>
      </c>
      <c r="C340" t="s">
        <v>1046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1</v>
      </c>
      <c r="J340" s="6">
        <f t="shared" si="11"/>
        <v>0</v>
      </c>
    </row>
    <row r="341" spans="1:10" x14ac:dyDescent="0.25">
      <c r="A341" t="s">
        <v>284</v>
      </c>
      <c r="B341" t="s">
        <v>1045</v>
      </c>
      <c r="C341" t="s">
        <v>1058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25">
      <c r="A342" t="s">
        <v>284</v>
      </c>
      <c r="B342" t="s">
        <v>1045</v>
      </c>
      <c r="C342" t="s">
        <v>1059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284</v>
      </c>
      <c r="B343" t="s">
        <v>1045</v>
      </c>
      <c r="C343" t="s">
        <v>1060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25">
      <c r="A344" t="s">
        <v>284</v>
      </c>
      <c r="B344" t="s">
        <v>1045</v>
      </c>
      <c r="C344" t="s">
        <v>1061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284</v>
      </c>
      <c r="B345" t="s">
        <v>1045</v>
      </c>
      <c r="C345" t="s">
        <v>1062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284</v>
      </c>
      <c r="B346" t="s">
        <v>1045</v>
      </c>
      <c r="C346" t="s">
        <v>1063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25">
      <c r="A347" t="s">
        <v>284</v>
      </c>
      <c r="B347" t="s">
        <v>1045</v>
      </c>
      <c r="C347" t="s">
        <v>1064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284</v>
      </c>
      <c r="B348" t="s">
        <v>1045</v>
      </c>
      <c r="C348" t="s">
        <v>1065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284</v>
      </c>
      <c r="B349" t="s">
        <v>1045</v>
      </c>
      <c r="C349" t="s">
        <v>1066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25">
      <c r="A350" t="s">
        <v>284</v>
      </c>
      <c r="B350" t="s">
        <v>1045</v>
      </c>
      <c r="C350" t="s">
        <v>1067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25">
      <c r="A351" t="s">
        <v>284</v>
      </c>
      <c r="B351" t="s">
        <v>1045</v>
      </c>
      <c r="C351" t="s">
        <v>1068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284</v>
      </c>
      <c r="B352" t="s">
        <v>1045</v>
      </c>
      <c r="C352" t="s">
        <v>1069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284</v>
      </c>
      <c r="B353" t="s">
        <v>1045</v>
      </c>
      <c r="C353" t="s">
        <v>1070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284</v>
      </c>
      <c r="B354" t="s">
        <v>1045</v>
      </c>
      <c r="C354" t="s">
        <v>1071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284</v>
      </c>
      <c r="B355" t="s">
        <v>1045</v>
      </c>
      <c r="C355" t="s">
        <v>1072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284</v>
      </c>
      <c r="B356" t="s">
        <v>1045</v>
      </c>
      <c r="C356" t="s">
        <v>1073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25">
      <c r="A357" t="s">
        <v>284</v>
      </c>
      <c r="B357" t="s">
        <v>1045</v>
      </c>
      <c r="C357" t="s">
        <v>1074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284</v>
      </c>
      <c r="B358" t="s">
        <v>1045</v>
      </c>
      <c r="C358" t="s">
        <v>1075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284</v>
      </c>
      <c r="B359" t="s">
        <v>1045</v>
      </c>
      <c r="C359" t="s">
        <v>1076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284</v>
      </c>
      <c r="B360" t="s">
        <v>1045</v>
      </c>
      <c r="C360" t="s">
        <v>1077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284</v>
      </c>
      <c r="B361" t="s">
        <v>1045</v>
      </c>
      <c r="C361" t="s">
        <v>1078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284</v>
      </c>
      <c r="B362" t="s">
        <v>1045</v>
      </c>
      <c r="C362" t="s">
        <v>1079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284</v>
      </c>
      <c r="B363" t="s">
        <v>1045</v>
      </c>
      <c r="C363" t="s">
        <v>1080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284</v>
      </c>
      <c r="B364" t="s">
        <v>1045</v>
      </c>
      <c r="C364" t="s">
        <v>1081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284</v>
      </c>
      <c r="B365" t="s">
        <v>1045</v>
      </c>
      <c r="C365" t="s">
        <v>1082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284</v>
      </c>
      <c r="B366" t="s">
        <v>1045</v>
      </c>
      <c r="C366" t="s">
        <v>1083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284</v>
      </c>
      <c r="B367" t="s">
        <v>1045</v>
      </c>
      <c r="C367" t="s">
        <v>1084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284</v>
      </c>
      <c r="B368" t="s">
        <v>1045</v>
      </c>
      <c r="C368" t="s">
        <v>1085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284</v>
      </c>
      <c r="B369" t="s">
        <v>1045</v>
      </c>
      <c r="C369" t="s">
        <v>1086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284</v>
      </c>
      <c r="B370" t="s">
        <v>1045</v>
      </c>
      <c r="C370" t="s">
        <v>1087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284</v>
      </c>
      <c r="B371" t="s">
        <v>1045</v>
      </c>
      <c r="C371" t="s">
        <v>1088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284</v>
      </c>
      <c r="B372" t="s">
        <v>1045</v>
      </c>
      <c r="C372" t="s">
        <v>1089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284</v>
      </c>
      <c r="B373" t="s">
        <v>1045</v>
      </c>
      <c r="C373" t="s">
        <v>1090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284</v>
      </c>
      <c r="B374" t="s">
        <v>1045</v>
      </c>
      <c r="C374" t="s">
        <v>1091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284</v>
      </c>
      <c r="B375" t="s">
        <v>1045</v>
      </c>
      <c r="C375" t="s">
        <v>1092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284</v>
      </c>
      <c r="B376" t="s">
        <v>1045</v>
      </c>
      <c r="C376" t="s">
        <v>1093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284</v>
      </c>
      <c r="B377" t="s">
        <v>1045</v>
      </c>
      <c r="C377" t="s">
        <v>1094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284</v>
      </c>
      <c r="B378" t="s">
        <v>1045</v>
      </c>
      <c r="C378" t="s">
        <v>1095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284</v>
      </c>
      <c r="B379" t="s">
        <v>1045</v>
      </c>
      <c r="C379" t="s">
        <v>1096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284</v>
      </c>
      <c r="B380" t="s">
        <v>1045</v>
      </c>
      <c r="C380" t="s">
        <v>1097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284</v>
      </c>
      <c r="B381" t="s">
        <v>1045</v>
      </c>
      <c r="C381" t="s">
        <v>1098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284</v>
      </c>
      <c r="B382" t="s">
        <v>1045</v>
      </c>
      <c r="C382" t="s">
        <v>1099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284</v>
      </c>
      <c r="B383" t="s">
        <v>1045</v>
      </c>
      <c r="C383" t="s">
        <v>1155</v>
      </c>
      <c r="G383" t="str">
        <f t="shared" si="10"/>
        <v>xlsx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0</v>
      </c>
    </row>
    <row r="384" spans="1:10" x14ac:dyDescent="0.25">
      <c r="A384" t="s">
        <v>284</v>
      </c>
      <c r="B384" t="s">
        <v>285</v>
      </c>
      <c r="C384" t="s">
        <v>286</v>
      </c>
      <c r="G384" t="str">
        <f t="shared" si="10"/>
        <v>xlsx</v>
      </c>
      <c r="H384" s="5" t="str">
        <f>IFERROR(IF(B384="FoPITY",INDEX(Customizations!$C$2:$C$19,MATCH(Sheet1!C384,Customizations!$B$2:$B$19,0),1),INDEX(About!C:C,MATCH(Sheet1!B384,About!B:B,0),1)),"")</f>
        <v>BAU Fuel Production Imports and Exports.xlsx</v>
      </c>
      <c r="I384" s="5">
        <f>IFERROR(INDEX(About!$D:$D,MATCH(Sheet1!H384,About!$C:$C,0),1),0)</f>
        <v>1</v>
      </c>
      <c r="J384" s="6">
        <f t="shared" si="11"/>
        <v>0</v>
      </c>
    </row>
    <row r="385" spans="1:10" x14ac:dyDescent="0.25">
      <c r="A385" t="s">
        <v>284</v>
      </c>
      <c r="B385" t="s">
        <v>285</v>
      </c>
      <c r="C385" t="s">
        <v>287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Production Imports and Exports.xlsx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s="7" customFormat="1" x14ac:dyDescent="0.25">
      <c r="A386" t="s">
        <v>284</v>
      </c>
      <c r="B386" t="s">
        <v>285</v>
      </c>
      <c r="C386" t="s">
        <v>288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Production Imports and Exports.xlsx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25">
      <c r="A387" t="s">
        <v>284</v>
      </c>
      <c r="B387" t="s">
        <v>285</v>
      </c>
      <c r="C387" t="s">
        <v>289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BAU Fuel Production Imports and Exports.xlsx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25">
      <c r="A388" t="s">
        <v>284</v>
      </c>
      <c r="B388" t="s">
        <v>290</v>
      </c>
      <c r="C388" t="s">
        <v>291</v>
      </c>
      <c r="G388" t="str">
        <f t="shared" si="10"/>
        <v>xlsx</v>
      </c>
      <c r="H388" s="5" t="str">
        <f>IFERROR(IF(B388="FoPITY",INDEX(Customizations!$C$2:$C$19,MATCH(Sheet1!C388,Customizations!$B$2:$B$19,0),1),INDEX(About!C:C,MATCH(Sheet1!B388,About!B:B,0),1)),"")</f>
        <v>BAU Subsidies.xlsx</v>
      </c>
      <c r="I388" s="5">
        <f>IFERROR(INDEX(About!$D:$D,MATCH(Sheet1!H388,About!$C:$C,0),1),0)</f>
        <v>1</v>
      </c>
      <c r="J388" s="6">
        <f t="shared" si="11"/>
        <v>0</v>
      </c>
    </row>
    <row r="389" spans="1:10" x14ac:dyDescent="0.25">
      <c r="A389" t="s">
        <v>284</v>
      </c>
      <c r="B389" t="s">
        <v>290</v>
      </c>
      <c r="C389" t="s">
        <v>292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BAU Subsidies.xlsx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25">
      <c r="A390" t="s">
        <v>284</v>
      </c>
      <c r="B390" t="s">
        <v>290</v>
      </c>
      <c r="C390" t="s">
        <v>293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Subsidies.xlsx</v>
      </c>
      <c r="I390" s="5">
        <f>IFERROR(INDEX(About!$D:$D,MATCH(Sheet1!H390,About!$C:$C,0),1),0)</f>
        <v>1</v>
      </c>
      <c r="J390" s="6">
        <f t="shared" si="11"/>
        <v>1</v>
      </c>
    </row>
    <row r="391" spans="1:10" x14ac:dyDescent="0.25">
      <c r="A391" t="s">
        <v>284</v>
      </c>
      <c r="B391" t="s">
        <v>290</v>
      </c>
      <c r="C391" t="s">
        <v>294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Subsidies.xlsx</v>
      </c>
      <c r="I391" s="5">
        <f>IFERROR(INDEX(About!$D:$D,MATCH(Sheet1!H391,About!$C:$C,0),1),0)</f>
        <v>1</v>
      </c>
      <c r="J391" s="6">
        <f t="shared" ref="J391:J454" si="13">IF(G391=".csv",1,0)*I391</f>
        <v>1</v>
      </c>
    </row>
    <row r="392" spans="1:10" x14ac:dyDescent="0.25">
      <c r="A392" t="s">
        <v>284</v>
      </c>
      <c r="B392" t="s">
        <v>295</v>
      </c>
      <c r="C392" t="s">
        <v>296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Export Tax Rate by Fuel.xlsx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284</v>
      </c>
      <c r="B393" t="s">
        <v>295</v>
      </c>
      <c r="C393" t="s">
        <v>297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Export Tax Rate by Fuel.xlsx</v>
      </c>
      <c r="I393" s="5">
        <f>IFERROR(INDEX(About!$D:$D,MATCH(Sheet1!H393,About!$C:$C,0),1),0)</f>
        <v>1</v>
      </c>
      <c r="J393" s="6">
        <f t="shared" si="13"/>
        <v>0</v>
      </c>
    </row>
    <row r="394" spans="1:10" x14ac:dyDescent="0.25">
      <c r="A394" t="s">
        <v>284</v>
      </c>
      <c r="B394" t="s">
        <v>298</v>
      </c>
      <c r="C394" t="s">
        <v>299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GWP by Pollutant by Timeframe.xlsx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284</v>
      </c>
      <c r="B395" t="s">
        <v>298</v>
      </c>
      <c r="C395" t="s">
        <v>300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GWP by Pollutant by Timeframe.xlsx</v>
      </c>
      <c r="I395" s="5">
        <f>IFERROR(INDEX(About!$D:$D,MATCH(Sheet1!H395,About!$C:$C,0),1),0)</f>
        <v>1</v>
      </c>
      <c r="J395" s="6">
        <f t="shared" si="13"/>
        <v>0</v>
      </c>
    </row>
    <row r="396" spans="1:10" x14ac:dyDescent="0.25">
      <c r="A396" t="s">
        <v>284</v>
      </c>
      <c r="B396" t="s">
        <v>301</v>
      </c>
      <c r="C396" t="s">
        <v>302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Intnl Market Fuel Price by Fuel Type.xlsx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284</v>
      </c>
      <c r="B397" t="s">
        <v>301</v>
      </c>
      <c r="C397" t="s">
        <v>303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Intnl Market Fuel Price by Fuel Type.xlsx</v>
      </c>
      <c r="I397" s="5">
        <f>IFERROR(INDEX(About!$D:$D,MATCH(Sheet1!H397,About!$C:$C,0),1),0)</f>
        <v>1</v>
      </c>
      <c r="J397" s="6">
        <f t="shared" si="13"/>
        <v>0</v>
      </c>
    </row>
    <row r="398" spans="1:10" x14ac:dyDescent="0.25">
      <c r="A398" t="s">
        <v>284</v>
      </c>
      <c r="B398" t="s">
        <v>304</v>
      </c>
      <c r="C398" t="s">
        <v>305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Max Perc Inc in Fuel Exports.xlsx</v>
      </c>
      <c r="I398" s="5">
        <f>IFERROR(INDEX(About!$D:$D,MATCH(Sheet1!H398,About!$C:$C,0),1),0)</f>
        <v>1</v>
      </c>
      <c r="J398" s="6">
        <f t="shared" si="13"/>
        <v>0</v>
      </c>
    </row>
    <row r="399" spans="1:10" x14ac:dyDescent="0.25">
      <c r="A399" t="s">
        <v>284</v>
      </c>
      <c r="B399" t="s">
        <v>304</v>
      </c>
      <c r="C399" t="s">
        <v>306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Max Perc Inc in Fuel Exports.xlsx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284</v>
      </c>
      <c r="B400" t="s">
        <v>307</v>
      </c>
      <c r="C400" t="s">
        <v>308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Max Perc Inc in Fuel Imports.xlsx</v>
      </c>
      <c r="I400" s="5">
        <f>IFERROR(INDEX(About!$D:$D,MATCH(Sheet1!H400,About!$C:$C,0),1),0)</f>
        <v>1</v>
      </c>
      <c r="J400" s="6">
        <f t="shared" si="13"/>
        <v>0</v>
      </c>
    </row>
    <row r="401" spans="1:10" x14ac:dyDescent="0.25">
      <c r="A401" t="s">
        <v>284</v>
      </c>
      <c r="B401" t="s">
        <v>307</v>
      </c>
      <c r="C401" t="s">
        <v>309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Max Perc Inc in Fuel Imports.xlsx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284</v>
      </c>
      <c r="B402" t="s">
        <v>310</v>
      </c>
      <c r="C402" t="s">
        <v>311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Max Perc Inc in Fuel Production.xlsx</v>
      </c>
      <c r="I402" s="5">
        <f>IFERROR(INDEX(About!$D:$D,MATCH(Sheet1!H402,About!$C:$C,0),1),0)</f>
        <v>1</v>
      </c>
      <c r="J402" s="6">
        <f t="shared" si="13"/>
        <v>0</v>
      </c>
    </row>
    <row r="403" spans="1:10" x14ac:dyDescent="0.25">
      <c r="A403" t="s">
        <v>284</v>
      </c>
      <c r="B403" t="s">
        <v>310</v>
      </c>
      <c r="C403" t="s">
        <v>312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Max Perc Inc in Fuel Production.xlsx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284</v>
      </c>
      <c r="B404" t="s">
        <v>313</v>
      </c>
      <c r="C404" t="s">
        <v>314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Intensities.xlsx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284</v>
      </c>
      <c r="B405" t="s">
        <v>313</v>
      </c>
      <c r="C405" t="s">
        <v>315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Intensities.xlsx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284</v>
      </c>
      <c r="B406" t="s">
        <v>313</v>
      </c>
      <c r="C406" t="s">
        <v>316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Pollutant Emissions Intensities.xlsx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284</v>
      </c>
      <c r="B407" t="s">
        <v>313</v>
      </c>
      <c r="C407" t="s">
        <v>317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Pollutant Emissions Intensities.xlsx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284</v>
      </c>
      <c r="B408" t="s">
        <v>313</v>
      </c>
      <c r="C408" t="s">
        <v>318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Pollutant Emissions Intensities.xlsx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284</v>
      </c>
      <c r="B409" t="s">
        <v>313</v>
      </c>
      <c r="C409" t="s">
        <v>319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Pollutant Emissions Intensities.xlsx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284</v>
      </c>
      <c r="B410" t="s">
        <v>313</v>
      </c>
      <c r="C410" t="s">
        <v>320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Pollutant Emissions Intensities.xlsx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284</v>
      </c>
      <c r="B411" t="s">
        <v>313</v>
      </c>
      <c r="C411" t="s">
        <v>321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Pollutant Emissions Intensities.xlsx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284</v>
      </c>
      <c r="B412" t="s">
        <v>313</v>
      </c>
      <c r="C412" t="s">
        <v>322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Pollutant Emissions Intensities.xlsx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284</v>
      </c>
      <c r="B413" t="s">
        <v>313</v>
      </c>
      <c r="C413" t="s">
        <v>323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Pollutant Emissions Intensities.xlsx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284</v>
      </c>
      <c r="B414" t="s">
        <v>313</v>
      </c>
      <c r="C414" t="s">
        <v>324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Pollutant Emissions Intensities.xlsx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284</v>
      </c>
      <c r="B415" t="s">
        <v>313</v>
      </c>
      <c r="C415" t="s">
        <v>325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Pollutant Emissions Intensities.xlsx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284</v>
      </c>
      <c r="B416" t="s">
        <v>313</v>
      </c>
      <c r="C416" t="s">
        <v>326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Pollutant Emissions Intensities.xlsx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284</v>
      </c>
      <c r="B417" t="s">
        <v>313</v>
      </c>
      <c r="C417" t="s">
        <v>327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Pollutant Emissions Intensities.xlsx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284</v>
      </c>
      <c r="B418" t="s">
        <v>313</v>
      </c>
      <c r="C418" t="s">
        <v>328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Pollutant Emissions Intensities.xlsx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284</v>
      </c>
      <c r="B419" t="s">
        <v>313</v>
      </c>
      <c r="C419" t="s">
        <v>329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Intensities.xlsx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284</v>
      </c>
      <c r="B420" t="s">
        <v>313</v>
      </c>
      <c r="C420" t="s">
        <v>330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1</v>
      </c>
      <c r="J420" s="6">
        <f t="shared" si="13"/>
        <v>0</v>
      </c>
    </row>
    <row r="421" spans="1:10" x14ac:dyDescent="0.25">
      <c r="A421" t="s">
        <v>284</v>
      </c>
      <c r="B421" t="s">
        <v>331</v>
      </c>
      <c r="C421" t="s">
        <v>332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Intensity Improvement Rate.xlsx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284</v>
      </c>
      <c r="B422" t="s">
        <v>331</v>
      </c>
      <c r="C422" t="s">
        <v>333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Intensity Improvement Rate.xlsx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284</v>
      </c>
      <c r="B423" t="s">
        <v>331</v>
      </c>
      <c r="C423" t="s">
        <v>334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Intensity Improvement Rate.xlsx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284</v>
      </c>
      <c r="B424" t="s">
        <v>331</v>
      </c>
      <c r="C424" t="s">
        <v>335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Intensity Improvement Rate.xlsx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284</v>
      </c>
      <c r="B425" t="s">
        <v>331</v>
      </c>
      <c r="C425" t="s">
        <v>336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Intensity Improvement Rate.xlsx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284</v>
      </c>
      <c r="B426" t="s">
        <v>331</v>
      </c>
      <c r="C426" t="s">
        <v>337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Intensity Improvement Rate.xlsx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284</v>
      </c>
      <c r="B427" t="s">
        <v>331</v>
      </c>
      <c r="C427" t="s">
        <v>338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Intensity Improvement Rate.xlsx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284</v>
      </c>
      <c r="B428" t="s">
        <v>331</v>
      </c>
      <c r="C428" t="s">
        <v>339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Intensity Improvement Rate.xlsx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25">
      <c r="A429" t="s">
        <v>284</v>
      </c>
      <c r="B429" t="s">
        <v>331</v>
      </c>
      <c r="C429" t="s">
        <v>340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Intensity Improvement Rate.xlsx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284</v>
      </c>
      <c r="B430" t="s">
        <v>331</v>
      </c>
      <c r="C430" t="s">
        <v>341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Intensity Improvement Rate.xlsx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284</v>
      </c>
      <c r="B431" t="s">
        <v>331</v>
      </c>
      <c r="C431" t="s">
        <v>342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Intensity Improvement Rate.xlsx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284</v>
      </c>
      <c r="B432" t="s">
        <v>331</v>
      </c>
      <c r="C432" t="s">
        <v>343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Intensity Improvement Rate.xlsx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284</v>
      </c>
      <c r="B433" t="s">
        <v>331</v>
      </c>
      <c r="C433" t="s">
        <v>344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284</v>
      </c>
      <c r="B434" t="s">
        <v>331</v>
      </c>
      <c r="C434" t="s">
        <v>345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284</v>
      </c>
      <c r="B435" t="s">
        <v>331</v>
      </c>
      <c r="C435" t="s">
        <v>346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284</v>
      </c>
      <c r="B436" t="s">
        <v>331</v>
      </c>
      <c r="C436" t="s">
        <v>347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284</v>
      </c>
      <c r="B437" t="s">
        <v>331</v>
      </c>
      <c r="C437" t="s">
        <v>348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1</v>
      </c>
      <c r="J437" s="6">
        <f t="shared" si="13"/>
        <v>0</v>
      </c>
    </row>
    <row r="438" spans="1:10" x14ac:dyDescent="0.25">
      <c r="A438" t="s">
        <v>284</v>
      </c>
      <c r="B438" t="s">
        <v>349</v>
      </c>
      <c r="C438" t="s">
        <v>350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Perc of Fuel Demand Changes that Affect Exports.xlsx</v>
      </c>
      <c r="I438" s="5">
        <f>IFERROR(INDEX(About!$D:$D,MATCH(Sheet1!H438,About!$C:$C,0),1),0)</f>
        <v>1</v>
      </c>
      <c r="J438" s="6">
        <f t="shared" si="13"/>
        <v>0</v>
      </c>
    </row>
    <row r="439" spans="1:10" x14ac:dyDescent="0.25">
      <c r="A439" t="s">
        <v>284</v>
      </c>
      <c r="B439" t="s">
        <v>349</v>
      </c>
      <c r="C439" t="s">
        <v>351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Perc of Fuel Demand Changes that Affect Exports.xlsx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284</v>
      </c>
      <c r="B440" t="s">
        <v>990</v>
      </c>
      <c r="C440" t="s">
        <v>991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Quantization Size for Energy.xlsx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284</v>
      </c>
      <c r="B441" t="s">
        <v>990</v>
      </c>
      <c r="C441" t="s">
        <v>992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Quantization Size for Energy.xlsx</v>
      </c>
      <c r="I441" s="5">
        <f>IFERROR(INDEX(About!$D:$D,MATCH(Sheet1!H441,About!$C:$C,0),1),0)</f>
        <v>1</v>
      </c>
      <c r="J441" s="6">
        <f t="shared" si="13"/>
        <v>0</v>
      </c>
    </row>
    <row r="442" spans="1:10" x14ac:dyDescent="0.25">
      <c r="A442" t="s">
        <v>879</v>
      </c>
      <c r="B442" t="s">
        <v>880</v>
      </c>
      <c r="C442" t="s">
        <v>881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Direct Air Capture Data.xlsx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879</v>
      </c>
      <c r="B443" t="s">
        <v>880</v>
      </c>
      <c r="C443" t="s">
        <v>882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Direct Air Capture Data.xlsx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879</v>
      </c>
      <c r="B444" t="s">
        <v>880</v>
      </c>
      <c r="C444" t="s">
        <v>883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Direct Air Capture Data.xlsx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879</v>
      </c>
      <c r="B445" t="s">
        <v>880</v>
      </c>
      <c r="C445" t="s">
        <v>884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Direct Air Capture Data.xlsx</v>
      </c>
      <c r="I445" s="5">
        <f>IFERROR(INDEX(About!$D:$D,MATCH(Sheet1!H445,About!$C:$C,0),1),0)</f>
        <v>1</v>
      </c>
      <c r="J445" s="6">
        <f t="shared" si="13"/>
        <v>0</v>
      </c>
    </row>
    <row r="446" spans="1:10" x14ac:dyDescent="0.25">
      <c r="A446" t="s">
        <v>352</v>
      </c>
      <c r="B446" t="s">
        <v>353</v>
      </c>
      <c r="C446" t="s">
        <v>354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BAU Hydrogen Production Shr by Pathway.xlsx</v>
      </c>
      <c r="I446" s="5">
        <f>IFERROR(INDEX(About!$D:$D,MATCH(Sheet1!H446,About!$C:$C,0),1),0)</f>
        <v>1</v>
      </c>
      <c r="J446" s="6">
        <f t="shared" si="13"/>
        <v>0</v>
      </c>
    </row>
    <row r="447" spans="1:10" x14ac:dyDescent="0.25">
      <c r="A447" t="s">
        <v>352</v>
      </c>
      <c r="B447" t="s">
        <v>353</v>
      </c>
      <c r="C447" t="s">
        <v>355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BAU Hydrogen Production Shr by Pathway.xlsx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25">
      <c r="A448" t="s">
        <v>352</v>
      </c>
      <c r="B448" t="s">
        <v>356</v>
      </c>
      <c r="C448" t="s">
        <v>357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Electrolyzer Hydrogen Production per Unit Capacity.xlsx</v>
      </c>
      <c r="I448" s="5">
        <f>IFERROR(INDEX(About!$D:$D,MATCH(Sheet1!H448,About!$C:$C,0),1),0)</f>
        <v>1</v>
      </c>
      <c r="J448" s="6">
        <f t="shared" si="13"/>
        <v>1</v>
      </c>
    </row>
    <row r="449" spans="1:10" x14ac:dyDescent="0.25">
      <c r="A449" t="s">
        <v>352</v>
      </c>
      <c r="B449" t="s">
        <v>356</v>
      </c>
      <c r="C449" t="s">
        <v>358</v>
      </c>
      <c r="G449" t="str">
        <f t="shared" si="12"/>
        <v>xlsx</v>
      </c>
      <c r="H449" s="5" t="str">
        <f>IFERROR(IF(B449="FoPITY",INDEX(Customizations!$C$2:$C$19,MATCH(Sheet1!C449,Customizations!$B$2:$B$19,0),1),INDEX(About!C:C,MATCH(Sheet1!B449,About!B:B,0),1)),"")</f>
        <v>Electrolyzer Hydrogen Production per Unit Capacity.xlsx</v>
      </c>
      <c r="I449" s="5">
        <f>IFERROR(INDEX(About!$D:$D,MATCH(Sheet1!H449,About!$C:$C,0),1),0)</f>
        <v>1</v>
      </c>
      <c r="J449" s="6">
        <f t="shared" si="13"/>
        <v>0</v>
      </c>
    </row>
    <row r="450" spans="1:10" x14ac:dyDescent="0.25">
      <c r="A450" t="s">
        <v>352</v>
      </c>
      <c r="B450" t="s">
        <v>359</v>
      </c>
      <c r="C450" t="s">
        <v>360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Hydgn Production Eff by Pathway.xlsx</v>
      </c>
      <c r="I450" s="5">
        <f>IFERROR(INDEX(About!$D:$D,MATCH(Sheet1!H450,About!$C:$C,0),1),0)</f>
        <v>1</v>
      </c>
      <c r="J450" s="6">
        <f t="shared" si="13"/>
        <v>1</v>
      </c>
    </row>
    <row r="451" spans="1:10" x14ac:dyDescent="0.25">
      <c r="A451" t="s">
        <v>352</v>
      </c>
      <c r="B451" t="s">
        <v>359</v>
      </c>
      <c r="C451" t="s">
        <v>361</v>
      </c>
      <c r="G451" t="str">
        <f t="shared" si="12"/>
        <v>xlsx</v>
      </c>
      <c r="H451" s="5" t="str">
        <f>IFERROR(IF(B451="FoPITY",INDEX(Customizations!$C$2:$C$19,MATCH(Sheet1!C451,Customizations!$B$2:$B$19,0),1),INDEX(About!C:C,MATCH(Sheet1!B451,About!B:B,0),1)),"")</f>
        <v>Hydgn Production Eff by Pathway.xlsx</v>
      </c>
      <c r="I451" s="5">
        <f>IFERROR(INDEX(About!$D:$D,MATCH(Sheet1!H451,About!$C:$C,0),1),0)</f>
        <v>1</v>
      </c>
      <c r="J451" s="6">
        <f t="shared" si="13"/>
        <v>0</v>
      </c>
    </row>
    <row r="452" spans="1:10" x14ac:dyDescent="0.25">
      <c r="A452" t="s">
        <v>352</v>
      </c>
      <c r="B452" t="s">
        <v>362</v>
      </c>
      <c r="C452" t="s">
        <v>363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Hydrogen Production Eqpt Costs.xlsx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25">
      <c r="A453" t="s">
        <v>352</v>
      </c>
      <c r="B453" t="s">
        <v>362</v>
      </c>
      <c r="C453" t="s">
        <v>364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Hydrogen Production Eqpt Costs.xlsx</v>
      </c>
      <c r="I453" s="5">
        <f>IFERROR(INDEX(About!$D:$D,MATCH(Sheet1!H453,About!$C:$C,0),1),0)</f>
        <v>1</v>
      </c>
      <c r="J453" s="6">
        <f t="shared" si="13"/>
        <v>1</v>
      </c>
    </row>
    <row r="454" spans="1:10" x14ac:dyDescent="0.25">
      <c r="A454" t="s">
        <v>352</v>
      </c>
      <c r="B454" t="s">
        <v>362</v>
      </c>
      <c r="C454" t="s">
        <v>365</v>
      </c>
      <c r="G454" t="str">
        <f t="shared" ref="G454:G518" si="15">RIGHT(C454,"4")</f>
        <v>xlsx</v>
      </c>
      <c r="H454" s="5" t="str">
        <f>IFERROR(IF(B454="FoPITY",INDEX(Customizations!$C$2:$C$19,MATCH(Sheet1!C454,Customizations!$B$2:$B$19,0),1),INDEX(About!C:C,MATCH(Sheet1!B454,About!B:B,0),1)),"")</f>
        <v>Hydrogen Production Eqpt Costs.xlsx</v>
      </c>
      <c r="I454" s="5">
        <f>IFERROR(INDEX(About!$D:$D,MATCH(Sheet1!H454,About!$C:$C,0),1),0)</f>
        <v>1</v>
      </c>
      <c r="J454" s="6">
        <f t="shared" si="13"/>
        <v>0</v>
      </c>
    </row>
    <row r="455" spans="1:10" x14ac:dyDescent="0.25">
      <c r="A455" t="s">
        <v>352</v>
      </c>
      <c r="B455" t="s">
        <v>366</v>
      </c>
      <c r="C455" t="s">
        <v>367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Hydgn Prod Perc Excess Cap by Pathway.xlsx</v>
      </c>
      <c r="I455" s="5">
        <f>IFERROR(INDEX(About!$D:$D,MATCH(Sheet1!H455,About!$C:$C,0),1),0)</f>
        <v>1</v>
      </c>
      <c r="J455" s="6">
        <f t="shared" ref="J455:J518" si="16">IF(G455=".csv",1,0)*I455</f>
        <v>1</v>
      </c>
    </row>
    <row r="456" spans="1:10" x14ac:dyDescent="0.25">
      <c r="A456" t="s">
        <v>352</v>
      </c>
      <c r="B456" t="s">
        <v>366</v>
      </c>
      <c r="C456" t="s">
        <v>368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Hydgn Prod Perc Excess Cap by Pathway.xlsx</v>
      </c>
      <c r="I456" s="5">
        <f>IFERROR(INDEX(About!$D:$D,MATCH(Sheet1!H456,About!$C:$C,0),1),0)</f>
        <v>1</v>
      </c>
      <c r="J456" s="6">
        <f t="shared" si="16"/>
        <v>0</v>
      </c>
    </row>
    <row r="457" spans="1:10" x14ac:dyDescent="0.25">
      <c r="A457" t="s">
        <v>352</v>
      </c>
      <c r="B457" t="s">
        <v>369</v>
      </c>
      <c r="C457" t="s">
        <v>370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Hydrogen Pathway to Fuel Mappings.xlsx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352</v>
      </c>
      <c r="B458" t="s">
        <v>369</v>
      </c>
      <c r="C458" t="s">
        <v>371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Hydrogen Pathway to Fuel Mappings.xlsx</v>
      </c>
      <c r="I458" s="5">
        <f>IFERROR(INDEX(About!$D:$D,MATCH(Sheet1!H458,About!$C:$C,0),1),0)</f>
        <v>1</v>
      </c>
      <c r="J458" s="6">
        <f t="shared" si="16"/>
        <v>0</v>
      </c>
    </row>
    <row r="459" spans="1:10" x14ac:dyDescent="0.25">
      <c r="A459" t="s">
        <v>352</v>
      </c>
      <c r="B459" t="s">
        <v>372</v>
      </c>
      <c r="C459" t="s">
        <v>373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Recipient Hydrogen Pathway Fractions.xlsx</v>
      </c>
      <c r="I459" s="5">
        <f>IFERROR(INDEX(About!$D:$D,MATCH(Sheet1!H459,About!$C:$C,0),1),0)</f>
        <v>1</v>
      </c>
      <c r="J459" s="6">
        <f t="shared" si="16"/>
        <v>0</v>
      </c>
    </row>
    <row r="460" spans="1:10" x14ac:dyDescent="0.25">
      <c r="A460" t="s">
        <v>352</v>
      </c>
      <c r="B460" t="s">
        <v>372</v>
      </c>
      <c r="C460" t="s">
        <v>374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Recipient Hydrogen Pathway Fractions.xlsx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352</v>
      </c>
      <c r="B461" t="s">
        <v>1318</v>
      </c>
      <c r="C461" t="s">
        <v>1319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/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352</v>
      </c>
      <c r="B462" t="s">
        <v>1318</v>
      </c>
      <c r="C462" t="s">
        <v>1320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/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375</v>
      </c>
      <c r="B463" t="s">
        <v>376</v>
      </c>
      <c r="C463" t="s">
        <v>377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BAU Industrial Fuel Use before CCS.xlsx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25">
      <c r="A464" t="s">
        <v>375</v>
      </c>
      <c r="B464" t="s">
        <v>376</v>
      </c>
      <c r="C464" t="s">
        <v>378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Industrial Fuel Use before CCS.xlsx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375</v>
      </c>
      <c r="B465" t="s">
        <v>376</v>
      </c>
      <c r="C465" t="s">
        <v>379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Industrial Fuel Use before CCS.xlsx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375</v>
      </c>
      <c r="B466" t="s">
        <v>376</v>
      </c>
      <c r="C466" t="s">
        <v>380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Industrial Fuel Use before CCS.xlsx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375</v>
      </c>
      <c r="B467" t="s">
        <v>376</v>
      </c>
      <c r="C467" t="s">
        <v>381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Industrial Fuel Use before CCS.xlsx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375</v>
      </c>
      <c r="B468" t="s">
        <v>376</v>
      </c>
      <c r="C468" t="s">
        <v>382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Industrial Fuel Use before CCS.xlsx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375</v>
      </c>
      <c r="B469" t="s">
        <v>376</v>
      </c>
      <c r="C469" t="s">
        <v>383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Industrial Fuel Use before CCS.xlsx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375</v>
      </c>
      <c r="B470" t="s">
        <v>376</v>
      </c>
      <c r="C470" t="s">
        <v>384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Industrial Fuel Use before CCS.xlsx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375</v>
      </c>
      <c r="B471" t="s">
        <v>376</v>
      </c>
      <c r="C471" t="s">
        <v>385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Industrial Fuel Use before CCS.xlsx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375</v>
      </c>
      <c r="B472" t="s">
        <v>376</v>
      </c>
      <c r="C472" t="s">
        <v>386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Industrial Fuel Use before CCS.xlsx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375</v>
      </c>
      <c r="B473" t="s">
        <v>376</v>
      </c>
      <c r="C473" t="s">
        <v>387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Industrial Fuel Use before CCS.xlsx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375</v>
      </c>
      <c r="B474" t="s">
        <v>1321</v>
      </c>
      <c r="C474" t="s">
        <v>1322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/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375</v>
      </c>
      <c r="B475" t="s">
        <v>1321</v>
      </c>
      <c r="C475" t="s">
        <v>1323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/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375</v>
      </c>
      <c r="B476" t="s">
        <v>388</v>
      </c>
      <c r="C476" t="s">
        <v>389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BAU Process Emis in CO2e.xlsx</v>
      </c>
      <c r="I476" s="5">
        <f>IFERROR(INDEX(About!$D:$D,MATCH(Sheet1!H476,About!$C:$C,0),1),0)</f>
        <v>1</v>
      </c>
      <c r="J476" s="6">
        <f t="shared" si="16"/>
        <v>0</v>
      </c>
    </row>
    <row r="477" spans="1:10" x14ac:dyDescent="0.25">
      <c r="A477" t="s">
        <v>375</v>
      </c>
      <c r="B477" t="s">
        <v>388</v>
      </c>
      <c r="C477" t="s">
        <v>390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Process Emis in CO2e.xlsx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375</v>
      </c>
      <c r="B478" t="s">
        <v>388</v>
      </c>
      <c r="C478" t="s">
        <v>391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Process Emis in CO2e.xlsx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375</v>
      </c>
      <c r="B479" t="s">
        <v>388</v>
      </c>
      <c r="C479" t="s">
        <v>392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Process Emis in CO2e.xlsx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375</v>
      </c>
      <c r="B480" t="s">
        <v>388</v>
      </c>
      <c r="C480" t="s">
        <v>393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Process Emis in CO2e.xlsx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375</v>
      </c>
      <c r="B481" t="s">
        <v>388</v>
      </c>
      <c r="C481" t="s">
        <v>394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Process Emis in CO2e.xlsx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375</v>
      </c>
      <c r="B482" t="s">
        <v>395</v>
      </c>
      <c r="C482" t="s">
        <v>396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Proportion of Industrial Fuel Used for Energy.xlsx</v>
      </c>
      <c r="I482" s="5">
        <f>IFERROR(INDEX(About!$D:$D,MATCH(Sheet1!H482,About!$C:$C,0),1),0)</f>
        <v>1</v>
      </c>
      <c r="J482" s="6">
        <f t="shared" si="16"/>
        <v>0</v>
      </c>
    </row>
    <row r="483" spans="1:10" x14ac:dyDescent="0.25">
      <c r="A483" t="s">
        <v>375</v>
      </c>
      <c r="B483" t="s">
        <v>395</v>
      </c>
      <c r="C483" t="s">
        <v>397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Proportion of Industrial Fuel Used for Energy.xlsx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375</v>
      </c>
      <c r="B484" t="s">
        <v>398</v>
      </c>
      <c r="C484" t="s">
        <v>399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Shr of Ag Indst Going to Anml Prdcts.xlsx</v>
      </c>
      <c r="I484" s="5">
        <f>IFERROR(INDEX(About!$D:$D,MATCH(Sheet1!H484,About!$C:$C,0),1),0)</f>
        <v>1</v>
      </c>
      <c r="J484" s="6">
        <f t="shared" si="16"/>
        <v>0</v>
      </c>
    </row>
    <row r="485" spans="1:10" x14ac:dyDescent="0.25">
      <c r="A485" t="s">
        <v>375</v>
      </c>
      <c r="B485" t="s">
        <v>398</v>
      </c>
      <c r="C485" t="s">
        <v>400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Shr of Ag Indst Going to Anml Prdcts.xlsx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375</v>
      </c>
      <c r="B486" t="s">
        <v>1324</v>
      </c>
      <c r="C486" t="s">
        <v>1325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/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375</v>
      </c>
      <c r="B487" t="s">
        <v>1324</v>
      </c>
      <c r="C487" t="s">
        <v>1326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/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375</v>
      </c>
      <c r="B488" t="s">
        <v>401</v>
      </c>
      <c r="C488" t="s">
        <v>402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Cost to Impl Eff Policy per Unit E Saved or Shifted.xlsx</v>
      </c>
      <c r="I488" s="5">
        <f>IFERROR(INDEX(About!$D:$D,MATCH(Sheet1!H488,About!$C:$C,0),1),0)</f>
        <v>1</v>
      </c>
      <c r="J488" s="6">
        <f t="shared" si="16"/>
        <v>0</v>
      </c>
    </row>
    <row r="489" spans="1:10" x14ac:dyDescent="0.25">
      <c r="A489" t="s">
        <v>375</v>
      </c>
      <c r="B489" t="s">
        <v>401</v>
      </c>
      <c r="C489" t="s">
        <v>403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Cost to Impl Eff Policy per Unit E Saved or Shifted.xlsx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375</v>
      </c>
      <c r="B490" t="s">
        <v>1327</v>
      </c>
      <c r="C490" t="s">
        <v>1328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/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375</v>
      </c>
      <c r="B491" t="s">
        <v>1327</v>
      </c>
      <c r="C491" t="s">
        <v>1329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/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375</v>
      </c>
      <c r="B492" t="s">
        <v>404</v>
      </c>
      <c r="C492" t="s">
        <v>405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Elasticities of Production.xlsx</v>
      </c>
      <c r="I492" s="5">
        <f>IFERROR(INDEX(About!$D:$D,MATCH(Sheet1!H492,About!$C:$C,0),1),0)</f>
        <v>1</v>
      </c>
      <c r="J492" s="6">
        <f t="shared" si="16"/>
        <v>0</v>
      </c>
    </row>
    <row r="493" spans="1:10" x14ac:dyDescent="0.25">
      <c r="A493" t="s">
        <v>375</v>
      </c>
      <c r="B493" t="s">
        <v>404</v>
      </c>
      <c r="C493" t="s">
        <v>406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Elasticities of Production.xlsx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375</v>
      </c>
      <c r="B494" t="s">
        <v>404</v>
      </c>
      <c r="C494" t="s">
        <v>407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Elasticities of Production.xlsx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375</v>
      </c>
      <c r="B495" t="s">
        <v>408</v>
      </c>
      <c r="C495" t="s">
        <v>409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Foreign Leakage Rate by Industry.xlsx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375</v>
      </c>
      <c r="B496" t="s">
        <v>408</v>
      </c>
      <c r="C496" t="s">
        <v>410</v>
      </c>
      <c r="G496" t="str">
        <f t="shared" si="15"/>
        <v>xlsx</v>
      </c>
      <c r="H496" s="5" t="str">
        <f>IFERROR(IF(B496="FoPITY",INDEX(Customizations!$C$2:$C$19,MATCH(Sheet1!C496,Customizations!$B$2:$B$19,0),1),INDEX(About!C:C,MATCH(Sheet1!B496,About!B:B,0),1)),"")</f>
        <v>Foreign Leakage Rate by Industry.xlsx</v>
      </c>
      <c r="I496" s="5">
        <f>IFERROR(INDEX(About!$D:$D,MATCH(Sheet1!H496,About!$C:$C,0),1),0)</f>
        <v>1</v>
      </c>
      <c r="J496" s="6">
        <f t="shared" si="16"/>
        <v>0</v>
      </c>
    </row>
    <row r="497" spans="1:10" x14ac:dyDescent="0.25">
      <c r="A497" t="s">
        <v>375</v>
      </c>
      <c r="B497" t="s">
        <v>1156</v>
      </c>
      <c r="C497" t="s">
        <v>1157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Fraction of Inputs Supplied and Goods Purchased by Entity.xlsx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375</v>
      </c>
      <c r="B498" t="s">
        <v>1156</v>
      </c>
      <c r="C498" t="s">
        <v>1158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Fraction of Inputs Supplied and Goods Purchased by Entity.xlsx</v>
      </c>
      <c r="I498" s="5">
        <f>IFERROR(INDEX(About!$D:$D,MATCH(Sheet1!H498,About!$C:$C,0),1),0)</f>
        <v>1</v>
      </c>
      <c r="J498" s="6">
        <f t="shared" si="16"/>
        <v>0</v>
      </c>
    </row>
    <row r="499" spans="1:10" x14ac:dyDescent="0.25">
      <c r="A499" t="s">
        <v>375</v>
      </c>
      <c r="B499" t="s">
        <v>993</v>
      </c>
      <c r="C499" t="s">
        <v>994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Industry to ISIC Code Map.xlsx</v>
      </c>
      <c r="I499" s="5">
        <f>IFERROR(INDEX(About!$D:$D,MATCH(Sheet1!H499,About!$C:$C,0),1),0)</f>
        <v>1</v>
      </c>
      <c r="J499" s="6">
        <f t="shared" si="16"/>
        <v>0</v>
      </c>
    </row>
    <row r="500" spans="1:10" x14ac:dyDescent="0.25">
      <c r="A500" t="s">
        <v>375</v>
      </c>
      <c r="B500" t="s">
        <v>993</v>
      </c>
      <c r="C500" t="s">
        <v>995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Industry to ISIC Code Map.xlsx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375</v>
      </c>
      <c r="B501" t="s">
        <v>411</v>
      </c>
      <c r="C501" t="s">
        <v>412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Methane Heating Value.xlsx</v>
      </c>
      <c r="I501" s="5">
        <f>IFERROR(INDEX(About!$D:$D,MATCH(Sheet1!H501,About!$C:$C,0),1),0)</f>
        <v>1</v>
      </c>
      <c r="J501" s="6">
        <f t="shared" si="16"/>
        <v>0</v>
      </c>
    </row>
    <row r="502" spans="1:10" x14ac:dyDescent="0.25">
      <c r="A502" t="s">
        <v>375</v>
      </c>
      <c r="B502" t="s">
        <v>411</v>
      </c>
      <c r="C502" t="s">
        <v>413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Methane Heating Value.xlsx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375</v>
      </c>
      <c r="B503" t="s">
        <v>414</v>
      </c>
      <c r="C503" t="s">
        <v>885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Proc Emis Reductions and Costs.xlsx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375</v>
      </c>
      <c r="B504" t="s">
        <v>414</v>
      </c>
      <c r="C504" t="s">
        <v>886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Proc Emis Reductions and Costs.xlsx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375</v>
      </c>
      <c r="B505" t="s">
        <v>414</v>
      </c>
      <c r="C505" t="s">
        <v>887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Proc Emis Reductions and Costs.xlsx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375</v>
      </c>
      <c r="B506" t="s">
        <v>414</v>
      </c>
      <c r="C506" t="s">
        <v>888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Proc Emis Reductions and Costs.xlsx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25">
      <c r="A507" t="s">
        <v>375</v>
      </c>
      <c r="B507" t="s">
        <v>414</v>
      </c>
      <c r="C507" t="s">
        <v>889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Proc Emis Reductions and Costs.xlsx</v>
      </c>
      <c r="I507" s="5">
        <f>IFERROR(INDEX(About!$D:$D,MATCH(Sheet1!H507,About!$C:$C,0),1),0)</f>
        <v>1</v>
      </c>
      <c r="J507" s="6">
        <f t="shared" si="16"/>
        <v>1</v>
      </c>
    </row>
    <row r="508" spans="1:10" x14ac:dyDescent="0.25">
      <c r="A508" t="s">
        <v>375</v>
      </c>
      <c r="B508" t="s">
        <v>414</v>
      </c>
      <c r="C508" t="s">
        <v>890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Proc Emis Reductions and Costs.xlsx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25">
      <c r="A509" t="s">
        <v>375</v>
      </c>
      <c r="B509" t="s">
        <v>414</v>
      </c>
      <c r="C509" t="s">
        <v>891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Proc Emis Reductions and Costs.xlsx</v>
      </c>
      <c r="I509" s="5">
        <f>IFERROR(INDEX(About!$D:$D,MATCH(Sheet1!H509,About!$C:$C,0),1),0)</f>
        <v>1</v>
      </c>
      <c r="J509" s="6">
        <f t="shared" si="16"/>
        <v>1</v>
      </c>
    </row>
    <row r="510" spans="1:10" x14ac:dyDescent="0.25">
      <c r="A510" t="s">
        <v>375</v>
      </c>
      <c r="B510" t="s">
        <v>414</v>
      </c>
      <c r="C510" t="s">
        <v>892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Proc Emis Reductions and Costs.xlsx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25">
      <c r="A511" t="s">
        <v>375</v>
      </c>
      <c r="B511" t="s">
        <v>414</v>
      </c>
      <c r="C511" t="s">
        <v>893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Proc Emis Reductions and Costs.xlsx</v>
      </c>
      <c r="I511" s="5">
        <f>IFERROR(INDEX(About!$D:$D,MATCH(Sheet1!H511,About!$C:$C,0),1),0)</f>
        <v>1</v>
      </c>
      <c r="J511" s="6">
        <f t="shared" si="16"/>
        <v>1</v>
      </c>
    </row>
    <row r="512" spans="1:10" x14ac:dyDescent="0.25">
      <c r="A512" t="s">
        <v>375</v>
      </c>
      <c r="B512" t="s">
        <v>414</v>
      </c>
      <c r="C512" t="s">
        <v>894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Proc Emis Reductions and Costs.xlsx</v>
      </c>
      <c r="I512" s="5">
        <f>IFERROR(INDEX(About!$D:$D,MATCH(Sheet1!H512,About!$C:$C,0),1),0)</f>
        <v>1</v>
      </c>
      <c r="J512" s="6">
        <f t="shared" si="16"/>
        <v>1</v>
      </c>
    </row>
    <row r="513" spans="1:10" x14ac:dyDescent="0.25">
      <c r="A513" t="s">
        <v>375</v>
      </c>
      <c r="B513" t="s">
        <v>414</v>
      </c>
      <c r="C513" t="s">
        <v>895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Proc Emis Reductions and Costs.xlsx</v>
      </c>
      <c r="I513" s="5">
        <f>IFERROR(INDEX(About!$D:$D,MATCH(Sheet1!H513,About!$C:$C,0),1),0)</f>
        <v>1</v>
      </c>
      <c r="J513" s="6">
        <f t="shared" si="16"/>
        <v>1</v>
      </c>
    </row>
    <row r="514" spans="1:10" x14ac:dyDescent="0.25">
      <c r="A514" t="s">
        <v>375</v>
      </c>
      <c r="B514" t="s">
        <v>414</v>
      </c>
      <c r="C514" t="s">
        <v>896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Proc Emis Reductions and Costs.xlsx</v>
      </c>
      <c r="I514" s="5">
        <f>IFERROR(INDEX(About!$D:$D,MATCH(Sheet1!H514,About!$C:$C,0),1),0)</f>
        <v>1</v>
      </c>
      <c r="J514" s="6">
        <f t="shared" si="16"/>
        <v>1</v>
      </c>
    </row>
    <row r="515" spans="1:10" x14ac:dyDescent="0.25">
      <c r="A515" t="s">
        <v>375</v>
      </c>
      <c r="B515" t="s">
        <v>414</v>
      </c>
      <c r="C515" t="s">
        <v>897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Proc Emis Reductions and Costs.xlsx</v>
      </c>
      <c r="I515" s="5">
        <f>IFERROR(INDEX(About!$D:$D,MATCH(Sheet1!H515,About!$C:$C,0),1),0)</f>
        <v>1</v>
      </c>
      <c r="J515" s="6">
        <f t="shared" si="16"/>
        <v>1</v>
      </c>
    </row>
    <row r="516" spans="1:10" x14ac:dyDescent="0.25">
      <c r="A516" t="s">
        <v>375</v>
      </c>
      <c r="B516" t="s">
        <v>414</v>
      </c>
      <c r="C516" t="s">
        <v>898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1</v>
      </c>
      <c r="J516" s="6">
        <f t="shared" si="16"/>
        <v>1</v>
      </c>
    </row>
    <row r="517" spans="1:10" x14ac:dyDescent="0.25">
      <c r="A517" t="s">
        <v>375</v>
      </c>
      <c r="B517" t="s">
        <v>414</v>
      </c>
      <c r="C517" t="s">
        <v>899</v>
      </c>
      <c r="G517" t="str">
        <f t="shared" si="15"/>
        <v>xlsx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1</v>
      </c>
      <c r="J517" s="6">
        <f t="shared" si="16"/>
        <v>0</v>
      </c>
    </row>
    <row r="518" spans="1:10" x14ac:dyDescent="0.25">
      <c r="A518" t="s">
        <v>375</v>
      </c>
      <c r="B518" t="s">
        <v>415</v>
      </c>
      <c r="C518" t="s">
        <v>416</v>
      </c>
      <c r="G518" t="str">
        <f t="shared" si="15"/>
        <v>xlsx</v>
      </c>
      <c r="H518" s="5" t="str">
        <f>IFERROR(IF(B518="FoPITY",INDEX(Customizations!$C$2:$C$19,MATCH(Sheet1!C518,Customizations!$B$2:$B$19,0),1),INDEX(About!C:C,MATCH(Sheet1!B518,About!B:B,0),1)),"")</f>
        <v>Perc Indst Fuel Use Reduction for Elec.xlsx</v>
      </c>
      <c r="I518" s="5">
        <f>IFERROR(INDEX(About!$D:$D,MATCH(Sheet1!H518,About!$C:$C,0),1),0)</f>
        <v>1</v>
      </c>
      <c r="J518" s="6">
        <f t="shared" si="16"/>
        <v>0</v>
      </c>
    </row>
    <row r="519" spans="1:10" x14ac:dyDescent="0.25">
      <c r="A519" t="s">
        <v>375</v>
      </c>
      <c r="B519" t="s">
        <v>415</v>
      </c>
      <c r="C519" t="s">
        <v>417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Perc Indst Fuel Use Reduction for Elec.xlsx</v>
      </c>
      <c r="I519" s="5">
        <f>IFERROR(INDEX(About!$D:$D,MATCH(Sheet1!H519,About!$C:$C,0),1),0)</f>
        <v>1</v>
      </c>
      <c r="J519" s="6">
        <f t="shared" ref="J519:J582" si="19">IF(G519=".csv",1,0)*I519</f>
        <v>1</v>
      </c>
    </row>
    <row r="520" spans="1:10" x14ac:dyDescent="0.25">
      <c r="A520" t="s">
        <v>375</v>
      </c>
      <c r="B520" t="s">
        <v>418</v>
      </c>
      <c r="C520" t="s">
        <v>419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Pot Perc Reduction in Fuel Use from Early Retirement.xlsx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25">
      <c r="A521" t="s">
        <v>375</v>
      </c>
      <c r="B521" t="s">
        <v>418</v>
      </c>
      <c r="C521" t="s">
        <v>420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Pot Perc Reduction in Fuel Use from Early Retirement.xlsx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375</v>
      </c>
      <c r="B522" t="s">
        <v>421</v>
      </c>
      <c r="C522" t="s">
        <v>422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Pot Perc Red in Fuel Use fr Inc Cogen and WHR.xlsx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25">
      <c r="A523" t="s">
        <v>375</v>
      </c>
      <c r="B523" t="s">
        <v>421</v>
      </c>
      <c r="C523" t="s">
        <v>423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Pot Perc Red in Fuel Use fr Inc Cogen and WHR.xlsx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375</v>
      </c>
      <c r="B524" t="s">
        <v>424</v>
      </c>
      <c r="C524" t="s">
        <v>425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Pot Perc Red in Fuel Use fr Impr Inst and Integ of Eqpt.xlsx</v>
      </c>
      <c r="I524" s="5">
        <f>IFERROR(INDEX(About!$D:$D,MATCH(Sheet1!H524,About!$C:$C,0),1),0)</f>
        <v>1</v>
      </c>
      <c r="J524" s="6">
        <f t="shared" si="19"/>
        <v>0</v>
      </c>
    </row>
    <row r="525" spans="1:10" x14ac:dyDescent="0.25">
      <c r="A525" t="s">
        <v>375</v>
      </c>
      <c r="B525" t="s">
        <v>424</v>
      </c>
      <c r="C525" t="s">
        <v>426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Pot Perc Red in Fuel Use fr Impr Inst and Integ of Eqpt.xlsx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375</v>
      </c>
      <c r="B526" t="s">
        <v>427</v>
      </c>
      <c r="C526" t="s">
        <v>428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Recipient Industrial Fuel Fractions.xlsx</v>
      </c>
      <c r="I526" s="5">
        <f>IFERROR(INDEX(About!$D:$D,MATCH(Sheet1!H526,About!$C:$C,0),1),0)</f>
        <v>1</v>
      </c>
      <c r="J526" s="6">
        <f t="shared" si="19"/>
        <v>0</v>
      </c>
    </row>
    <row r="527" spans="1:10" x14ac:dyDescent="0.25">
      <c r="A527" t="s">
        <v>375</v>
      </c>
      <c r="B527" t="s">
        <v>427</v>
      </c>
      <c r="C527" t="s">
        <v>429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Recipient Industrial Fuel Fractions.xlsx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375</v>
      </c>
      <c r="B528" t="s">
        <v>427</v>
      </c>
      <c r="C528" t="s">
        <v>430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Recipient Industrial Fuel Fractions.xlsx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375</v>
      </c>
      <c r="B529" t="s">
        <v>427</v>
      </c>
      <c r="C529" t="s">
        <v>431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Recipient Industrial Fuel Fractions.xlsx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375</v>
      </c>
      <c r="B530" t="s">
        <v>427</v>
      </c>
      <c r="C530" t="s">
        <v>432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Recipient Industrial Fuel Fractions.xlsx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375</v>
      </c>
      <c r="B531" t="s">
        <v>427</v>
      </c>
      <c r="C531" t="s">
        <v>433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Recipient Industrial Fuel Fractions.xlsx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25">
      <c r="A532" t="s">
        <v>375</v>
      </c>
      <c r="B532" t="s">
        <v>427</v>
      </c>
      <c r="C532" t="s">
        <v>434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Recipient Industrial Fuel Fractions.xlsx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375</v>
      </c>
      <c r="B533" t="s">
        <v>427</v>
      </c>
      <c r="C533" t="s">
        <v>435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Recipient Industrial Fuel Fractions.xlsx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375</v>
      </c>
      <c r="B534" t="s">
        <v>427</v>
      </c>
      <c r="C534" t="s">
        <v>436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Recipient Industrial Fuel Fractions.xlsx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375</v>
      </c>
      <c r="B535" t="s">
        <v>437</v>
      </c>
      <c r="C535" t="s">
        <v>438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Ratio of ppl supportable on plt bsd vs omnivorous diet.xlsx</v>
      </c>
      <c r="I535" s="5">
        <f>IFERROR(INDEX(About!$D:$D,MATCH(Sheet1!H535,About!$C:$C,0),1),0)</f>
        <v>1</v>
      </c>
      <c r="J535" s="6">
        <f t="shared" si="19"/>
        <v>0</v>
      </c>
    </row>
    <row r="536" spans="1:10" x14ac:dyDescent="0.25">
      <c r="A536" t="s">
        <v>375</v>
      </c>
      <c r="B536" t="s">
        <v>437</v>
      </c>
      <c r="C536" t="s">
        <v>439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Ratio of ppl supportable on plt bsd vs omnivorous diet.xlsx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375</v>
      </c>
      <c r="B537" t="s">
        <v>1120</v>
      </c>
      <c r="C537" t="s">
        <v>1121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Share of Capital and OM Spending by ISIC Code.xlsx</v>
      </c>
      <c r="I537" s="5">
        <f>IFERROR(INDEX(About!$D:$D,MATCH(Sheet1!H537,About!$C:$C,0),1),0)</f>
        <v>1</v>
      </c>
      <c r="J537" s="6">
        <f t="shared" si="19"/>
        <v>0</v>
      </c>
    </row>
    <row r="538" spans="1:10" x14ac:dyDescent="0.25">
      <c r="A538" t="s">
        <v>375</v>
      </c>
      <c r="B538" t="s">
        <v>1120</v>
      </c>
      <c r="C538" t="s">
        <v>1122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Share of Capital and OM Spending by ISIC Code.xlsx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375</v>
      </c>
      <c r="B539" t="s">
        <v>1330</v>
      </c>
      <c r="C539" t="s">
        <v>1331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/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375</v>
      </c>
      <c r="B540" t="s">
        <v>1330</v>
      </c>
      <c r="C540" t="s">
        <v>1332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/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375</v>
      </c>
      <c r="B541" t="s">
        <v>1333</v>
      </c>
      <c r="C541" t="s">
        <v>1334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/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375</v>
      </c>
      <c r="B542" t="s">
        <v>1333</v>
      </c>
      <c r="C542" t="s">
        <v>1335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/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375</v>
      </c>
      <c r="B543" t="s">
        <v>440</v>
      </c>
      <c r="C543" t="s">
        <v>441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Total Nonfuel Revenue by Industry.xlsx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375</v>
      </c>
      <c r="B544" t="s">
        <v>440</v>
      </c>
      <c r="C544" t="s">
        <v>442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Total Nonfuel Revenue by Industry.xlsx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25">
      <c r="A545" t="s">
        <v>996</v>
      </c>
      <c r="B545" t="s">
        <v>997</v>
      </c>
      <c r="C545" t="s">
        <v>998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BAU Employment by ISIC Code.xlsx</v>
      </c>
      <c r="I545" s="5">
        <f>IFERROR(INDEX(About!$D:$D,MATCH(Sheet1!H545,About!$C:$C,0),1),0)</f>
        <v>1</v>
      </c>
      <c r="J545" s="6">
        <f t="shared" si="19"/>
        <v>0</v>
      </c>
    </row>
    <row r="546" spans="1:10" x14ac:dyDescent="0.25">
      <c r="A546" t="s">
        <v>996</v>
      </c>
      <c r="B546" t="s">
        <v>997</v>
      </c>
      <c r="C546" t="s">
        <v>999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Employment by ISIC Code.xlsx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996</v>
      </c>
      <c r="B547" t="s">
        <v>1000</v>
      </c>
      <c r="C547" t="s">
        <v>1001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BAU Employee Compensation by ISIC Code.xlsx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25">
      <c r="A548" t="s">
        <v>996</v>
      </c>
      <c r="B548" t="s">
        <v>1000</v>
      </c>
      <c r="C548" t="s">
        <v>1002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Employee Compensation by ISIC Code.xlsx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996</v>
      </c>
      <c r="B549" t="s">
        <v>870</v>
      </c>
      <c r="C549" t="s">
        <v>871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BAU GDP.xlsx</v>
      </c>
      <c r="I549" s="5">
        <f>IFERROR(INDEX(About!$D:$D,MATCH(Sheet1!H549,About!$C:$C,0),1),0)</f>
        <v>1</v>
      </c>
      <c r="J549" s="6">
        <f t="shared" si="19"/>
        <v>0</v>
      </c>
    </row>
    <row r="550" spans="1:10" x14ac:dyDescent="0.25">
      <c r="A550" t="s">
        <v>996</v>
      </c>
      <c r="B550" t="s">
        <v>870</v>
      </c>
      <c r="C550" t="s">
        <v>872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GDP.xlsx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25">
      <c r="A551" t="s">
        <v>996</v>
      </c>
      <c r="B551" t="s">
        <v>1003</v>
      </c>
      <c r="C551" t="s">
        <v>1004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BAU Output by ISIC Code.xlsx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25">
      <c r="A552" t="s">
        <v>996</v>
      </c>
      <c r="B552" t="s">
        <v>1003</v>
      </c>
      <c r="C552" t="s">
        <v>1005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Output by ISIC Code.xlsx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996</v>
      </c>
      <c r="B553" t="s">
        <v>1047</v>
      </c>
      <c r="C553" t="s">
        <v>1048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BAU Pop Employment and Compensation Projections.xlsx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25">
      <c r="A554" t="s">
        <v>996</v>
      </c>
      <c r="B554" t="s">
        <v>1047</v>
      </c>
      <c r="C554" t="s">
        <v>1049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Pop Employment and Compensation Projections.xlsx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996</v>
      </c>
      <c r="B555" t="s">
        <v>1047</v>
      </c>
      <c r="C555" t="s">
        <v>1050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Pop Employment and Compensation Projections.xlsx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25">
      <c r="A556" t="s">
        <v>996</v>
      </c>
      <c r="B556" t="s">
        <v>1047</v>
      </c>
      <c r="C556" t="s">
        <v>1051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Pop Employment and Compensation Projections.xlsx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25">
      <c r="A557" t="s">
        <v>996</v>
      </c>
      <c r="B557" t="s">
        <v>1006</v>
      </c>
      <c r="C557" t="s">
        <v>1007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BAU Value Added by ISIC Code.xlsx</v>
      </c>
      <c r="I557" s="5">
        <f>IFERROR(INDEX(About!$D:$D,MATCH(Sheet1!H557,About!$C:$C,0),1),0)</f>
        <v>1</v>
      </c>
      <c r="J557" s="6">
        <f t="shared" si="19"/>
        <v>0</v>
      </c>
    </row>
    <row r="558" spans="1:10" x14ac:dyDescent="0.25">
      <c r="A558" t="s">
        <v>996</v>
      </c>
      <c r="B558" t="s">
        <v>1006</v>
      </c>
      <c r="C558" t="s">
        <v>1008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BAU Value Added by ISIC Code.xlsx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996</v>
      </c>
      <c r="B559" t="s">
        <v>1009</v>
      </c>
      <c r="C559" t="s">
        <v>1010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Domestic Content Share of Consumption by ISIC Code.xlsx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25">
      <c r="A560" t="s">
        <v>996</v>
      </c>
      <c r="B560" t="s">
        <v>1009</v>
      </c>
      <c r="C560" t="s">
        <v>1011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Domestic Content Share of Consumption by ISIC Code.xlsx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25">
      <c r="A561" t="s">
        <v>996</v>
      </c>
      <c r="B561" t="s">
        <v>1012</v>
      </c>
      <c r="C561" t="s">
        <v>1013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Domestic Leontief Inverse Matrix.xlsx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996</v>
      </c>
      <c r="B562" t="s">
        <v>1012</v>
      </c>
      <c r="C562" t="s">
        <v>1014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Domestic Leontief Inverse Matrix.xlsx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25">
      <c r="A563" t="s">
        <v>996</v>
      </c>
      <c r="B563" t="s">
        <v>1015</v>
      </c>
      <c r="C563" t="s">
        <v>1016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Domestic Taxes on Prod as Shr of Val Added by ISIC Code.xlsx</v>
      </c>
      <c r="I563" s="5">
        <f>IFERROR(INDEX(About!$D:$D,MATCH(Sheet1!H563,About!$C:$C,0),1),0)</f>
        <v>1</v>
      </c>
      <c r="J563" s="6">
        <f t="shared" si="19"/>
        <v>0</v>
      </c>
    </row>
    <row r="564" spans="1:10" x14ac:dyDescent="0.25">
      <c r="A564" t="s">
        <v>996</v>
      </c>
      <c r="B564" t="s">
        <v>1015</v>
      </c>
      <c r="C564" t="s">
        <v>1017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Domestic Taxes on Prod as Shr of Val Added by ISIC Code.xlsx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25">
      <c r="A565" t="s">
        <v>996</v>
      </c>
      <c r="B565" t="s">
        <v>1123</v>
      </c>
      <c r="C565" t="s">
        <v>1124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Frac of Goods Purchased by Entity and ISIC Code.xlsx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25">
      <c r="A566" t="s">
        <v>996</v>
      </c>
      <c r="B566" t="s">
        <v>1123</v>
      </c>
      <c r="C566" t="s">
        <v>1125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Frac of Goods Purchased by Entity and ISIC Code.xlsx</v>
      </c>
      <c r="I566" s="5">
        <f>IFERROR(INDEX(About!$D:$D,MATCH(Sheet1!H566,About!$C:$C,0),1),0)</f>
        <v>1</v>
      </c>
      <c r="J566" s="6">
        <f t="shared" si="19"/>
        <v>1</v>
      </c>
    </row>
    <row r="567" spans="1:10" x14ac:dyDescent="0.25">
      <c r="A567" t="s">
        <v>996</v>
      </c>
      <c r="B567" t="s">
        <v>1123</v>
      </c>
      <c r="C567" t="s">
        <v>1336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Frac of Goods Purchased by Entity and ISIC Code.xlsx</v>
      </c>
      <c r="I567" s="5">
        <f>IFERROR(INDEX(About!$D:$D,MATCH(Sheet1!H567,About!$C:$C,0),1),0)</f>
        <v>1</v>
      </c>
      <c r="J567" s="6">
        <f t="shared" si="19"/>
        <v>0</v>
      </c>
    </row>
    <row r="568" spans="1:10" x14ac:dyDescent="0.25">
      <c r="A568" t="s">
        <v>996</v>
      </c>
      <c r="B568" t="s">
        <v>1337</v>
      </c>
      <c r="C568" t="s">
        <v>1338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/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996</v>
      </c>
      <c r="B569" t="s">
        <v>1337</v>
      </c>
      <c r="C569" t="s">
        <v>1339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/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996</v>
      </c>
      <c r="B570" t="s">
        <v>1337</v>
      </c>
      <c r="C570" t="s">
        <v>1340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/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996</v>
      </c>
      <c r="B571" t="s">
        <v>1341</v>
      </c>
      <c r="C571" t="s">
        <v>1342</v>
      </c>
      <c r="G571" t="str">
        <f t="shared" si="18"/>
        <v>xlsx</v>
      </c>
      <c r="H571" s="5" t="str">
        <f>IFERROR(IF(B571="FoPITY",INDEX(Customizations!$C$2:$C$19,MATCH(Sheet1!C571,Customizations!$B$2:$B$19,0),1),INDEX(About!C:C,MATCH(Sheet1!B571,About!B:B,0),1)),"")</f>
        <v/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996</v>
      </c>
      <c r="B572" t="s">
        <v>1341</v>
      </c>
      <c r="C572" t="s">
        <v>1343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/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996</v>
      </c>
      <c r="B573" t="s">
        <v>1052</v>
      </c>
      <c r="C573" t="s">
        <v>1053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Interest Rate on National Debt.xlsx</v>
      </c>
      <c r="I573" s="5">
        <f>IFERROR(INDEX(About!$D:$D,MATCH(Sheet1!H573,About!$C:$C,0),1),0)</f>
        <v>1</v>
      </c>
      <c r="J573" s="6">
        <f t="shared" si="19"/>
        <v>0</v>
      </c>
    </row>
    <row r="574" spans="1:10" x14ac:dyDescent="0.25">
      <c r="A574" t="s">
        <v>996</v>
      </c>
      <c r="B574" t="s">
        <v>1052</v>
      </c>
      <c r="C574" t="s">
        <v>1054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Interest Rate on National Debt.xlsx</v>
      </c>
      <c r="I574" s="5">
        <f>IFERROR(INDEX(About!$D:$D,MATCH(Sheet1!H574,About!$C:$C,0),1),0)</f>
        <v>1</v>
      </c>
      <c r="J574" s="6">
        <f t="shared" si="19"/>
        <v>1</v>
      </c>
    </row>
    <row r="575" spans="1:10" x14ac:dyDescent="0.25">
      <c r="A575" t="s">
        <v>996</v>
      </c>
      <c r="B575" t="s">
        <v>1018</v>
      </c>
      <c r="C575" t="s">
        <v>1019</v>
      </c>
      <c r="G575" t="str">
        <f t="shared" si="18"/>
        <v>xlsx</v>
      </c>
      <c r="H575" s="5" t="str">
        <f>IFERROR(IF(B575="FoPITY",INDEX(Customizations!$C$2:$C$19,MATCH(Sheet1!C575,Customizations!$B$2:$B$19,0),1),INDEX(About!C:C,MATCH(Sheet1!B575,About!B:B,0),1)),"")</f>
        <v>Labor Productivity Growth Rate by ISIC Code.xlsx</v>
      </c>
      <c r="I575" s="5">
        <f>IFERROR(INDEX(About!$D:$D,MATCH(Sheet1!H575,About!$C:$C,0),1),0)</f>
        <v>1</v>
      </c>
      <c r="J575" s="6">
        <f t="shared" si="19"/>
        <v>0</v>
      </c>
    </row>
    <row r="576" spans="1:10" x14ac:dyDescent="0.25">
      <c r="A576" t="s">
        <v>996</v>
      </c>
      <c r="B576" t="s">
        <v>1018</v>
      </c>
      <c r="C576" t="s">
        <v>1020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Labor Productivity Growth Rate by ISIC Code.xlsx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25">
      <c r="A577" t="s">
        <v>996</v>
      </c>
      <c r="B577" t="s">
        <v>1055</v>
      </c>
      <c r="C577" t="s">
        <v>1056</v>
      </c>
      <c r="G577" t="str">
        <f t="shared" si="18"/>
        <v>xlsx</v>
      </c>
      <c r="H577" s="5" t="str">
        <f>IFERROR(IF(B577="FoPITY",INDEX(Customizations!$C$2:$C$19,MATCH(Sheet1!C577,Customizations!$B$2:$B$19,0),1),INDEX(About!C:C,MATCH(Sheet1!B577,About!B:B,0),1)),"")</f>
        <v>Perc of National Debt Held by Entity.xlsx</v>
      </c>
      <c r="I577" s="5">
        <f>IFERROR(INDEX(About!$D:$D,MATCH(Sheet1!H577,About!$C:$C,0),1),0)</f>
        <v>1</v>
      </c>
      <c r="J577" s="6">
        <f t="shared" si="19"/>
        <v>0</v>
      </c>
    </row>
    <row r="578" spans="1:10" x14ac:dyDescent="0.25">
      <c r="A578" t="s">
        <v>996</v>
      </c>
      <c r="B578" t="s">
        <v>1055</v>
      </c>
      <c r="C578" t="s">
        <v>1057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Perc of National Debt Held by Entity.xlsx</v>
      </c>
      <c r="I578" s="5">
        <f>IFERROR(INDEX(About!$D:$D,MATCH(Sheet1!H578,About!$C:$C,0),1),0)</f>
        <v>1</v>
      </c>
      <c r="J578" s="6">
        <f t="shared" si="19"/>
        <v>1</v>
      </c>
    </row>
    <row r="579" spans="1:10" x14ac:dyDescent="0.25">
      <c r="A579" t="s">
        <v>996</v>
      </c>
      <c r="B579" t="s">
        <v>1021</v>
      </c>
      <c r="C579" t="s">
        <v>1022</v>
      </c>
      <c r="G579" t="str">
        <f t="shared" si="18"/>
        <v>xlsx</v>
      </c>
      <c r="H579" s="5" t="str">
        <f>IFERROR(IF(B579="FoPITY",INDEX(Customizations!$C$2:$C$19,MATCH(Sheet1!C579,Customizations!$B$2:$B$19,0),1),INDEX(About!C:C,MATCH(Sheet1!B579,About!B:B,0),1)),"")</f>
        <v>Union Representation Perc by ISIC Code.xlsx</v>
      </c>
      <c r="I579" s="5">
        <f>IFERROR(INDEX(About!$D:$D,MATCH(Sheet1!H579,About!$C:$C,0),1),0)</f>
        <v>1</v>
      </c>
      <c r="J579" s="6">
        <f t="shared" si="19"/>
        <v>0</v>
      </c>
    </row>
    <row r="580" spans="1:10" x14ac:dyDescent="0.25">
      <c r="A580" t="s">
        <v>996</v>
      </c>
      <c r="B580" t="s">
        <v>1021</v>
      </c>
      <c r="C580" t="s">
        <v>1023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Union Representation Perc by ISIC Code.xlsx</v>
      </c>
      <c r="I580" s="5">
        <f>IFERROR(INDEX(About!$D:$D,MATCH(Sheet1!H580,About!$C:$C,0),1),0)</f>
        <v>1</v>
      </c>
      <c r="J580" s="6">
        <f t="shared" si="19"/>
        <v>1</v>
      </c>
    </row>
    <row r="581" spans="1:10" x14ac:dyDescent="0.25">
      <c r="A581" t="s">
        <v>996</v>
      </c>
      <c r="B581" t="s">
        <v>443</v>
      </c>
      <c r="C581" t="s">
        <v>444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>Worker Marg Income Tax Rate.xlsx</v>
      </c>
      <c r="I581" s="5">
        <f>IFERROR(INDEX(About!$D:$D,MATCH(Sheet1!H581,About!$C:$C,0),1),0)</f>
        <v>1</v>
      </c>
      <c r="J581" s="6">
        <f t="shared" si="19"/>
        <v>1</v>
      </c>
    </row>
    <row r="582" spans="1:10" x14ac:dyDescent="0.25">
      <c r="A582" t="s">
        <v>996</v>
      </c>
      <c r="B582" t="s">
        <v>443</v>
      </c>
      <c r="C582" t="s">
        <v>445</v>
      </c>
      <c r="G582" t="str">
        <f t="shared" si="18"/>
        <v>xlsx</v>
      </c>
      <c r="H582" s="5" t="str">
        <f>IFERROR(IF(B582="FoPITY",INDEX(Customizations!$C$2:$C$19,MATCH(Sheet1!C582,Customizations!$B$2:$B$19,0),1),INDEX(About!C:C,MATCH(Sheet1!B582,About!B:B,0),1)),"")</f>
        <v>Worker Marg Income Tax Rate.xlsx</v>
      </c>
      <c r="I582" s="5">
        <f>IFERROR(INDEX(About!$D:$D,MATCH(Sheet1!H582,About!$C:$C,0),1),0)</f>
        <v>1</v>
      </c>
      <c r="J582" s="6">
        <f t="shared" si="19"/>
        <v>0</v>
      </c>
    </row>
    <row r="583" spans="1:10" x14ac:dyDescent="0.25">
      <c r="A583" t="s">
        <v>446</v>
      </c>
      <c r="B583" t="s">
        <v>447</v>
      </c>
      <c r="C583" t="s">
        <v>448</v>
      </c>
      <c r="G583" t="str">
        <f t="shared" ref="G583:G646" si="20">RIGHT(C583,"4")</f>
        <v>xlsx</v>
      </c>
      <c r="H583" s="5" t="str">
        <f>IFERROR(IF(B583="FoPITY",INDEX(Customizations!$C$2:$C$19,MATCH(Sheet1!C583,Customizations!$B$2:$B$19,0),1),INDEX(About!C:C,MATCH(Sheet1!B583,About!B:B,0),1)),"")</f>
        <v>Annual Ongoing Cost of Land Use Pol per Unit Area.xlsx</v>
      </c>
      <c r="I583" s="5">
        <f>IFERROR(INDEX(About!$D:$D,MATCH(Sheet1!H583,About!$C:$C,0),1),0)</f>
        <v>1</v>
      </c>
      <c r="J583" s="6">
        <f t="shared" ref="J583:J646" si="21">IF(G583=".csv",1,0)*I583</f>
        <v>0</v>
      </c>
    </row>
    <row r="584" spans="1:10" x14ac:dyDescent="0.25">
      <c r="A584" t="s">
        <v>446</v>
      </c>
      <c r="B584" t="s">
        <v>447</v>
      </c>
      <c r="C584" t="s">
        <v>449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Annual Ongoing Cost of Land Use Pol per Unit Area.xlsx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25">
      <c r="A585" t="s">
        <v>446</v>
      </c>
      <c r="B585" t="s">
        <v>450</v>
      </c>
      <c r="C585" t="s">
        <v>451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BAU LULUCF Anthro Pollutant Emis.xlsx</v>
      </c>
      <c r="I585" s="5">
        <f>IFERROR(INDEX(About!$D:$D,MATCH(Sheet1!H585,About!$C:$C,0),1),0)</f>
        <v>1</v>
      </c>
      <c r="J585" s="6">
        <f t="shared" si="21"/>
        <v>0</v>
      </c>
    </row>
    <row r="586" spans="1:10" x14ac:dyDescent="0.25">
      <c r="A586" t="s">
        <v>446</v>
      </c>
      <c r="B586" t="s">
        <v>450</v>
      </c>
      <c r="C586" t="s">
        <v>452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LULUCF Anthro Pollutant Emis.xlsx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446</v>
      </c>
      <c r="B587" t="s">
        <v>453</v>
      </c>
      <c r="C587" t="s">
        <v>454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CO2 Abated per Unit Land Area by Impr For Mgmt.xlsx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25">
      <c r="A588" t="s">
        <v>446</v>
      </c>
      <c r="B588" t="s">
        <v>453</v>
      </c>
      <c r="C588" t="s">
        <v>455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CO2 Abated per Unit Land Area by Impr For Mgmt.xlsx</v>
      </c>
      <c r="I588" s="5">
        <f>IFERROR(INDEX(About!$D:$D,MATCH(Sheet1!H588,About!$C:$C,0),1),0)</f>
        <v>1</v>
      </c>
      <c r="J588" s="6">
        <f t="shared" si="21"/>
        <v>0</v>
      </c>
    </row>
    <row r="589" spans="1:10" x14ac:dyDescent="0.25">
      <c r="A589" t="s">
        <v>446</v>
      </c>
      <c r="B589" t="s">
        <v>456</v>
      </c>
      <c r="C589" t="s">
        <v>457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Chg in Land Val per Unit Area Affected by Pol.xlsx</v>
      </c>
      <c r="I589" s="5">
        <f>IFERROR(INDEX(About!$D:$D,MATCH(Sheet1!H589,About!$C:$C,0),1),0)</f>
        <v>1</v>
      </c>
      <c r="J589" s="6">
        <f t="shared" si="21"/>
        <v>0</v>
      </c>
    </row>
    <row r="590" spans="1:10" x14ac:dyDescent="0.25">
      <c r="A590" t="s">
        <v>446</v>
      </c>
      <c r="B590" t="s">
        <v>456</v>
      </c>
      <c r="C590" t="s">
        <v>458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Chg in Land Val per Unit Area Affected by Pol.xlsx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25">
      <c r="A591" t="s">
        <v>446</v>
      </c>
      <c r="B591" t="s">
        <v>459</v>
      </c>
      <c r="C591" t="s">
        <v>460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CO2 Sequestered per Unit Land Area per Year by Pol.xlsx</v>
      </c>
      <c r="I591" s="5">
        <f>IFERROR(INDEX(About!$D:$D,MATCH(Sheet1!H591,About!$C:$C,0),1),0)</f>
        <v>1</v>
      </c>
      <c r="J591" s="6">
        <f t="shared" si="21"/>
        <v>0</v>
      </c>
    </row>
    <row r="592" spans="1:10" x14ac:dyDescent="0.25">
      <c r="A592" t="s">
        <v>446</v>
      </c>
      <c r="B592" t="s">
        <v>459</v>
      </c>
      <c r="C592" t="s">
        <v>461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CO2 Sequestered per Unit Land Area per Year by Pol.xlsx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446</v>
      </c>
      <c r="B593" t="s">
        <v>462</v>
      </c>
      <c r="C593" t="s">
        <v>463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Fraction of Forests Owned by Entity.xlsx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25">
      <c r="A594" t="s">
        <v>446</v>
      </c>
      <c r="B594" t="s">
        <v>462</v>
      </c>
      <c r="C594" t="s">
        <v>464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Fraction of Forests Owned by Entity.xlsx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25">
      <c r="A595" t="s">
        <v>446</v>
      </c>
      <c r="B595" t="s">
        <v>465</v>
      </c>
      <c r="C595" t="s">
        <v>466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Impl Cost of Land Use Policies per Unit Area.xlsx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446</v>
      </c>
      <c r="B596" t="s">
        <v>465</v>
      </c>
      <c r="C596" t="s">
        <v>467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Impl Cost of Land Use Policies per Unit Area.xlsx</v>
      </c>
      <c r="I596" s="5">
        <f>IFERROR(INDEX(About!$D:$D,MATCH(Sheet1!H596,About!$C:$C,0),1),0)</f>
        <v>1</v>
      </c>
      <c r="J596" s="6">
        <f t="shared" si="21"/>
        <v>0</v>
      </c>
    </row>
    <row r="597" spans="1:10" x14ac:dyDescent="0.25">
      <c r="A597" t="s">
        <v>446</v>
      </c>
      <c r="B597" t="s">
        <v>468</v>
      </c>
      <c r="C597" t="s">
        <v>469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Potential Land Area Newly Affected by Pol in a Single Yr.xlsx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25">
      <c r="A598" t="s">
        <v>446</v>
      </c>
      <c r="B598" t="s">
        <v>468</v>
      </c>
      <c r="C598" t="s">
        <v>470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Potential Land Area Newly Affected by Pol in a Single Yr.xlsx</v>
      </c>
      <c r="I598" s="5">
        <f>IFERROR(INDEX(About!$D:$D,MATCH(Sheet1!H598,About!$C:$C,0),1),0)</f>
        <v>1</v>
      </c>
      <c r="J598" s="6">
        <f t="shared" si="21"/>
        <v>0</v>
      </c>
    </row>
    <row r="599" spans="1:10" x14ac:dyDescent="0.25">
      <c r="A599" t="s">
        <v>446</v>
      </c>
      <c r="B599" t="s">
        <v>471</v>
      </c>
      <c r="C599" t="s">
        <v>472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Rebound Pol Emis per Unit Avoided CO2 Emis.xlsx</v>
      </c>
      <c r="I599" s="5">
        <f>IFERROR(INDEX(About!$D:$D,MATCH(Sheet1!H599,About!$C:$C,0),1),0)</f>
        <v>1</v>
      </c>
      <c r="J599" s="6">
        <f t="shared" si="21"/>
        <v>0</v>
      </c>
    </row>
    <row r="600" spans="1:10" x14ac:dyDescent="0.25">
      <c r="A600" t="s">
        <v>446</v>
      </c>
      <c r="B600" t="s">
        <v>471</v>
      </c>
      <c r="C600" t="s">
        <v>473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Rebound Pol Emis per Unit Avoided CO2 Emis.xlsx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487</v>
      </c>
      <c r="B601" t="s">
        <v>488</v>
      </c>
      <c r="C601" t="s">
        <v>489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Frac of Pol Impl This Yr - 1 - Default.xlsx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487</v>
      </c>
      <c r="B602" t="s">
        <v>488</v>
      </c>
      <c r="C602" t="s">
        <v>490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Frac of Pol Impl This Yr - 1 - Default.xlsx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487</v>
      </c>
      <c r="B603" t="s">
        <v>488</v>
      </c>
      <c r="C603" t="s">
        <v>491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Frac of Pol Impl This Yr - 2 - Net Zero.xlsx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487</v>
      </c>
      <c r="B604" t="s">
        <v>488</v>
      </c>
      <c r="C604" t="s">
        <v>492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Frac of Pol Impl This Yr - 2 - Net Zero.xlsx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487</v>
      </c>
      <c r="B605" t="s">
        <v>488</v>
      </c>
      <c r="C605" t="s">
        <v>860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Frac of Pol Impl This Yr - 3 - NDC.xlsx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487</v>
      </c>
      <c r="B606" t="s">
        <v>488</v>
      </c>
      <c r="C606" t="s">
        <v>493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Frac of Pol Impl This Yr - 3 - NDC.xlsx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487</v>
      </c>
      <c r="B607" t="s">
        <v>488</v>
      </c>
      <c r="C607" t="s">
        <v>494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Frac of Pol Impl This Yr - 1 - Default.xlsx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487</v>
      </c>
      <c r="B608" t="s">
        <v>488</v>
      </c>
      <c r="C608" t="s">
        <v>495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Frac of Pol Impl This Yr - 1 - Default.xlsx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487</v>
      </c>
      <c r="B609" t="s">
        <v>488</v>
      </c>
      <c r="C609" t="s">
        <v>496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Frac of Pol Impl This Yr - 1 - Default.xlsx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487</v>
      </c>
      <c r="B610" t="s">
        <v>488</v>
      </c>
      <c r="C610" t="s">
        <v>497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Frac of Pol Impl This Yr - 1 - Default.xlsx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487</v>
      </c>
      <c r="B611" t="s">
        <v>488</v>
      </c>
      <c r="C611" t="s">
        <v>498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Frac of Pol Impl This Yr - 1 - Default.xlsx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25">
      <c r="A612" t="s">
        <v>487</v>
      </c>
      <c r="B612" t="s">
        <v>488</v>
      </c>
      <c r="C612" t="s">
        <v>499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Frac of Pol Impl This Yr - 1 - Default.xlsx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25">
      <c r="A613" t="s">
        <v>487</v>
      </c>
      <c r="B613" t="s">
        <v>488</v>
      </c>
      <c r="C613" t="s">
        <v>500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/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487</v>
      </c>
      <c r="B614" t="s">
        <v>488</v>
      </c>
      <c r="C614" t="s">
        <v>501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/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487</v>
      </c>
      <c r="B615" t="s">
        <v>488</v>
      </c>
      <c r="C615" t="s">
        <v>1159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/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487</v>
      </c>
      <c r="B616" t="s">
        <v>488</v>
      </c>
      <c r="C616" t="s">
        <v>869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/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487</v>
      </c>
      <c r="B617" t="s">
        <v>502</v>
      </c>
      <c r="C617" t="s">
        <v>503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Final Time.xlsx</v>
      </c>
      <c r="I617" s="5">
        <f>IFERROR(INDEX(About!$D:$D,MATCH(Sheet1!H617,About!$C:$C,0),1),0)</f>
        <v>1</v>
      </c>
      <c r="J617" s="6">
        <f t="shared" si="21"/>
        <v>0</v>
      </c>
    </row>
    <row r="618" spans="1:10" x14ac:dyDescent="0.25">
      <c r="A618" t="s">
        <v>487</v>
      </c>
      <c r="B618" t="s">
        <v>502</v>
      </c>
      <c r="C618" t="s">
        <v>504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Final Time.xlsx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487</v>
      </c>
      <c r="B619" t="s">
        <v>505</v>
      </c>
      <c r="C619" t="s">
        <v>506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Initial Time.xlsx</v>
      </c>
      <c r="I619" s="5">
        <f>IFERROR(INDEX(About!$D:$D,MATCH(Sheet1!H619,About!$C:$C,0),1),0)</f>
        <v>1</v>
      </c>
      <c r="J619" s="6">
        <f t="shared" si="21"/>
        <v>0</v>
      </c>
    </row>
    <row r="620" spans="1:10" x14ac:dyDescent="0.25">
      <c r="A620" t="s">
        <v>487</v>
      </c>
      <c r="B620" t="s">
        <v>505</v>
      </c>
      <c r="C620" t="s">
        <v>507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Initial Time.xlsx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1344</v>
      </c>
      <c r="B621" t="s">
        <v>1345</v>
      </c>
      <c r="G621" t="str">
        <f t="shared" si="20"/>
        <v/>
      </c>
      <c r="H621" s="5" t="str">
        <f>IFERROR(IF(B621="FoPITY",INDEX(Customizations!$C$2:$C$19,MATCH(Sheet1!C621,Customizations!$B$2:$B$19,0),1),INDEX(About!C:C,MATCH(Sheet1!B621,About!B:B,0),1)),"")</f>
        <v/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1344</v>
      </c>
      <c r="B622" t="s">
        <v>1346</v>
      </c>
      <c r="G622" t="str">
        <f t="shared" si="20"/>
        <v/>
      </c>
      <c r="H622" s="5" t="str">
        <f>IFERROR(IF(B622="FoPITY",INDEX(Customizations!$C$2:$C$19,MATCH(Sheet1!C622,Customizations!$B$2:$B$19,0),1),INDEX(About!C:C,MATCH(Sheet1!B622,About!B:B,0),1)),"")</f>
        <v/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1344</v>
      </c>
      <c r="B623" t="s">
        <v>1347</v>
      </c>
      <c r="G623" t="str">
        <f t="shared" si="20"/>
        <v/>
      </c>
      <c r="H623" s="5" t="str">
        <f>IFERROR(IF(B623="FoPITY",INDEX(Customizations!$C$2:$C$19,MATCH(Sheet1!C623,Customizations!$B$2:$B$19,0),1),INDEX(About!C:C,MATCH(Sheet1!B623,About!B:B,0),1)),"")</f>
        <v/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1344</v>
      </c>
      <c r="B624" t="s">
        <v>1348</v>
      </c>
      <c r="G624" t="str">
        <f t="shared" si="20"/>
        <v/>
      </c>
      <c r="H624" s="5" t="str">
        <f>IFERROR(IF(B624="FoPITY",INDEX(Customizations!$C$2:$C$19,MATCH(Sheet1!C624,Customizations!$B$2:$B$19,0),1),INDEX(About!C:C,MATCH(Sheet1!B624,About!B:B,0),1)),"")</f>
        <v/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1344</v>
      </c>
      <c r="B625" t="s">
        <v>1349</v>
      </c>
      <c r="G625" t="str">
        <f t="shared" si="20"/>
        <v/>
      </c>
      <c r="H625" s="5" t="str">
        <f>IFERROR(IF(B625="FoPITY",INDEX(Customizations!$C$2:$C$19,MATCH(Sheet1!C625,Customizations!$B$2:$B$19,0),1),INDEX(About!C:C,MATCH(Sheet1!B625,About!B:B,0),1)),"")</f>
        <v/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1344</v>
      </c>
      <c r="B626" t="s">
        <v>1350</v>
      </c>
      <c r="G626" t="str">
        <f t="shared" si="20"/>
        <v/>
      </c>
      <c r="H626" s="5" t="str">
        <f>IFERROR(IF(B626="FoPITY",INDEX(Customizations!$C$2:$C$19,MATCH(Sheet1!C626,Customizations!$B$2:$B$19,0),1),INDEX(About!C:C,MATCH(Sheet1!B626,About!B:B,0),1)),"")</f>
        <v/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1344</v>
      </c>
      <c r="B627" t="s">
        <v>1351</v>
      </c>
      <c r="G627" t="str">
        <f t="shared" si="20"/>
        <v/>
      </c>
      <c r="H627" s="5" t="str">
        <f>IFERROR(IF(B627="FoPITY",INDEX(Customizations!$C$2:$C$19,MATCH(Sheet1!C627,Customizations!$B$2:$B$19,0),1),INDEX(About!C:C,MATCH(Sheet1!B627,About!B:B,0),1)),"")</f>
        <v/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1344</v>
      </c>
      <c r="B628" t="s">
        <v>1352</v>
      </c>
      <c r="G628" t="str">
        <f t="shared" si="20"/>
        <v/>
      </c>
      <c r="H628" s="5" t="str">
        <f>IFERROR(IF(B628="FoPITY",INDEX(Customizations!$C$2:$C$19,MATCH(Sheet1!C628,Customizations!$B$2:$B$19,0),1),INDEX(About!C:C,MATCH(Sheet1!B628,About!B:B,0),1)),"")</f>
        <v/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1344</v>
      </c>
      <c r="B629" t="s">
        <v>1353</v>
      </c>
      <c r="G629" t="str">
        <f t="shared" si="20"/>
        <v/>
      </c>
      <c r="H629" s="5" t="str">
        <f>IFERROR(IF(B629="FoPITY",INDEX(Customizations!$C$2:$C$19,MATCH(Sheet1!C629,Customizations!$B$2:$B$19,0),1),INDEX(About!C:C,MATCH(Sheet1!B629,About!B:B,0),1)),"")</f>
        <v/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1344</v>
      </c>
      <c r="B630" t="s">
        <v>1354</v>
      </c>
      <c r="G630" t="str">
        <f t="shared" si="20"/>
        <v/>
      </c>
      <c r="H630" s="5" t="str">
        <f>IFERROR(IF(B630="FoPITY",INDEX(Customizations!$C$2:$C$19,MATCH(Sheet1!C630,Customizations!$B$2:$B$19,0),1),INDEX(About!C:C,MATCH(Sheet1!B630,About!B:B,0),1)),"")</f>
        <v/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1344</v>
      </c>
      <c r="B631" t="s">
        <v>1355</v>
      </c>
      <c r="G631" t="str">
        <f t="shared" si="20"/>
        <v/>
      </c>
      <c r="H631" s="5" t="str">
        <f>IFERROR(IF(B631="FoPITY",INDEX(Customizations!$C$2:$C$19,MATCH(Sheet1!C631,Customizations!$B$2:$B$19,0),1),INDEX(About!C:C,MATCH(Sheet1!B631,About!B:B,0),1)),"")</f>
        <v/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1344</v>
      </c>
      <c r="B632" t="s">
        <v>1356</v>
      </c>
      <c r="G632" t="str">
        <f t="shared" si="20"/>
        <v/>
      </c>
      <c r="H632" s="5" t="str">
        <f>IFERROR(IF(B632="FoPITY",INDEX(Customizations!$C$2:$C$19,MATCH(Sheet1!C632,Customizations!$B$2:$B$19,0),1),INDEX(About!C:C,MATCH(Sheet1!B632,About!B:B,0),1)),"")</f>
        <v/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1344</v>
      </c>
      <c r="B633" t="s">
        <v>1357</v>
      </c>
      <c r="G633" t="str">
        <f t="shared" si="20"/>
        <v/>
      </c>
      <c r="H633" s="5" t="str">
        <f>IFERROR(IF(B633="FoPITY",INDEX(Customizations!$C$2:$C$19,MATCH(Sheet1!C633,Customizations!$B$2:$B$19,0),1),INDEX(About!C:C,MATCH(Sheet1!B633,About!B:B,0),1)),"")</f>
        <v/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1344</v>
      </c>
      <c r="B634" t="s">
        <v>1358</v>
      </c>
      <c r="G634" t="str">
        <f t="shared" si="20"/>
        <v/>
      </c>
      <c r="H634" s="5" t="str">
        <f>IFERROR(IF(B634="FoPITY",INDEX(Customizations!$C$2:$C$19,MATCH(Sheet1!C634,Customizations!$B$2:$B$19,0),1),INDEX(About!C:C,MATCH(Sheet1!B634,About!B:B,0),1)),"")</f>
        <v/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1344</v>
      </c>
      <c r="B635" t="s">
        <v>1359</v>
      </c>
      <c r="G635" t="str">
        <f t="shared" si="20"/>
        <v/>
      </c>
      <c r="H635" s="5" t="str">
        <f>IFERROR(IF(B635="FoPITY",INDEX(Customizations!$C$2:$C$19,MATCH(Sheet1!C635,Customizations!$B$2:$B$19,0),1),INDEX(About!C:C,MATCH(Sheet1!B635,About!B:B,0),1)),"")</f>
        <v/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1344</v>
      </c>
      <c r="B636" t="s">
        <v>1360</v>
      </c>
      <c r="G636" t="str">
        <f t="shared" si="20"/>
        <v/>
      </c>
      <c r="H636" s="5" t="str">
        <f>IFERROR(IF(B636="FoPITY",INDEX(Customizations!$C$2:$C$19,MATCH(Sheet1!C636,Customizations!$B$2:$B$19,0),1),INDEX(About!C:C,MATCH(Sheet1!B636,About!B:B,0),1)),"")</f>
        <v/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1344</v>
      </c>
      <c r="B637" t="s">
        <v>1361</v>
      </c>
      <c r="G637" t="str">
        <f t="shared" si="20"/>
        <v/>
      </c>
      <c r="H637" s="5" t="str">
        <f>IFERROR(IF(B637="FoPITY",INDEX(Customizations!$C$2:$C$19,MATCH(Sheet1!C637,Customizations!$B$2:$B$19,0),1),INDEX(About!C:C,MATCH(Sheet1!B637,About!B:B,0),1)),"")</f>
        <v/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1344</v>
      </c>
      <c r="B638" t="s">
        <v>1362</v>
      </c>
      <c r="G638" t="str">
        <f t="shared" si="20"/>
        <v/>
      </c>
      <c r="H638" s="5" t="str">
        <f>IFERROR(IF(B638="FoPITY",INDEX(Customizations!$C$2:$C$19,MATCH(Sheet1!C638,Customizations!$B$2:$B$19,0),1),INDEX(About!C:C,MATCH(Sheet1!B638,About!B:B,0),1)),"")</f>
        <v/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1344</v>
      </c>
      <c r="B639" t="s">
        <v>1363</v>
      </c>
      <c r="G639" t="str">
        <f t="shared" si="20"/>
        <v/>
      </c>
      <c r="H639" s="5" t="str">
        <f>IFERROR(IF(B639="FoPITY",INDEX(Customizations!$C$2:$C$19,MATCH(Sheet1!C639,Customizations!$B$2:$B$19,0),1),INDEX(About!C:C,MATCH(Sheet1!B639,About!B:B,0),1)),"")</f>
        <v/>
      </c>
      <c r="I639" s="5">
        <f>IFERROR(INDEX(About!$D:$D,MATCH(Sheet1!H639,About!$C:$C,0),1),0)</f>
        <v>0</v>
      </c>
      <c r="J639" s="6">
        <f t="shared" si="21"/>
        <v>0</v>
      </c>
    </row>
    <row r="640" spans="1:10" x14ac:dyDescent="0.25">
      <c r="A640" t="s">
        <v>1344</v>
      </c>
      <c r="B640" t="s">
        <v>1364</v>
      </c>
      <c r="G640" t="str">
        <f t="shared" si="20"/>
        <v/>
      </c>
      <c r="H640" s="5" t="str">
        <f>IFERROR(IF(B640="FoPITY",INDEX(Customizations!$C$2:$C$19,MATCH(Sheet1!C640,Customizations!$B$2:$B$19,0),1),INDEX(About!C:C,MATCH(Sheet1!B640,About!B:B,0),1)),"")</f>
        <v/>
      </c>
      <c r="I640" s="5">
        <f>IFERROR(INDEX(About!$D:$D,MATCH(Sheet1!H640,About!$C:$C,0),1),0)</f>
        <v>0</v>
      </c>
      <c r="J640" s="6">
        <f t="shared" si="21"/>
        <v>0</v>
      </c>
    </row>
    <row r="641" spans="1:10" x14ac:dyDescent="0.25">
      <c r="A641" t="s">
        <v>1160</v>
      </c>
      <c r="B641" t="s">
        <v>1161</v>
      </c>
      <c r="G641" t="str">
        <f t="shared" si="20"/>
        <v/>
      </c>
      <c r="H641" s="5" t="str">
        <f>IFERROR(IF(B641="FoPITY",INDEX(Customizations!$C$2:$C$19,MATCH(Sheet1!C641,Customizations!$B$2:$B$19,0),1),INDEX(About!C:C,MATCH(Sheet1!B641,About!B:B,0),1)),"")</f>
        <v>(blank)</v>
      </c>
      <c r="I641" s="5">
        <f>IFERROR(INDEX(About!$D:$D,MATCH(Sheet1!H641,About!$C:$C,0),1),0)</f>
        <v>0</v>
      </c>
      <c r="J641" s="6">
        <f t="shared" si="21"/>
        <v>0</v>
      </c>
    </row>
    <row r="642" spans="1:10" x14ac:dyDescent="0.25">
      <c r="A642" t="s">
        <v>1160</v>
      </c>
      <c r="B642" t="s">
        <v>1162</v>
      </c>
      <c r="G642" t="str">
        <f t="shared" si="20"/>
        <v/>
      </c>
      <c r="H642" s="5" t="str">
        <f>IFERROR(IF(B642="FoPITY",INDEX(Customizations!$C$2:$C$19,MATCH(Sheet1!C642,Customizations!$B$2:$B$19,0),1),INDEX(About!C:C,MATCH(Sheet1!B642,About!B:B,0),1)),"")</f>
        <v>(blank)</v>
      </c>
      <c r="I642" s="5">
        <f>IFERROR(INDEX(About!$D:$D,MATCH(Sheet1!H642,About!$C:$C,0),1),0)</f>
        <v>0</v>
      </c>
      <c r="J642" s="6">
        <f t="shared" si="21"/>
        <v>0</v>
      </c>
    </row>
    <row r="643" spans="1:10" x14ac:dyDescent="0.25">
      <c r="A643" t="s">
        <v>1160</v>
      </c>
      <c r="B643" t="s">
        <v>1163</v>
      </c>
      <c r="G643" t="str">
        <f t="shared" si="20"/>
        <v/>
      </c>
      <c r="H643" s="5" t="str">
        <f>IFERROR(IF(B643="FoPITY",INDEX(Customizations!$C$2:$C$19,MATCH(Sheet1!C643,Customizations!$B$2:$B$19,0),1),INDEX(About!C:C,MATCH(Sheet1!B643,About!B:B,0),1)),"")</f>
        <v>(blank)</v>
      </c>
      <c r="I643" s="5">
        <f>IFERROR(INDEX(About!$D:$D,MATCH(Sheet1!H643,About!$C:$C,0),1),0)</f>
        <v>0</v>
      </c>
      <c r="J643" s="6">
        <f t="shared" si="21"/>
        <v>0</v>
      </c>
    </row>
    <row r="644" spans="1:10" x14ac:dyDescent="0.25">
      <c r="A644" t="s">
        <v>508</v>
      </c>
      <c r="B644" t="s">
        <v>509</v>
      </c>
      <c r="C644" t="s">
        <v>510</v>
      </c>
      <c r="G644" t="str">
        <f t="shared" si="20"/>
        <v>xlsx</v>
      </c>
      <c r="H644" s="5" t="str">
        <f>IFERROR(IF(B644="FoPITY",INDEX(Customizations!$C$2:$C$19,MATCH(Sheet1!C644,Customizations!$B$2:$B$19,0),1),INDEX(About!C:C,MATCH(Sheet1!B644,About!B:B,0),1)),"")</f>
        <v>Avg Vehicle Lifetime.xlsx</v>
      </c>
      <c r="I644" s="5">
        <f>IFERROR(INDEX(About!$D:$D,MATCH(Sheet1!H644,About!$C:$C,0),1),0)</f>
        <v>1</v>
      </c>
      <c r="J644" s="6">
        <f t="shared" si="21"/>
        <v>0</v>
      </c>
    </row>
    <row r="645" spans="1:10" x14ac:dyDescent="0.25">
      <c r="A645" t="s">
        <v>508</v>
      </c>
      <c r="B645" t="s">
        <v>509</v>
      </c>
      <c r="C645" t="s">
        <v>511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Avg Vehicle Lifetime.xlsx</v>
      </c>
      <c r="I645" s="5">
        <f>IFERROR(INDEX(About!$D:$D,MATCH(Sheet1!H645,About!$C:$C,0),1),0)</f>
        <v>1</v>
      </c>
      <c r="J645" s="6">
        <f t="shared" si="21"/>
        <v>1</v>
      </c>
    </row>
    <row r="646" spans="1:10" x14ac:dyDescent="0.25">
      <c r="A646" t="s">
        <v>508</v>
      </c>
      <c r="B646" t="s">
        <v>512</v>
      </c>
      <c r="C646" t="s">
        <v>513</v>
      </c>
      <c r="G646" t="str">
        <f t="shared" si="20"/>
        <v>xlsx</v>
      </c>
      <c r="H646" s="5" t="str">
        <f>IFERROR(IF(B646="FoPITY",INDEX(Customizations!$C$2:$C$19,MATCH(Sheet1!C646,Customizations!$B$2:$B$19,0),1),INDEX(About!C:C,MATCH(Sheet1!B646,About!B:B,0),1)),"")</f>
        <v>Avg Vehicle Loading.xlsx</v>
      </c>
      <c r="I646" s="5">
        <f>IFERROR(INDEX(About!$D:$D,MATCH(Sheet1!H646,About!$C:$C,0),1),0)</f>
        <v>1</v>
      </c>
      <c r="J646" s="6">
        <f t="shared" si="21"/>
        <v>0</v>
      </c>
    </row>
    <row r="647" spans="1:10" x14ac:dyDescent="0.25">
      <c r="A647" t="s">
        <v>508</v>
      </c>
      <c r="B647" t="s">
        <v>512</v>
      </c>
      <c r="C647" t="s">
        <v>514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Avg Vehicle Loading.xlsx</v>
      </c>
      <c r="I647" s="5">
        <f>IFERROR(INDEX(About!$D:$D,MATCH(Sheet1!H647,About!$C:$C,0),1),0)</f>
        <v>1</v>
      </c>
      <c r="J647" s="6">
        <f t="shared" ref="J647:J710" si="23">IF(G647=".csv",1,0)*I647</f>
        <v>1</v>
      </c>
    </row>
    <row r="648" spans="1:10" x14ac:dyDescent="0.25">
      <c r="A648" t="s">
        <v>508</v>
      </c>
      <c r="B648" t="s">
        <v>512</v>
      </c>
      <c r="C648" t="s">
        <v>515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Avg Vehicle Loading.xlsx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25">
      <c r="A649" t="s">
        <v>508</v>
      </c>
      <c r="B649" t="s">
        <v>926</v>
      </c>
      <c r="C649" t="s">
        <v>927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Annual Vehicle Maint Cost.xlsx</v>
      </c>
      <c r="I649" s="5">
        <f>IFERROR(INDEX(About!$D:$D,MATCH(Sheet1!H649,About!$C:$C,0),1),0)</f>
        <v>1</v>
      </c>
      <c r="J649" s="6">
        <f t="shared" si="23"/>
        <v>0</v>
      </c>
    </row>
    <row r="650" spans="1:10" x14ac:dyDescent="0.25">
      <c r="A650" t="s">
        <v>508</v>
      </c>
      <c r="B650" t="s">
        <v>926</v>
      </c>
      <c r="C650" t="s">
        <v>928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Annual Vehicle Maint Cost.xlsx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508</v>
      </c>
      <c r="B651" t="s">
        <v>926</v>
      </c>
      <c r="C651" t="s">
        <v>929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Annual Vehicle Maint Cost.xlsx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508</v>
      </c>
      <c r="B652" t="s">
        <v>516</v>
      </c>
      <c r="C652" t="s">
        <v>517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Avg Annual Dist Traveled by Veh Type.xlsx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25">
      <c r="A653" t="s">
        <v>508</v>
      </c>
      <c r="B653" t="s">
        <v>516</v>
      </c>
      <c r="C653" t="s">
        <v>518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Avg Annual Dist Traveled by Veh Type.xlsx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508</v>
      </c>
      <c r="B654" t="s">
        <v>516</v>
      </c>
      <c r="C654" t="s">
        <v>519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BAU Avg Annual Dist Traveled by Veh Type.xlsx</v>
      </c>
      <c r="I654" s="5">
        <f>IFERROR(INDEX(About!$D:$D,MATCH(Sheet1!H654,About!$C:$C,0),1),0)</f>
        <v>1</v>
      </c>
      <c r="J654" s="6">
        <f t="shared" si="23"/>
        <v>0</v>
      </c>
    </row>
    <row r="655" spans="1:10" x14ac:dyDescent="0.25">
      <c r="A655" t="s">
        <v>508</v>
      </c>
      <c r="B655" t="s">
        <v>520</v>
      </c>
      <c r="C655" t="s">
        <v>521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BAU Cargo Dist Transported Relative to Start Yr.xlsx</v>
      </c>
      <c r="I655" s="5">
        <f>IFERROR(INDEX(About!$D:$D,MATCH(Sheet1!H655,About!$C:$C,0),1),0)</f>
        <v>1</v>
      </c>
      <c r="J655" s="6">
        <f t="shared" si="23"/>
        <v>0</v>
      </c>
    </row>
    <row r="656" spans="1:10" x14ac:dyDescent="0.25">
      <c r="A656" t="s">
        <v>508</v>
      </c>
      <c r="B656" t="s">
        <v>520</v>
      </c>
      <c r="C656" t="s">
        <v>522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Cargo Dist Transported Relative to Start Yr.xlsx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508</v>
      </c>
      <c r="B657" t="s">
        <v>520</v>
      </c>
      <c r="C657" t="s">
        <v>523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Cargo Dist Transported Relative to Start Yr.xlsx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508</v>
      </c>
      <c r="B658" t="s">
        <v>524</v>
      </c>
      <c r="C658" t="s">
        <v>525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BAU EV Subsidy Perc.xlsx</v>
      </c>
      <c r="I658" s="5">
        <f>IFERROR(INDEX(About!$D:$D,MATCH(Sheet1!H658,About!$C:$C,0),1),0)</f>
        <v>1</v>
      </c>
      <c r="J658" s="6">
        <f t="shared" si="23"/>
        <v>0</v>
      </c>
    </row>
    <row r="659" spans="1:10" x14ac:dyDescent="0.25">
      <c r="A659" t="s">
        <v>508</v>
      </c>
      <c r="B659" t="s">
        <v>524</v>
      </c>
      <c r="C659" t="s">
        <v>526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EV Subsidy Perc.xlsx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508</v>
      </c>
      <c r="B660" t="s">
        <v>524</v>
      </c>
      <c r="C660" t="s">
        <v>527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EV Subsidy Perc.xlsx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508</v>
      </c>
      <c r="B661" t="s">
        <v>528</v>
      </c>
      <c r="C661" t="s">
        <v>529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Historical New Veh Fuel Economy After Lifetime.xlsx</v>
      </c>
      <c r="I661" s="5">
        <f>IFERROR(INDEX(About!$D:$D,MATCH(Sheet1!H661,About!$C:$C,0),1),0)</f>
        <v>1</v>
      </c>
      <c r="J661" s="6">
        <f t="shared" si="23"/>
        <v>0</v>
      </c>
    </row>
    <row r="662" spans="1:10" x14ac:dyDescent="0.25">
      <c r="A662" t="s">
        <v>508</v>
      </c>
      <c r="B662" t="s">
        <v>528</v>
      </c>
      <c r="C662" t="s">
        <v>530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Historical New Veh Fuel Economy After Lifetime.xlsx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508</v>
      </c>
      <c r="B663" t="s">
        <v>528</v>
      </c>
      <c r="C663" t="s">
        <v>531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Historical New Veh Fuel Economy After Lifetime.xlsx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508</v>
      </c>
      <c r="B664" t="s">
        <v>528</v>
      </c>
      <c r="C664" t="s">
        <v>532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Historical New Veh Fuel Economy After Lifetime.xlsx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25">
      <c r="A665" t="s">
        <v>508</v>
      </c>
      <c r="B665" t="s">
        <v>528</v>
      </c>
      <c r="C665" t="s">
        <v>533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Historical New Veh Fuel Economy After Lifetime.xlsx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508</v>
      </c>
      <c r="B666" t="s">
        <v>528</v>
      </c>
      <c r="C666" t="s">
        <v>534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Historical New Veh Fuel Economy After Lifetime.xlsx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508</v>
      </c>
      <c r="B667" t="s">
        <v>528</v>
      </c>
      <c r="C667" t="s">
        <v>535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Historical New Veh Fuel Economy After Lifetime.xlsx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25">
      <c r="A668" t="s">
        <v>508</v>
      </c>
      <c r="B668" t="s">
        <v>528</v>
      </c>
      <c r="C668" t="s">
        <v>536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Historical New Veh Fuel Economy After Lifetime.xlsx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25">
      <c r="A669" t="s">
        <v>508</v>
      </c>
      <c r="B669" t="s">
        <v>528</v>
      </c>
      <c r="C669" t="s">
        <v>537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25">
      <c r="A670" t="s">
        <v>508</v>
      </c>
      <c r="B670" t="s">
        <v>528</v>
      </c>
      <c r="C670" t="s">
        <v>538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25">
      <c r="A671" t="s">
        <v>508</v>
      </c>
      <c r="B671" t="s">
        <v>528</v>
      </c>
      <c r="C671" t="s">
        <v>539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Historical New Veh Fuel Economy After Lifetime.xlsx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25">
      <c r="A672" t="s">
        <v>508</v>
      </c>
      <c r="B672" t="s">
        <v>528</v>
      </c>
      <c r="C672" t="s">
        <v>540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Historical New Veh Fuel Economy After Lifetime.xlsx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25">
      <c r="A673" t="s">
        <v>508</v>
      </c>
      <c r="B673" t="s">
        <v>528</v>
      </c>
      <c r="C673" t="s">
        <v>541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Historical New Veh Fuel Economy After Lifetime.xlsx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25">
      <c r="A674" t="s">
        <v>508</v>
      </c>
      <c r="B674" t="s">
        <v>542</v>
      </c>
      <c r="C674" t="s">
        <v>543</v>
      </c>
      <c r="G674" t="str">
        <f t="shared" si="22"/>
        <v>xlsx</v>
      </c>
      <c r="H674" s="5" t="str">
        <f>IFERROR(IF(B674="FoPITY",INDEX(Customizations!$C$2:$C$19,MATCH(Sheet1!C674,Customizations!$B$2:$B$19,0),1),INDEX(About!C:C,MATCH(Sheet1!B674,About!B:B,0),1)),"")</f>
        <v>BAU LCFS Perc.xlsx</v>
      </c>
      <c r="I674" s="5">
        <f>IFERROR(INDEX(About!$D:$D,MATCH(Sheet1!H674,About!$C:$C,0),1),0)</f>
        <v>1</v>
      </c>
      <c r="J674" s="6">
        <f t="shared" si="23"/>
        <v>0</v>
      </c>
    </row>
    <row r="675" spans="1:10" x14ac:dyDescent="0.25">
      <c r="A675" t="s">
        <v>508</v>
      </c>
      <c r="B675" t="s">
        <v>542</v>
      </c>
      <c r="C675" t="s">
        <v>544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LCFS Perc.xlsx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25">
      <c r="A676" t="s">
        <v>508</v>
      </c>
      <c r="B676" t="s">
        <v>545</v>
      </c>
      <c r="C676" t="s">
        <v>546</v>
      </c>
      <c r="G676" t="str">
        <f t="shared" si="22"/>
        <v>xlsx</v>
      </c>
      <c r="H676" s="5" t="str">
        <f>IFERROR(IF(B676="FoPITY",INDEX(Customizations!$C$2:$C$19,MATCH(Sheet1!C676,Customizations!$B$2:$B$19,0),1),INDEX(About!C:C,MATCH(Sheet1!B676,About!B:B,0),1)),"")</f>
        <v>BAU Min Req EV Sales Perc.xlsx</v>
      </c>
      <c r="I676" s="5">
        <f>IFERROR(INDEX(About!$D:$D,MATCH(Sheet1!H676,About!$C:$C,0),1),0)</f>
        <v>1</v>
      </c>
      <c r="J676" s="6">
        <f t="shared" si="23"/>
        <v>0</v>
      </c>
    </row>
    <row r="677" spans="1:10" x14ac:dyDescent="0.25">
      <c r="A677" t="s">
        <v>508</v>
      </c>
      <c r="B677" t="s">
        <v>545</v>
      </c>
      <c r="C677" t="s">
        <v>547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Min Req EV Sales Perc.xlsx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25">
      <c r="A678" t="s">
        <v>508</v>
      </c>
      <c r="B678" t="s">
        <v>545</v>
      </c>
      <c r="C678" t="s">
        <v>548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Min Req EV Sales Perc.xlsx</v>
      </c>
      <c r="I678" s="5">
        <f>IFERROR(INDEX(About!$D:$D,MATCH(Sheet1!H678,About!$C:$C,0),1),0)</f>
        <v>1</v>
      </c>
      <c r="J678" s="6">
        <f t="shared" si="23"/>
        <v>1</v>
      </c>
    </row>
    <row r="679" spans="1:10" x14ac:dyDescent="0.25">
      <c r="A679" t="s">
        <v>508</v>
      </c>
      <c r="B679" t="s">
        <v>549</v>
      </c>
      <c r="C679" t="s">
        <v>550</v>
      </c>
      <c r="G679" t="str">
        <f t="shared" si="22"/>
        <v>xlsx</v>
      </c>
      <c r="H679" s="5" t="str">
        <f>IFERROR(IF(B679="FoPITY",INDEX(Customizations!$C$2:$C$19,MATCH(Sheet1!C679,Customizations!$B$2:$B$19,0),1),INDEX(About!C:C,MATCH(Sheet1!B679,About!B:B,0),1)),"")</f>
        <v>BAU New Veh Fuel Economy.xlsx</v>
      </c>
      <c r="I679" s="5">
        <f>IFERROR(INDEX(About!$D:$D,MATCH(Sheet1!H679,About!$C:$C,0),1),0)</f>
        <v>1</v>
      </c>
      <c r="J679" s="6">
        <f t="shared" si="23"/>
        <v>0</v>
      </c>
    </row>
    <row r="680" spans="1:10" x14ac:dyDescent="0.25">
      <c r="A680" t="s">
        <v>508</v>
      </c>
      <c r="B680" t="s">
        <v>549</v>
      </c>
      <c r="C680" t="s">
        <v>551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New Veh Fuel Economy.xlsx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25">
      <c r="A681" t="s">
        <v>508</v>
      </c>
      <c r="B681" t="s">
        <v>549</v>
      </c>
      <c r="C681" t="s">
        <v>552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New Veh Fuel Economy.xlsx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25">
      <c r="A682" t="s">
        <v>508</v>
      </c>
      <c r="B682" t="s">
        <v>549</v>
      </c>
      <c r="C682" t="s">
        <v>553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New Veh Fuel Economy.xlsx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25">
      <c r="A683" t="s">
        <v>508</v>
      </c>
      <c r="B683" t="s">
        <v>549</v>
      </c>
      <c r="C683" t="s">
        <v>554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New Veh Fuel Economy.xlsx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25">
      <c r="A684" t="s">
        <v>508</v>
      </c>
      <c r="B684" t="s">
        <v>549</v>
      </c>
      <c r="C684" t="s">
        <v>555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New Veh Fuel Economy.xlsx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25">
      <c r="A685" t="s">
        <v>508</v>
      </c>
      <c r="B685" t="s">
        <v>549</v>
      </c>
      <c r="C685" t="s">
        <v>556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New Veh Fuel Economy.xlsx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25">
      <c r="A686" t="s">
        <v>508</v>
      </c>
      <c r="B686" t="s">
        <v>549</v>
      </c>
      <c r="C686" t="s">
        <v>557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New Veh Fuel Economy.xlsx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25">
      <c r="A687" t="s">
        <v>508</v>
      </c>
      <c r="B687" t="s">
        <v>549</v>
      </c>
      <c r="C687" t="s">
        <v>558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25">
      <c r="A688" t="s">
        <v>508</v>
      </c>
      <c r="B688" t="s">
        <v>549</v>
      </c>
      <c r="C688" t="s">
        <v>559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25">
      <c r="A689" t="s">
        <v>508</v>
      </c>
      <c r="B689" t="s">
        <v>549</v>
      </c>
      <c r="C689" t="s">
        <v>560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New Veh Fuel Economy.xlsx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25">
      <c r="A690" t="s">
        <v>508</v>
      </c>
      <c r="B690" t="s">
        <v>549</v>
      </c>
      <c r="C690" t="s">
        <v>561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 Fuel Economy.xlsx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25">
      <c r="A691" t="s">
        <v>508</v>
      </c>
      <c r="B691" t="s">
        <v>549</v>
      </c>
      <c r="C691" t="s">
        <v>562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New Veh Fuel Economy.xlsx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25">
      <c r="A692" t="s">
        <v>508</v>
      </c>
      <c r="B692" t="s">
        <v>563</v>
      </c>
      <c r="C692" t="s">
        <v>564</v>
      </c>
      <c r="G692" t="str">
        <f t="shared" si="22"/>
        <v>xlsx</v>
      </c>
      <c r="H692" s="5" t="str">
        <f>IFERROR(IF(B692="FoPITY",INDEX(Customizations!$C$2:$C$19,MATCH(Sheet1!C692,Customizations!$B$2:$B$19,0),1),INDEX(About!C:C,MATCH(Sheet1!B692,About!B:B,0),1)),"")</f>
        <v>BAU New Vehicle Price.xlsx</v>
      </c>
      <c r="I692" s="5">
        <f>IFERROR(INDEX(About!$D:$D,MATCH(Sheet1!H692,About!$C:$C,0),1),0)</f>
        <v>1</v>
      </c>
      <c r="J692" s="6">
        <f t="shared" si="23"/>
        <v>0</v>
      </c>
    </row>
    <row r="693" spans="1:10" x14ac:dyDescent="0.25">
      <c r="A693" t="s">
        <v>508</v>
      </c>
      <c r="B693" t="s">
        <v>563</v>
      </c>
      <c r="C693" t="s">
        <v>565</v>
      </c>
      <c r="D693" t="s">
        <v>936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Vehicle Price.xlsx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25">
      <c r="A694" t="s">
        <v>508</v>
      </c>
      <c r="B694" t="s">
        <v>563</v>
      </c>
      <c r="C694" t="s">
        <v>566</v>
      </c>
      <c r="D694" t="s">
        <v>937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New Vehicle Price.xlsx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25">
      <c r="A695" t="s">
        <v>508</v>
      </c>
      <c r="B695" t="s">
        <v>563</v>
      </c>
      <c r="C695" t="s">
        <v>567</v>
      </c>
      <c r="D695" t="s">
        <v>938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Vehicle Price.xlsx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25">
      <c r="A696" t="s">
        <v>508</v>
      </c>
      <c r="B696" t="s">
        <v>563</v>
      </c>
      <c r="C696" t="s">
        <v>568</v>
      </c>
      <c r="D696" t="s">
        <v>939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Vehicle Price.xlsx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25">
      <c r="A697" t="s">
        <v>508</v>
      </c>
      <c r="B697" t="s">
        <v>563</v>
      </c>
      <c r="C697" t="s">
        <v>569</v>
      </c>
      <c r="D697" t="s">
        <v>940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New Vehicle Price.xlsx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25">
      <c r="A698" t="s">
        <v>508</v>
      </c>
      <c r="B698" t="s">
        <v>563</v>
      </c>
      <c r="C698" t="s">
        <v>570</v>
      </c>
      <c r="D698" t="s">
        <v>941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New Vehicle Price.xlsx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25">
      <c r="A699" t="s">
        <v>508</v>
      </c>
      <c r="B699" t="s">
        <v>563</v>
      </c>
      <c r="C699" t="s">
        <v>571</v>
      </c>
      <c r="D699" t="s">
        <v>942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New Vehicle Price.xlsx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25">
      <c r="A700" t="s">
        <v>508</v>
      </c>
      <c r="B700" t="s">
        <v>563</v>
      </c>
      <c r="C700" t="s">
        <v>572</v>
      </c>
      <c r="D700" t="s">
        <v>943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1</v>
      </c>
      <c r="J700" s="6">
        <f t="shared" si="23"/>
        <v>1</v>
      </c>
    </row>
    <row r="701" spans="1:10" x14ac:dyDescent="0.25">
      <c r="A701" t="s">
        <v>508</v>
      </c>
      <c r="B701" t="s">
        <v>563</v>
      </c>
      <c r="C701" t="s">
        <v>573</v>
      </c>
      <c r="D701" t="s">
        <v>944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25">
      <c r="A702" t="s">
        <v>508</v>
      </c>
      <c r="B702" t="s">
        <v>563</v>
      </c>
      <c r="C702" t="s">
        <v>574</v>
      </c>
      <c r="D702" t="s">
        <v>945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New Vehicle Price.xlsx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25">
      <c r="A703" t="s">
        <v>508</v>
      </c>
      <c r="B703" t="s">
        <v>563</v>
      </c>
      <c r="C703" t="s">
        <v>575</v>
      </c>
      <c r="D703" t="s">
        <v>946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New Vehicle Price.xlsx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25">
      <c r="A704" t="s">
        <v>508</v>
      </c>
      <c r="B704" t="s">
        <v>563</v>
      </c>
      <c r="C704" t="s">
        <v>576</v>
      </c>
      <c r="D704" t="s">
        <v>947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New Vehicle Price.xlsx</v>
      </c>
      <c r="I704" s="5">
        <f>IFERROR(INDEX(About!$D:$D,MATCH(Sheet1!H704,About!$C:$C,0),1),0)</f>
        <v>1</v>
      </c>
      <c r="J704" s="6">
        <f t="shared" si="23"/>
        <v>1</v>
      </c>
    </row>
    <row r="705" spans="1:10" x14ac:dyDescent="0.25">
      <c r="A705" t="s">
        <v>508</v>
      </c>
      <c r="B705" t="s">
        <v>577</v>
      </c>
      <c r="C705" t="s">
        <v>578</v>
      </c>
      <c r="D705" t="s">
        <v>948</v>
      </c>
      <c r="G705" t="str">
        <f t="shared" si="22"/>
        <v>xlsx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1</v>
      </c>
      <c r="J705" s="6">
        <f t="shared" si="23"/>
        <v>0</v>
      </c>
    </row>
    <row r="706" spans="1:10" x14ac:dyDescent="0.25">
      <c r="A706" t="s">
        <v>508</v>
      </c>
      <c r="B706" t="s">
        <v>577</v>
      </c>
      <c r="C706" t="s">
        <v>579</v>
      </c>
      <c r="D706" t="s">
        <v>949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1</v>
      </c>
      <c r="J706" s="6">
        <f t="shared" si="23"/>
        <v>1</v>
      </c>
    </row>
    <row r="707" spans="1:10" x14ac:dyDescent="0.25">
      <c r="A707" t="s">
        <v>508</v>
      </c>
      <c r="B707" t="s">
        <v>577</v>
      </c>
      <c r="C707" t="s">
        <v>580</v>
      </c>
      <c r="D707" t="s">
        <v>950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1</v>
      </c>
      <c r="J707" s="6">
        <f t="shared" si="23"/>
        <v>1</v>
      </c>
    </row>
    <row r="708" spans="1:10" x14ac:dyDescent="0.25">
      <c r="A708" t="s">
        <v>508</v>
      </c>
      <c r="B708" t="s">
        <v>577</v>
      </c>
      <c r="C708" t="s">
        <v>581</v>
      </c>
      <c r="D708" t="s">
        <v>951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1</v>
      </c>
      <c r="J708" s="6">
        <f t="shared" si="23"/>
        <v>1</v>
      </c>
    </row>
    <row r="709" spans="1:10" x14ac:dyDescent="0.25">
      <c r="A709" t="s">
        <v>508</v>
      </c>
      <c r="B709" t="s">
        <v>577</v>
      </c>
      <c r="C709" t="s">
        <v>582</v>
      </c>
      <c r="D709" t="s">
        <v>5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1</v>
      </c>
      <c r="J709" s="6">
        <f t="shared" si="23"/>
        <v>1</v>
      </c>
    </row>
    <row r="710" spans="1:10" x14ac:dyDescent="0.25">
      <c r="A710" t="s">
        <v>508</v>
      </c>
      <c r="B710" t="s">
        <v>577</v>
      </c>
      <c r="C710" t="s">
        <v>583</v>
      </c>
      <c r="D710" t="s">
        <v>6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1</v>
      </c>
      <c r="J710" s="6">
        <f t="shared" si="23"/>
        <v>1</v>
      </c>
    </row>
    <row r="711" spans="1:10" x14ac:dyDescent="0.25">
      <c r="A711" t="s">
        <v>508</v>
      </c>
      <c r="B711" t="s">
        <v>577</v>
      </c>
      <c r="C711" t="s">
        <v>584</v>
      </c>
      <c r="D711" t="s">
        <v>8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1</v>
      </c>
      <c r="J711" s="6">
        <f t="shared" ref="J711:J774" si="25">IF(G711=".csv",1,0)*I711</f>
        <v>1</v>
      </c>
    </row>
    <row r="712" spans="1:10" x14ac:dyDescent="0.25">
      <c r="A712" t="s">
        <v>508</v>
      </c>
      <c r="B712" t="s">
        <v>577</v>
      </c>
      <c r="C712" t="s">
        <v>585</v>
      </c>
      <c r="D712" t="s">
        <v>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508</v>
      </c>
      <c r="B713" t="s">
        <v>577</v>
      </c>
      <c r="C713" t="s">
        <v>586</v>
      </c>
      <c r="D713" t="s">
        <v>12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508</v>
      </c>
      <c r="B714" t="s">
        <v>577</v>
      </c>
      <c r="C714" t="s">
        <v>587</v>
      </c>
      <c r="D714" t="s">
        <v>13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508</v>
      </c>
      <c r="B715" t="s">
        <v>577</v>
      </c>
      <c r="C715" t="s">
        <v>588</v>
      </c>
      <c r="D715" t="s">
        <v>14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508</v>
      </c>
      <c r="B716" t="s">
        <v>577</v>
      </c>
      <c r="C716" t="s">
        <v>589</v>
      </c>
      <c r="D716" t="s">
        <v>15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508</v>
      </c>
      <c r="B717" t="s">
        <v>577</v>
      </c>
      <c r="C717" t="s">
        <v>590</v>
      </c>
      <c r="D717" t="s">
        <v>17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508</v>
      </c>
      <c r="B718" t="s">
        <v>577</v>
      </c>
      <c r="C718" t="s">
        <v>591</v>
      </c>
      <c r="D718" t="s">
        <v>1030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508</v>
      </c>
      <c r="B719" t="s">
        <v>577</v>
      </c>
      <c r="C719" t="s">
        <v>592</v>
      </c>
      <c r="D719" t="s">
        <v>18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508</v>
      </c>
      <c r="B720" t="s">
        <v>577</v>
      </c>
      <c r="C720" t="s">
        <v>593</v>
      </c>
      <c r="D720" t="s">
        <v>19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508</v>
      </c>
      <c r="B721" t="s">
        <v>577</v>
      </c>
      <c r="C721" t="s">
        <v>594</v>
      </c>
      <c r="D721" t="s">
        <v>20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508</v>
      </c>
      <c r="B722" t="s">
        <v>577</v>
      </c>
      <c r="C722" t="s">
        <v>595</v>
      </c>
      <c r="D722" t="s">
        <v>21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508</v>
      </c>
      <c r="B723" t="s">
        <v>577</v>
      </c>
      <c r="C723" t="s">
        <v>596</v>
      </c>
      <c r="D723" t="s">
        <v>22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508</v>
      </c>
      <c r="B724" t="s">
        <v>577</v>
      </c>
      <c r="C724" t="s">
        <v>597</v>
      </c>
      <c r="D724" t="s">
        <v>23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508</v>
      </c>
      <c r="B725" t="s">
        <v>577</v>
      </c>
      <c r="C725" t="s">
        <v>598</v>
      </c>
      <c r="D725" t="s">
        <v>24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508</v>
      </c>
      <c r="B726" t="s">
        <v>577</v>
      </c>
      <c r="C726" t="s">
        <v>599</v>
      </c>
      <c r="D726" t="s">
        <v>25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508</v>
      </c>
      <c r="B727" t="s">
        <v>577</v>
      </c>
      <c r="C727" t="s">
        <v>600</v>
      </c>
      <c r="D727" t="s">
        <v>26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508</v>
      </c>
      <c r="B728" t="s">
        <v>577</v>
      </c>
      <c r="C728" t="s">
        <v>601</v>
      </c>
      <c r="D728" t="s">
        <v>27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508</v>
      </c>
      <c r="B729" t="s">
        <v>577</v>
      </c>
      <c r="C729" t="s">
        <v>602</v>
      </c>
      <c r="D729" t="s">
        <v>28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508</v>
      </c>
      <c r="B730" t="s">
        <v>577</v>
      </c>
      <c r="C730" t="s">
        <v>603</v>
      </c>
      <c r="D730" t="s">
        <v>29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508</v>
      </c>
      <c r="B731" t="s">
        <v>577</v>
      </c>
      <c r="C731" t="s">
        <v>604</v>
      </c>
      <c r="D731" t="s">
        <v>30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508</v>
      </c>
      <c r="B732" t="s">
        <v>577</v>
      </c>
      <c r="C732" t="s">
        <v>605</v>
      </c>
      <c r="D732" t="s">
        <v>31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508</v>
      </c>
      <c r="B733" t="s">
        <v>577</v>
      </c>
      <c r="C733" t="s">
        <v>606</v>
      </c>
      <c r="D733" t="s">
        <v>32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25">
      <c r="A734" t="s">
        <v>508</v>
      </c>
      <c r="B734" t="s">
        <v>577</v>
      </c>
      <c r="C734" t="s">
        <v>607</v>
      </c>
      <c r="D734" t="s">
        <v>34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25">
      <c r="A735" t="s">
        <v>508</v>
      </c>
      <c r="B735" t="s">
        <v>577</v>
      </c>
      <c r="C735" t="s">
        <v>608</v>
      </c>
      <c r="D735" t="s">
        <v>35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25">
      <c r="A736" t="s">
        <v>508</v>
      </c>
      <c r="B736" t="s">
        <v>577</v>
      </c>
      <c r="C736" t="s">
        <v>609</v>
      </c>
      <c r="D736" t="s">
        <v>36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25">
      <c r="A737" t="s">
        <v>508</v>
      </c>
      <c r="B737" t="s">
        <v>577</v>
      </c>
      <c r="C737" t="s">
        <v>610</v>
      </c>
      <c r="D737" t="s">
        <v>37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25">
      <c r="A738" t="s">
        <v>508</v>
      </c>
      <c r="B738" t="s">
        <v>577</v>
      </c>
      <c r="C738" t="s">
        <v>611</v>
      </c>
      <c r="D738" t="s">
        <v>38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25">
      <c r="A739" t="s">
        <v>508</v>
      </c>
      <c r="B739" t="s">
        <v>577</v>
      </c>
      <c r="C739" t="s">
        <v>612</v>
      </c>
      <c r="D739" t="s">
        <v>39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25">
      <c r="A740" t="s">
        <v>508</v>
      </c>
      <c r="B740" t="s">
        <v>577</v>
      </c>
      <c r="C740" t="s">
        <v>613</v>
      </c>
      <c r="D740" t="s">
        <v>40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25">
      <c r="A741" t="s">
        <v>508</v>
      </c>
      <c r="B741" t="s">
        <v>577</v>
      </c>
      <c r="C741" t="s">
        <v>614</v>
      </c>
      <c r="D741" t="s">
        <v>42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25">
      <c r="A742" t="s">
        <v>508</v>
      </c>
      <c r="B742" t="s">
        <v>577</v>
      </c>
      <c r="C742" t="s">
        <v>615</v>
      </c>
      <c r="D742" t="s">
        <v>43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25">
      <c r="A743" t="s">
        <v>508</v>
      </c>
      <c r="B743" t="s">
        <v>577</v>
      </c>
      <c r="C743" t="s">
        <v>616</v>
      </c>
      <c r="D743" t="s">
        <v>44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25">
      <c r="A744" t="s">
        <v>508</v>
      </c>
      <c r="B744" t="s">
        <v>577</v>
      </c>
      <c r="C744" t="s">
        <v>617</v>
      </c>
      <c r="D744" t="s">
        <v>45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25">
      <c r="A745" t="s">
        <v>508</v>
      </c>
      <c r="B745" t="s">
        <v>577</v>
      </c>
      <c r="C745" t="s">
        <v>618</v>
      </c>
      <c r="D745" t="s">
        <v>47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25">
      <c r="A746" t="s">
        <v>508</v>
      </c>
      <c r="B746" t="s">
        <v>577</v>
      </c>
      <c r="C746" t="s">
        <v>619</v>
      </c>
      <c r="D746" t="s">
        <v>48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25">
      <c r="A747" t="s">
        <v>508</v>
      </c>
      <c r="B747" t="s">
        <v>577</v>
      </c>
      <c r="C747" t="s">
        <v>620</v>
      </c>
      <c r="D747" t="s">
        <v>49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25">
      <c r="A748" t="s">
        <v>508</v>
      </c>
      <c r="B748" t="s">
        <v>577</v>
      </c>
      <c r="C748" t="s">
        <v>621</v>
      </c>
      <c r="D748" t="s">
        <v>51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25">
      <c r="A749" t="s">
        <v>508</v>
      </c>
      <c r="B749" t="s">
        <v>577</v>
      </c>
      <c r="C749" t="s">
        <v>622</v>
      </c>
      <c r="D749" t="s">
        <v>52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25">
      <c r="A750" t="s">
        <v>508</v>
      </c>
      <c r="B750" t="s">
        <v>577</v>
      </c>
      <c r="C750" t="s">
        <v>623</v>
      </c>
      <c r="D750" t="s">
        <v>54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25">
      <c r="A751" t="s">
        <v>508</v>
      </c>
      <c r="B751" t="s">
        <v>577</v>
      </c>
      <c r="C751" t="s">
        <v>624</v>
      </c>
      <c r="D751" t="s">
        <v>1031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25">
      <c r="A752" t="s">
        <v>508</v>
      </c>
      <c r="B752" t="s">
        <v>577</v>
      </c>
      <c r="C752" t="s">
        <v>625</v>
      </c>
      <c r="D752" t="s">
        <v>1032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25">
      <c r="A753" t="s">
        <v>508</v>
      </c>
      <c r="B753" t="s">
        <v>577</v>
      </c>
      <c r="C753" t="s">
        <v>626</v>
      </c>
      <c r="D753" t="s">
        <v>56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25">
      <c r="A754" t="s">
        <v>508</v>
      </c>
      <c r="B754" t="s">
        <v>577</v>
      </c>
      <c r="C754" t="s">
        <v>627</v>
      </c>
      <c r="D754" t="s">
        <v>57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25">
      <c r="A755" t="s">
        <v>508</v>
      </c>
      <c r="B755" t="s">
        <v>577</v>
      </c>
      <c r="C755" t="s">
        <v>628</v>
      </c>
      <c r="D755" t="s">
        <v>59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25">
      <c r="A756" t="s">
        <v>508</v>
      </c>
      <c r="B756" t="s">
        <v>577</v>
      </c>
      <c r="C756" t="s">
        <v>629</v>
      </c>
      <c r="D756" t="s">
        <v>60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25">
      <c r="A757" t="s">
        <v>508</v>
      </c>
      <c r="B757" t="s">
        <v>577</v>
      </c>
      <c r="C757" t="s">
        <v>630</v>
      </c>
      <c r="D757" t="s">
        <v>62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25">
      <c r="A758" t="s">
        <v>508</v>
      </c>
      <c r="B758" t="s">
        <v>577</v>
      </c>
      <c r="C758" t="s">
        <v>631</v>
      </c>
      <c r="D758" t="s">
        <v>63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25">
      <c r="A759" t="s">
        <v>508</v>
      </c>
      <c r="B759" t="s">
        <v>577</v>
      </c>
      <c r="C759" t="s">
        <v>632</v>
      </c>
      <c r="D759" t="s">
        <v>65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25">
      <c r="A760" t="s">
        <v>508</v>
      </c>
      <c r="B760" t="s">
        <v>577</v>
      </c>
      <c r="C760" t="s">
        <v>633</v>
      </c>
      <c r="D760" t="s">
        <v>66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25">
      <c r="A761" t="s">
        <v>508</v>
      </c>
      <c r="B761" t="s">
        <v>577</v>
      </c>
      <c r="C761" t="s">
        <v>634</v>
      </c>
      <c r="D761" t="s">
        <v>68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25">
      <c r="A762" t="s">
        <v>508</v>
      </c>
      <c r="B762" t="s">
        <v>577</v>
      </c>
      <c r="C762" t="s">
        <v>635</v>
      </c>
      <c r="D762" t="s">
        <v>69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si="25"/>
        <v>1</v>
      </c>
    </row>
    <row r="763" spans="1:10" x14ac:dyDescent="0.25">
      <c r="A763" t="s">
        <v>508</v>
      </c>
      <c r="B763" t="s">
        <v>577</v>
      </c>
      <c r="C763" t="s">
        <v>636</v>
      </c>
      <c r="D763" t="s">
        <v>71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25">
      <c r="A764" t="s">
        <v>508</v>
      </c>
      <c r="B764" t="s">
        <v>577</v>
      </c>
      <c r="C764" t="s">
        <v>637</v>
      </c>
      <c r="D764" t="s">
        <v>72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25">
      <c r="A765" t="s">
        <v>508</v>
      </c>
      <c r="B765" t="s">
        <v>577</v>
      </c>
      <c r="C765" t="s">
        <v>638</v>
      </c>
      <c r="D765" t="s">
        <v>74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5"/>
        <v>1</v>
      </c>
    </row>
    <row r="766" spans="1:10" x14ac:dyDescent="0.25">
      <c r="A766" t="s">
        <v>508</v>
      </c>
      <c r="B766" t="s">
        <v>577</v>
      </c>
      <c r="C766" t="s">
        <v>639</v>
      </c>
      <c r="D766" t="s">
        <v>75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25">
      <c r="A767" t="s">
        <v>508</v>
      </c>
      <c r="B767" t="s">
        <v>577</v>
      </c>
      <c r="C767" t="s">
        <v>640</v>
      </c>
      <c r="D767" t="s">
        <v>1101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5"/>
        <v>1</v>
      </c>
    </row>
    <row r="768" spans="1:10" x14ac:dyDescent="0.25">
      <c r="A768" t="s">
        <v>508</v>
      </c>
      <c r="B768" t="s">
        <v>577</v>
      </c>
      <c r="C768" t="s">
        <v>641</v>
      </c>
      <c r="D768" t="s">
        <v>1102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25">
      <c r="A769" t="s">
        <v>508</v>
      </c>
      <c r="B769" t="s">
        <v>577</v>
      </c>
      <c r="C769" t="s">
        <v>642</v>
      </c>
      <c r="D769" t="s">
        <v>1103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5"/>
        <v>1</v>
      </c>
    </row>
    <row r="770" spans="1:10" x14ac:dyDescent="0.25">
      <c r="A770" t="s">
        <v>508</v>
      </c>
      <c r="B770" t="s">
        <v>577</v>
      </c>
      <c r="C770" t="s">
        <v>643</v>
      </c>
      <c r="D770" t="s">
        <v>1104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5"/>
        <v>1</v>
      </c>
    </row>
    <row r="771" spans="1:10" x14ac:dyDescent="0.25">
      <c r="A771" t="s">
        <v>508</v>
      </c>
      <c r="B771" t="s">
        <v>577</v>
      </c>
      <c r="C771" t="s">
        <v>644</v>
      </c>
      <c r="D771" t="s">
        <v>1105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5"/>
        <v>1</v>
      </c>
    </row>
    <row r="772" spans="1:10" x14ac:dyDescent="0.25">
      <c r="A772" t="s">
        <v>508</v>
      </c>
      <c r="B772" t="s">
        <v>577</v>
      </c>
      <c r="C772" t="s">
        <v>645</v>
      </c>
      <c r="D772" t="s">
        <v>1106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5"/>
        <v>1</v>
      </c>
    </row>
    <row r="773" spans="1:10" x14ac:dyDescent="0.25">
      <c r="A773" t="s">
        <v>508</v>
      </c>
      <c r="B773" t="s">
        <v>577</v>
      </c>
      <c r="C773" t="s">
        <v>646</v>
      </c>
      <c r="D773" t="s">
        <v>1107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5"/>
        <v>1</v>
      </c>
    </row>
    <row r="774" spans="1:10" x14ac:dyDescent="0.25">
      <c r="A774" t="s">
        <v>508</v>
      </c>
      <c r="B774" t="s">
        <v>577</v>
      </c>
      <c r="C774" t="s">
        <v>647</v>
      </c>
      <c r="D774" t="s">
        <v>1108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5"/>
        <v>1</v>
      </c>
    </row>
    <row r="775" spans="1:10" x14ac:dyDescent="0.25">
      <c r="A775" t="s">
        <v>508</v>
      </c>
      <c r="B775" t="s">
        <v>577</v>
      </c>
      <c r="C775" t="s">
        <v>648</v>
      </c>
      <c r="D775" t="s">
        <v>1109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ref="J775:J817" si="27">IF(G775=".csv",1,0)*I775</f>
        <v>1</v>
      </c>
    </row>
    <row r="776" spans="1:10" x14ac:dyDescent="0.25">
      <c r="A776" t="s">
        <v>508</v>
      </c>
      <c r="B776" t="s">
        <v>577</v>
      </c>
      <c r="C776" t="s">
        <v>649</v>
      </c>
      <c r="D776" t="s">
        <v>1110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25">
      <c r="A777" t="s">
        <v>508</v>
      </c>
      <c r="B777" t="s">
        <v>577</v>
      </c>
      <c r="C777" t="s">
        <v>650</v>
      </c>
      <c r="D777" t="s">
        <v>77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25">
      <c r="A778" t="s">
        <v>508</v>
      </c>
      <c r="B778" t="s">
        <v>651</v>
      </c>
      <c r="C778" t="s">
        <v>652</v>
      </c>
      <c r="D778" t="s">
        <v>78</v>
      </c>
      <c r="G778" t="str">
        <f t="shared" si="26"/>
        <v>xlsx</v>
      </c>
      <c r="H778" s="5" t="str">
        <f>IFERROR(IF(B778="FoPITY",INDEX(Customizations!$C$2:$C$19,MATCH(Sheet1!C778,Customizations!$B$2:$B$19,0),1),INDEX(About!C:C,MATCH(Sheet1!B778,About!B:B,0),1)),"")</f>
        <v>BAU Rng Anxiety and Charge Time Shadow Costs.xlsx</v>
      </c>
      <c r="I778" s="5">
        <f>IFERROR(INDEX(About!$D:$D,MATCH(Sheet1!H778,About!$C:$C,0),1),0)</f>
        <v>1</v>
      </c>
      <c r="J778" s="6">
        <f t="shared" si="27"/>
        <v>0</v>
      </c>
    </row>
    <row r="779" spans="1:10" x14ac:dyDescent="0.25">
      <c r="A779" t="s">
        <v>508</v>
      </c>
      <c r="B779" t="s">
        <v>651</v>
      </c>
      <c r="C779" t="s">
        <v>653</v>
      </c>
      <c r="D779" t="s">
        <v>80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Rng Anxiety and Charge Time Shadow Costs.xlsx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25">
      <c r="A780" t="s">
        <v>508</v>
      </c>
      <c r="B780" t="s">
        <v>654</v>
      </c>
      <c r="C780" t="s">
        <v>655</v>
      </c>
      <c r="D780" t="s">
        <v>81</v>
      </c>
      <c r="G780" t="str">
        <f t="shared" si="26"/>
        <v>xlsx</v>
      </c>
      <c r="H780" s="5" t="str">
        <f>IFERROR(IF(B780="FoPITY",INDEX(Customizations!$C$2:$C$19,MATCH(Sheet1!C780,Customizations!$B$2:$B$19,0),1),INDEX(About!C:C,MATCH(Sheet1!B780,About!B:B,0),1)),"")</f>
        <v>Boolean Veh Types Subject to LCFS.xlsx</v>
      </c>
      <c r="I780" s="5">
        <f>IFERROR(INDEX(About!$D:$D,MATCH(Sheet1!H780,About!$C:$C,0),1),0)</f>
        <v>1</v>
      </c>
      <c r="J780" s="6">
        <f t="shared" si="27"/>
        <v>0</v>
      </c>
    </row>
    <row r="781" spans="1:10" x14ac:dyDescent="0.25">
      <c r="A781" t="s">
        <v>508</v>
      </c>
      <c r="B781" t="s">
        <v>654</v>
      </c>
      <c r="C781" t="s">
        <v>656</v>
      </c>
      <c r="D781" t="s">
        <v>83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Boolean Veh Types Subject to LCFS.xlsx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25">
      <c r="A782" t="s">
        <v>508</v>
      </c>
      <c r="B782" t="s">
        <v>657</v>
      </c>
      <c r="C782" t="s">
        <v>658</v>
      </c>
      <c r="D782" t="s">
        <v>84</v>
      </c>
      <c r="G782" t="str">
        <f t="shared" si="26"/>
        <v>xlsx</v>
      </c>
      <c r="H782" s="5" t="str">
        <f>IFERROR(IF(B782="FoPITY",INDEX(Customizations!$C$2:$C$19,MATCH(Sheet1!C782,Customizations!$B$2:$B$19,0),1),INDEX(About!C:C,MATCH(Sheet1!B782,About!B:B,0),1)),"")</f>
        <v>Carbon Intensity Ratios by Transport Fuel.xlsx</v>
      </c>
      <c r="I782" s="5">
        <f>IFERROR(INDEX(About!$D:$D,MATCH(Sheet1!H782,About!$C:$C,0),1),0)</f>
        <v>1</v>
      </c>
      <c r="J782" s="6">
        <f t="shared" si="27"/>
        <v>0</v>
      </c>
    </row>
    <row r="783" spans="1:10" x14ac:dyDescent="0.25">
      <c r="A783" t="s">
        <v>508</v>
      </c>
      <c r="B783" t="s">
        <v>657</v>
      </c>
      <c r="C783" t="s">
        <v>659</v>
      </c>
      <c r="D783" t="s">
        <v>86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Carbon Intensity Ratios by Transport Fuel.xlsx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25">
      <c r="A784" t="s">
        <v>508</v>
      </c>
      <c r="B784" t="s">
        <v>660</v>
      </c>
      <c r="C784" t="s">
        <v>661</v>
      </c>
      <c r="D784" t="s">
        <v>87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Embedded Carbon per Vehicle.xlsx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25">
      <c r="A785" t="s">
        <v>508</v>
      </c>
      <c r="B785" t="s">
        <v>660</v>
      </c>
      <c r="C785" t="s">
        <v>662</v>
      </c>
      <c r="D785" t="s">
        <v>89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Embedded Carbon per Vehicle.xlsx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25">
      <c r="A786" t="s">
        <v>508</v>
      </c>
      <c r="B786" t="s">
        <v>660</v>
      </c>
      <c r="C786" t="s">
        <v>663</v>
      </c>
      <c r="D786" t="s">
        <v>90</v>
      </c>
      <c r="G786" t="str">
        <f t="shared" si="26"/>
        <v>xlsx</v>
      </c>
      <c r="H786" s="5" t="str">
        <f>IFERROR(IF(B786="FoPITY",INDEX(Customizations!$C$2:$C$19,MATCH(Sheet1!C786,Customizations!$B$2:$B$19,0),1),INDEX(About!C:C,MATCH(Sheet1!B786,About!B:B,0),1)),"")</f>
        <v>Embedded Carbon per Vehicle.xlsx</v>
      </c>
      <c r="I786" s="5">
        <f>IFERROR(INDEX(About!$D:$D,MATCH(Sheet1!H786,About!$C:$C,0),1),0)</f>
        <v>1</v>
      </c>
      <c r="J786" s="6">
        <f t="shared" si="27"/>
        <v>0</v>
      </c>
    </row>
    <row r="787" spans="1:10" x14ac:dyDescent="0.25">
      <c r="A787" t="s">
        <v>508</v>
      </c>
      <c r="B787" t="s">
        <v>664</v>
      </c>
      <c r="C787" t="s">
        <v>665</v>
      </c>
      <c r="D787" t="s">
        <v>92</v>
      </c>
      <c r="G787" t="str">
        <f t="shared" si="26"/>
        <v>xlsx</v>
      </c>
      <c r="H787" s="5" t="str">
        <f>IFERROR(IF(B787="FoPITY",INDEX(Customizations!$C$2:$C$19,MATCH(Sheet1!C787,Customizations!$B$2:$B$19,0),1),INDEX(About!C:C,MATCH(Sheet1!B787,About!B:B,0),1)),"")</f>
        <v>Effect of Charging Stations on EV Market Share.xlsx</v>
      </c>
      <c r="I787" s="5">
        <f>IFERROR(INDEX(About!$D:$D,MATCH(Sheet1!H787,About!$C:$C,0),1),0)</f>
        <v>1</v>
      </c>
      <c r="J787" s="6">
        <f t="shared" si="27"/>
        <v>0</v>
      </c>
    </row>
    <row r="788" spans="1:10" x14ac:dyDescent="0.25">
      <c r="A788" t="s">
        <v>508</v>
      </c>
      <c r="B788" t="s">
        <v>664</v>
      </c>
      <c r="C788" t="s">
        <v>666</v>
      </c>
      <c r="D788" t="s">
        <v>93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Effect of Charging Stations on EV Market Share.xlsx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25">
      <c r="A789" t="s">
        <v>508</v>
      </c>
      <c r="B789" t="s">
        <v>667</v>
      </c>
      <c r="C789" t="s">
        <v>668</v>
      </c>
      <c r="D789" t="s">
        <v>953</v>
      </c>
      <c r="G789" t="str">
        <f t="shared" si="26"/>
        <v>xlsx</v>
      </c>
      <c r="H789" s="5" t="str">
        <f>IFERROR(IF(B789="FoPITY",INDEX(Customizations!$C$2:$C$19,MATCH(Sheet1!C789,Customizations!$B$2:$B$19,0),1),INDEX(About!C:C,MATCH(Sheet1!B789,About!B:B,0),1)),"")</f>
        <v>Elast of Demand for Veh Use wrt Fuel Cost.xlsx</v>
      </c>
      <c r="I789" s="5">
        <f>IFERROR(INDEX(About!$D:$D,MATCH(Sheet1!H789,About!$C:$C,0),1),0)</f>
        <v>1</v>
      </c>
      <c r="J789" s="6">
        <f t="shared" si="27"/>
        <v>0</v>
      </c>
    </row>
    <row r="790" spans="1:10" x14ac:dyDescent="0.25">
      <c r="A790" t="s">
        <v>508</v>
      </c>
      <c r="B790" t="s">
        <v>667</v>
      </c>
      <c r="C790" t="s">
        <v>669</v>
      </c>
      <c r="D790" t="s">
        <v>954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Elast of Demand for Veh Use wrt Fuel Cost.xlsx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25">
      <c r="A791" t="s">
        <v>508</v>
      </c>
      <c r="B791" t="s">
        <v>670</v>
      </c>
      <c r="C791" t="s">
        <v>671</v>
      </c>
      <c r="D791" t="s">
        <v>956</v>
      </c>
      <c r="G791" t="str">
        <f t="shared" si="26"/>
        <v>xlsx</v>
      </c>
      <c r="H791" s="5" t="str">
        <f>IFERROR(IF(B791="FoPITY",INDEX(Customizations!$C$2:$C$19,MATCH(Sheet1!C791,Customizations!$B$2:$B$19,0),1),INDEX(About!C:C,MATCH(Sheet1!B791,About!B:B,0),1)),"")</f>
        <v>Effect of Feebate on New Veh Fuel Econ.xlsx</v>
      </c>
      <c r="I791" s="5">
        <f>IFERROR(INDEX(About!$D:$D,MATCH(Sheet1!H791,About!$C:$C,0),1),0)</f>
        <v>1</v>
      </c>
      <c r="J791" s="6">
        <f t="shared" si="27"/>
        <v>0</v>
      </c>
    </row>
    <row r="792" spans="1:10" x14ac:dyDescent="0.25">
      <c r="A792" t="s">
        <v>508</v>
      </c>
      <c r="B792" t="s">
        <v>670</v>
      </c>
      <c r="C792" t="s">
        <v>672</v>
      </c>
      <c r="D792" t="s">
        <v>957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Effect of Feebate on New Veh Fuel Econ.xlsx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25">
      <c r="A793" t="s">
        <v>508</v>
      </c>
      <c r="B793" t="s">
        <v>673</v>
      </c>
      <c r="C793" t="s">
        <v>674</v>
      </c>
      <c r="D793" t="s">
        <v>958</v>
      </c>
      <c r="G793" t="str">
        <f t="shared" si="26"/>
        <v>xlsx</v>
      </c>
      <c r="H793" s="5" t="str">
        <f>IFERROR(IF(B793="FoPITY",INDEX(Customizations!$C$2:$C$19,MATCH(Sheet1!C793,Customizations!$B$2:$B$19,0),1),INDEX(About!C:C,MATCH(Sheet1!B793,About!B:B,0),1)),"")</f>
        <v>Elast of New Veh Fuel Econ wrt Fuel Cost.xlsx</v>
      </c>
      <c r="I793" s="5">
        <f>IFERROR(INDEX(About!$D:$D,MATCH(Sheet1!H793,About!$C:$C,0),1),0)</f>
        <v>1</v>
      </c>
      <c r="J793" s="6">
        <f t="shared" si="27"/>
        <v>0</v>
      </c>
    </row>
    <row r="794" spans="1:10" x14ac:dyDescent="0.25">
      <c r="A794" t="s">
        <v>508</v>
      </c>
      <c r="B794" t="s">
        <v>673</v>
      </c>
      <c r="C794" t="s">
        <v>675</v>
      </c>
      <c r="D794" t="s">
        <v>959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Elast of New Veh Fuel Econ wrt Fuel Cost.xlsx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25">
      <c r="A795" t="s">
        <v>508</v>
      </c>
      <c r="B795" t="s">
        <v>673</v>
      </c>
      <c r="C795" t="s">
        <v>676</v>
      </c>
      <c r="D795" t="s">
        <v>95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Elast of New Veh Fuel Econ wrt Fuel Cost.xlsx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25">
      <c r="A796" t="s">
        <v>508</v>
      </c>
      <c r="B796" t="s">
        <v>673</v>
      </c>
      <c r="C796" t="s">
        <v>677</v>
      </c>
      <c r="D796" t="s">
        <v>96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Elast of New Veh Fuel Econ wrt Fuel Cost.xlsx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25">
      <c r="A797" t="s">
        <v>508</v>
      </c>
      <c r="B797" t="s">
        <v>673</v>
      </c>
      <c r="C797" t="s">
        <v>678</v>
      </c>
      <c r="D797" t="s">
        <v>1313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Elast of New Veh Fuel Econ wrt Fuel Cost.xlsx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25">
      <c r="A798" t="s">
        <v>508</v>
      </c>
      <c r="B798" t="s">
        <v>673</v>
      </c>
      <c r="C798" t="s">
        <v>679</v>
      </c>
      <c r="D798" t="s">
        <v>1314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Elast of New Veh Fuel Econ wrt Fuel Cost.xlsx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25">
      <c r="A799" t="s">
        <v>508</v>
      </c>
      <c r="B799" t="s">
        <v>673</v>
      </c>
      <c r="C799" t="s">
        <v>680</v>
      </c>
      <c r="D799" t="s">
        <v>961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Elast of New Veh Fuel Econ wrt Fuel Cost.xlsx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25">
      <c r="A800" t="s">
        <v>508</v>
      </c>
      <c r="B800" t="s">
        <v>681</v>
      </c>
      <c r="C800" t="s">
        <v>682</v>
      </c>
      <c r="D800" t="s">
        <v>962</v>
      </c>
      <c r="G800" t="str">
        <f t="shared" si="26"/>
        <v>xlsx</v>
      </c>
      <c r="H800" s="5" t="str">
        <f>IFERROR(IF(B800="FoPITY",INDEX(Customizations!$C$2:$C$19,MATCH(Sheet1!C800,Customizations!$B$2:$B$19,0),1),INDEX(About!C:C,MATCH(Sheet1!B800,About!B:B,0),1)),"")</f>
        <v>Elasticity of Veh Price wrt Fuel Econ.xlsx</v>
      </c>
      <c r="I800" s="5">
        <f>IFERROR(INDEX(About!$D:$D,MATCH(Sheet1!H800,About!$C:$C,0),1),0)</f>
        <v>1</v>
      </c>
      <c r="J800" s="6">
        <f t="shared" si="27"/>
        <v>0</v>
      </c>
    </row>
    <row r="801" spans="1:10" x14ac:dyDescent="0.25">
      <c r="A801" t="s">
        <v>508</v>
      </c>
      <c r="B801" t="s">
        <v>681</v>
      </c>
      <c r="C801" t="s">
        <v>683</v>
      </c>
      <c r="D801" t="s">
        <v>963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Elasticity of Veh Price wrt Fuel Econ.xlsx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25">
      <c r="A802" t="s">
        <v>508</v>
      </c>
      <c r="B802" t="s">
        <v>1024</v>
      </c>
      <c r="C802" t="s">
        <v>1025</v>
      </c>
      <c r="D802" t="s">
        <v>964</v>
      </c>
      <c r="G802" t="str">
        <f t="shared" si="26"/>
        <v>xlsx</v>
      </c>
      <c r="H802" s="5" t="str">
        <f>IFERROR(IF(B802="FoPITY",INDEX(Customizations!$C$2:$C$19,MATCH(Sheet1!C802,Customizations!$B$2:$B$19,0),1),INDEX(About!C:C,MATCH(Sheet1!B802,About!B:B,0),1)),"")</f>
        <v>EV Charger Cost.xlsx</v>
      </c>
      <c r="I802" s="5">
        <f>IFERROR(INDEX(About!$D:$D,MATCH(Sheet1!H802,About!$C:$C,0),1),0)</f>
        <v>1</v>
      </c>
      <c r="J802" s="6">
        <f t="shared" si="27"/>
        <v>0</v>
      </c>
    </row>
    <row r="803" spans="1:10" x14ac:dyDescent="0.25">
      <c r="A803" t="s">
        <v>508</v>
      </c>
      <c r="B803" t="s">
        <v>1024</v>
      </c>
      <c r="C803" t="s">
        <v>1026</v>
      </c>
      <c r="D803" t="s">
        <v>966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EV Charger Cost.xlsx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25">
      <c r="A804" t="s">
        <v>508</v>
      </c>
      <c r="B804" t="s">
        <v>1126</v>
      </c>
      <c r="C804" t="s">
        <v>1127</v>
      </c>
      <c r="D804" t="s">
        <v>967</v>
      </c>
      <c r="G804" t="str">
        <f t="shared" si="26"/>
        <v>xlsx</v>
      </c>
      <c r="H804" s="5" t="str">
        <f>IFERROR(IF(B804="FoPITY",INDEX(Customizations!$C$2:$C$19,MATCH(Sheet1!C804,Customizations!$B$2:$B$19,0),1),INDEX(About!C:C,MATCH(Sheet1!B804,About!B:B,0),1)),"")</f>
        <v>EV Charger Revenue Share by Recip ISIC Code.xlsx</v>
      </c>
      <c r="I804" s="5">
        <f>IFERROR(INDEX(About!$D:$D,MATCH(Sheet1!H804,About!$C:$C,0),1),0)</f>
        <v>1</v>
      </c>
      <c r="J804" s="6">
        <f t="shared" si="27"/>
        <v>0</v>
      </c>
    </row>
    <row r="805" spans="1:10" x14ac:dyDescent="0.25">
      <c r="A805" t="s">
        <v>508</v>
      </c>
      <c r="B805" t="s">
        <v>1126</v>
      </c>
      <c r="C805" t="s">
        <v>1128</v>
      </c>
      <c r="D805" t="s">
        <v>910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EV Charger Revenue Share by Recip ISIC Code.xlsx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25">
      <c r="A806" t="s">
        <v>508</v>
      </c>
      <c r="B806" t="s">
        <v>684</v>
      </c>
      <c r="C806" t="s">
        <v>685</v>
      </c>
      <c r="D806" t="s">
        <v>911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Fraction of Veh Owned by Entity.xlsx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25">
      <c r="A807" t="s">
        <v>508</v>
      </c>
      <c r="B807" t="s">
        <v>684</v>
      </c>
      <c r="C807" t="s">
        <v>686</v>
      </c>
      <c r="D807" t="s">
        <v>99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Fraction of Veh Owned by Entity.xlsx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25">
      <c r="A808" t="s">
        <v>508</v>
      </c>
      <c r="B808" t="s">
        <v>684</v>
      </c>
      <c r="C808" t="s">
        <v>687</v>
      </c>
      <c r="D808" t="s">
        <v>100</v>
      </c>
      <c r="G808" t="str">
        <f t="shared" si="26"/>
        <v>xlsx</v>
      </c>
      <c r="H808" s="5" t="str">
        <f>IFERROR(IF(B808="FoPITY",INDEX(Customizations!$C$2:$C$19,MATCH(Sheet1!C808,Customizations!$B$2:$B$19,0),1),INDEX(About!C:C,MATCH(Sheet1!B808,About!B:B,0),1)),"")</f>
        <v>Fraction of Veh Owned by Entity.xlsx</v>
      </c>
      <c r="I808" s="5">
        <f>IFERROR(INDEX(About!$D:$D,MATCH(Sheet1!H808,About!$C:$C,0),1),0)</f>
        <v>1</v>
      </c>
      <c r="J808" s="6">
        <f t="shared" si="27"/>
        <v>0</v>
      </c>
    </row>
    <row r="809" spans="1:10" x14ac:dyDescent="0.25">
      <c r="A809" t="s">
        <v>508</v>
      </c>
      <c r="B809" t="s">
        <v>688</v>
      </c>
      <c r="C809" t="s">
        <v>689</v>
      </c>
      <c r="D809" t="s">
        <v>101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Grams CO2e Avoided per LCFS Credit.xlsx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25">
      <c r="A810" t="s">
        <v>508</v>
      </c>
      <c r="B810" t="s">
        <v>688</v>
      </c>
      <c r="C810" t="s">
        <v>690</v>
      </c>
      <c r="D810" t="s">
        <v>968</v>
      </c>
      <c r="G810" t="str">
        <f t="shared" si="26"/>
        <v>xlsx</v>
      </c>
      <c r="H810" s="5" t="str">
        <f>IFERROR(IF(B810="FoPITY",INDEX(Customizations!$C$2:$C$19,MATCH(Sheet1!C810,Customizations!$B$2:$B$19,0),1),INDEX(About!C:C,MATCH(Sheet1!B810,About!B:B,0),1)),"")</f>
        <v>Grams CO2e Avoided per LCFS Credit.xlsx</v>
      </c>
      <c r="I810" s="5">
        <f>IFERROR(INDEX(About!$D:$D,MATCH(Sheet1!H810,About!$C:$C,0),1),0)</f>
        <v>1</v>
      </c>
      <c r="J810" s="6">
        <f t="shared" si="27"/>
        <v>0</v>
      </c>
    </row>
    <row r="811" spans="1:10" x14ac:dyDescent="0.25">
      <c r="A811" t="s">
        <v>508</v>
      </c>
      <c r="B811" t="s">
        <v>691</v>
      </c>
      <c r="C811" t="s">
        <v>692</v>
      </c>
      <c r="D811" t="s">
        <v>913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Incremental Cost to Produce Substitute Fuel for LCFS.xlsx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25">
      <c r="A812" t="s">
        <v>508</v>
      </c>
      <c r="B812" t="s">
        <v>691</v>
      </c>
      <c r="C812" t="s">
        <v>693</v>
      </c>
      <c r="D812" t="s">
        <v>914</v>
      </c>
      <c r="G812" t="str">
        <f t="shared" si="26"/>
        <v>xlsx</v>
      </c>
      <c r="H812" s="5" t="str">
        <f>IFERROR(IF(B812="FoPITY",INDEX(Customizations!$C$2:$C$19,MATCH(Sheet1!C812,Customizations!$B$2:$B$19,0),1),INDEX(About!C:C,MATCH(Sheet1!B812,About!B:B,0),1)),"")</f>
        <v>Incremental Cost to Produce Substitute Fuel for LCFS.xlsx</v>
      </c>
      <c r="I812" s="5">
        <f>IFERROR(INDEX(About!$D:$D,MATCH(Sheet1!H812,About!$C:$C,0),1),0)</f>
        <v>1</v>
      </c>
      <c r="J812" s="6">
        <f t="shared" si="27"/>
        <v>0</v>
      </c>
    </row>
    <row r="813" spans="1:10" x14ac:dyDescent="0.25">
      <c r="A813" t="s">
        <v>508</v>
      </c>
      <c r="B813" t="s">
        <v>694</v>
      </c>
      <c r="C813" t="s">
        <v>695</v>
      </c>
      <c r="D813" t="s">
        <v>915</v>
      </c>
      <c r="G813" t="str">
        <f t="shared" si="26"/>
        <v>xlsx</v>
      </c>
      <c r="H813" s="5" t="str">
        <f>IFERROR(IF(B813="FoPITY",INDEX(Customizations!$C$2:$C$19,MATCH(Sheet1!C813,Customizations!$B$2:$B$19,0),1),INDEX(About!C:C,MATCH(Sheet1!B813,About!B:B,0),1)),"")</f>
        <v>LCFS Credit Price Cap.xlsx</v>
      </c>
      <c r="I813" s="5">
        <f>IFERROR(INDEX(About!$D:$D,MATCH(Sheet1!H813,About!$C:$C,0),1),0)</f>
        <v>1</v>
      </c>
      <c r="J813" s="6">
        <f t="shared" si="27"/>
        <v>0</v>
      </c>
    </row>
    <row r="814" spans="1:10" x14ac:dyDescent="0.25">
      <c r="A814" t="s">
        <v>508</v>
      </c>
      <c r="B814" t="s">
        <v>694</v>
      </c>
      <c r="C814" t="s">
        <v>696</v>
      </c>
      <c r="D814" t="s">
        <v>104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LCFS Credit Price Cap.xlsx</v>
      </c>
      <c r="I814" s="5">
        <f>IFERROR(INDEX(About!$D:$D,MATCH(Sheet1!H814,About!$C:$C,0),1),0)</f>
        <v>1</v>
      </c>
      <c r="J814" s="6">
        <f t="shared" si="27"/>
        <v>1</v>
      </c>
    </row>
    <row r="815" spans="1:10" x14ac:dyDescent="0.25">
      <c r="A815" t="s">
        <v>508</v>
      </c>
      <c r="B815" t="s">
        <v>697</v>
      </c>
      <c r="C815" t="s">
        <v>698</v>
      </c>
      <c r="D815" t="s">
        <v>105</v>
      </c>
      <c r="G815" t="str">
        <f t="shared" si="26"/>
        <v>xlsx</v>
      </c>
      <c r="H815" s="5" t="str">
        <f>IFERROR(IF(B815="FoPITY",INDEX(Customizations!$C$2:$C$19,MATCH(Sheet1!C815,Customizations!$B$2:$B$19,0),1),INDEX(About!C:C,MATCH(Sheet1!B815,About!B:B,0),1)),"")</f>
        <v>Max Perc New Veh by Technology.xlsx</v>
      </c>
      <c r="I815" s="5">
        <f>IFERROR(INDEX(About!$D:$D,MATCH(Sheet1!H815,About!$C:$C,0),1),0)</f>
        <v>1</v>
      </c>
      <c r="J815" s="6">
        <f t="shared" si="27"/>
        <v>0</v>
      </c>
    </row>
    <row r="816" spans="1:10" x14ac:dyDescent="0.25">
      <c r="A816" t="s">
        <v>508</v>
      </c>
      <c r="B816" t="s">
        <v>697</v>
      </c>
      <c r="C816" t="s">
        <v>699</v>
      </c>
      <c r="D816" t="s">
        <v>970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Max Perc New Veh by Technology.xlsx</v>
      </c>
      <c r="I816" s="5">
        <f>IFERROR(INDEX(About!$D:$D,MATCH(Sheet1!H816,About!$C:$C,0),1),0)</f>
        <v>1</v>
      </c>
      <c r="J816" s="6">
        <f t="shared" si="27"/>
        <v>1</v>
      </c>
    </row>
    <row r="817" spans="1:10" x14ac:dyDescent="0.25">
      <c r="A817" t="s">
        <v>508</v>
      </c>
      <c r="B817" t="s">
        <v>697</v>
      </c>
      <c r="C817" t="s">
        <v>700</v>
      </c>
      <c r="D817" t="s">
        <v>971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Max Perc New Veh by Technology.xlsx</v>
      </c>
      <c r="I817" s="5">
        <f>IFERROR(INDEX(About!$D:$D,MATCH(Sheet1!H817,About!$C:$C,0),1),0)</f>
        <v>1</v>
      </c>
      <c r="J817" s="6">
        <f t="shared" si="27"/>
        <v>1</v>
      </c>
    </row>
    <row r="818" spans="1:10" x14ac:dyDescent="0.25">
      <c r="A818" t="s">
        <v>508</v>
      </c>
      <c r="B818" t="s">
        <v>697</v>
      </c>
      <c r="C818" t="s">
        <v>701</v>
      </c>
      <c r="D818" t="s">
        <v>976</v>
      </c>
      <c r="G818" t="str">
        <f t="shared" ref="G818:G881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Max Perc New Veh by Technology.xlsx</v>
      </c>
      <c r="I818" s="5">
        <f>IFERROR(INDEX(About!$D:$D,MATCH(Sheet1!H818,About!$C:$C,0),1),0)</f>
        <v>1</v>
      </c>
      <c r="J818" s="6">
        <f t="shared" ref="J818:J881" si="29">IF(G818=".csv",1,0)*I818</f>
        <v>1</v>
      </c>
    </row>
    <row r="819" spans="1:10" x14ac:dyDescent="0.25">
      <c r="A819" t="s">
        <v>508</v>
      </c>
      <c r="B819" t="s">
        <v>697</v>
      </c>
      <c r="C819" t="s">
        <v>702</v>
      </c>
      <c r="D819" t="s">
        <v>977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New Veh by Technology.xlsx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508</v>
      </c>
      <c r="B820" t="s">
        <v>697</v>
      </c>
      <c r="C820" t="s">
        <v>703</v>
      </c>
      <c r="D820" t="s">
        <v>475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New Veh by Technology.xlsx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508</v>
      </c>
      <c r="B821" t="s">
        <v>697</v>
      </c>
      <c r="C821" t="s">
        <v>704</v>
      </c>
      <c r="D821" t="s">
        <v>476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New Veh by Technology.xlsx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508</v>
      </c>
      <c r="B822" t="s">
        <v>697</v>
      </c>
      <c r="C822" t="s">
        <v>705</v>
      </c>
      <c r="D822" t="s">
        <v>973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New Veh by Technology.xlsx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508</v>
      </c>
      <c r="B823" t="s">
        <v>697</v>
      </c>
      <c r="C823" t="s">
        <v>706</v>
      </c>
      <c r="D823" t="s">
        <v>974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New Veh by Technology.xlsx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508</v>
      </c>
      <c r="B824" t="s">
        <v>697</v>
      </c>
      <c r="C824" t="s">
        <v>707</v>
      </c>
      <c r="D824" t="s">
        <v>478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New Veh by Technology.xlsx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25">
      <c r="A825" t="s">
        <v>508</v>
      </c>
      <c r="B825" t="s">
        <v>697</v>
      </c>
      <c r="C825" t="s">
        <v>708</v>
      </c>
      <c r="D825" t="s">
        <v>479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New Veh by Technology.xlsx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508</v>
      </c>
      <c r="B826" t="s">
        <v>697</v>
      </c>
      <c r="C826" t="s">
        <v>709</v>
      </c>
      <c r="D826" t="s">
        <v>480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New Veh by Technology.xlsx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508</v>
      </c>
      <c r="B827" t="s">
        <v>697</v>
      </c>
      <c r="C827" t="s">
        <v>710</v>
      </c>
      <c r="D827" t="s">
        <v>918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New Veh by Technology.xlsx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508</v>
      </c>
      <c r="B828" t="s">
        <v>711</v>
      </c>
      <c r="C828" t="s">
        <v>712</v>
      </c>
      <c r="D828" t="s">
        <v>482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1</v>
      </c>
      <c r="J828" s="6">
        <f t="shared" si="29"/>
        <v>0</v>
      </c>
    </row>
    <row r="829" spans="1:10" x14ac:dyDescent="0.25">
      <c r="A829" t="s">
        <v>508</v>
      </c>
      <c r="B829" t="s">
        <v>711</v>
      </c>
      <c r="C829" t="s">
        <v>713</v>
      </c>
      <c r="D829" t="s">
        <v>483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508</v>
      </c>
      <c r="B830" t="s">
        <v>711</v>
      </c>
      <c r="C830" t="s">
        <v>714</v>
      </c>
      <c r="D830" t="s">
        <v>485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508</v>
      </c>
      <c r="B831" t="s">
        <v>711</v>
      </c>
      <c r="C831" t="s">
        <v>715</v>
      </c>
      <c r="D831" t="s">
        <v>486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508</v>
      </c>
      <c r="B832" t="s">
        <v>711</v>
      </c>
      <c r="C832" t="s">
        <v>716</v>
      </c>
      <c r="D832" t="s">
        <v>920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508</v>
      </c>
      <c r="B833" t="s">
        <v>711</v>
      </c>
      <c r="C833" t="s">
        <v>717</v>
      </c>
      <c r="D833" t="s">
        <v>921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25">
      <c r="A834" t="s">
        <v>508</v>
      </c>
      <c r="B834" t="s">
        <v>711</v>
      </c>
      <c r="C834" t="s">
        <v>718</v>
      </c>
      <c r="D834" t="s">
        <v>923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508</v>
      </c>
      <c r="B835" t="s">
        <v>711</v>
      </c>
      <c r="C835" t="s">
        <v>719</v>
      </c>
      <c r="D835" t="s">
        <v>924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508</v>
      </c>
      <c r="B836" t="s">
        <v>711</v>
      </c>
      <c r="C836" t="s">
        <v>720</v>
      </c>
      <c r="D836" t="s">
        <v>925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1</v>
      </c>
      <c r="J836" s="6">
        <f t="shared" si="29"/>
        <v>1</v>
      </c>
    </row>
    <row r="837" spans="1:10" x14ac:dyDescent="0.25">
      <c r="A837" t="s">
        <v>508</v>
      </c>
      <c r="B837" t="s">
        <v>711</v>
      </c>
      <c r="C837" t="s">
        <v>721</v>
      </c>
      <c r="D837" t="s">
        <v>1034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1</v>
      </c>
      <c r="J837" s="6">
        <f t="shared" si="29"/>
        <v>1</v>
      </c>
    </row>
    <row r="838" spans="1:10" x14ac:dyDescent="0.25">
      <c r="A838" t="s">
        <v>508</v>
      </c>
      <c r="B838" t="s">
        <v>711</v>
      </c>
      <c r="C838" t="s">
        <v>722</v>
      </c>
      <c r="D838" t="s">
        <v>1111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1</v>
      </c>
      <c r="J838" s="6">
        <f t="shared" si="29"/>
        <v>1</v>
      </c>
    </row>
    <row r="839" spans="1:10" x14ac:dyDescent="0.25">
      <c r="A839" t="s">
        <v>508</v>
      </c>
      <c r="B839" t="s">
        <v>711</v>
      </c>
      <c r="C839" t="s">
        <v>723</v>
      </c>
      <c r="D839" t="s">
        <v>1112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1</v>
      </c>
      <c r="J839" s="6">
        <f t="shared" si="29"/>
        <v>1</v>
      </c>
    </row>
    <row r="840" spans="1:10" x14ac:dyDescent="0.25">
      <c r="A840" t="s">
        <v>508</v>
      </c>
      <c r="B840" t="s">
        <v>711</v>
      </c>
      <c r="C840" t="s">
        <v>724</v>
      </c>
      <c r="D840" t="s">
        <v>1113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1</v>
      </c>
      <c r="J840" s="6">
        <f t="shared" si="29"/>
        <v>1</v>
      </c>
    </row>
    <row r="841" spans="1:10" x14ac:dyDescent="0.25">
      <c r="A841" t="s">
        <v>508</v>
      </c>
      <c r="B841" t="s">
        <v>711</v>
      </c>
      <c r="C841" t="s">
        <v>725</v>
      </c>
      <c r="D841" t="s">
        <v>1114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1</v>
      </c>
      <c r="J841" s="6">
        <f t="shared" si="29"/>
        <v>1</v>
      </c>
    </row>
    <row r="842" spans="1:10" x14ac:dyDescent="0.25">
      <c r="A842" t="s">
        <v>508</v>
      </c>
      <c r="B842" t="s">
        <v>711</v>
      </c>
      <c r="C842" t="s">
        <v>726</v>
      </c>
      <c r="D842" t="s">
        <v>1115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1</v>
      </c>
      <c r="J842" s="6">
        <f t="shared" si="29"/>
        <v>1</v>
      </c>
    </row>
    <row r="843" spans="1:10" x14ac:dyDescent="0.25">
      <c r="A843" t="s">
        <v>508</v>
      </c>
      <c r="B843" t="s">
        <v>711</v>
      </c>
      <c r="C843" t="s">
        <v>727</v>
      </c>
      <c r="D843" t="s">
        <v>1116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1</v>
      </c>
      <c r="J843" s="6">
        <f t="shared" si="29"/>
        <v>1</v>
      </c>
    </row>
    <row r="844" spans="1:10" x14ac:dyDescent="0.25">
      <c r="A844" t="s">
        <v>508</v>
      </c>
      <c r="B844" t="s">
        <v>711</v>
      </c>
      <c r="C844" t="s">
        <v>728</v>
      </c>
      <c r="D844" t="s">
        <v>1117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1</v>
      </c>
      <c r="J844" s="6">
        <f t="shared" si="29"/>
        <v>1</v>
      </c>
    </row>
    <row r="845" spans="1:10" x14ac:dyDescent="0.25">
      <c r="A845" t="s">
        <v>508</v>
      </c>
      <c r="B845" t="s">
        <v>711</v>
      </c>
      <c r="C845" t="s">
        <v>729</v>
      </c>
      <c r="D845" t="s">
        <v>1118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1</v>
      </c>
      <c r="J845" s="6">
        <f t="shared" si="29"/>
        <v>1</v>
      </c>
    </row>
    <row r="846" spans="1:10" x14ac:dyDescent="0.25">
      <c r="A846" t="s">
        <v>508</v>
      </c>
      <c r="B846" t="s">
        <v>711</v>
      </c>
      <c r="C846" t="s">
        <v>730</v>
      </c>
      <c r="D846" t="s">
        <v>1119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1</v>
      </c>
      <c r="J846" s="6">
        <f t="shared" si="29"/>
        <v>1</v>
      </c>
    </row>
    <row r="847" spans="1:10" x14ac:dyDescent="0.25">
      <c r="A847" t="s">
        <v>508</v>
      </c>
      <c r="B847" t="s">
        <v>711</v>
      </c>
      <c r="C847" t="s">
        <v>731</v>
      </c>
      <c r="D847" t="s">
        <v>976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1</v>
      </c>
      <c r="J847" s="6">
        <f t="shared" si="29"/>
        <v>1</v>
      </c>
    </row>
    <row r="848" spans="1:10" x14ac:dyDescent="0.25">
      <c r="A848" t="s">
        <v>508</v>
      </c>
      <c r="B848" t="s">
        <v>711</v>
      </c>
      <c r="C848" t="s">
        <v>732</v>
      </c>
      <c r="D848" t="s">
        <v>977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1</v>
      </c>
      <c r="J848" s="6">
        <f t="shared" si="29"/>
        <v>1</v>
      </c>
    </row>
    <row r="849" spans="1:10" x14ac:dyDescent="0.25">
      <c r="A849" t="s">
        <v>508</v>
      </c>
      <c r="B849" t="s">
        <v>711</v>
      </c>
      <c r="C849" t="s">
        <v>733</v>
      </c>
      <c r="D849" t="s">
        <v>108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1</v>
      </c>
      <c r="J849" s="6">
        <f t="shared" si="29"/>
        <v>1</v>
      </c>
    </row>
    <row r="850" spans="1:10" x14ac:dyDescent="0.25">
      <c r="A850" t="s">
        <v>508</v>
      </c>
      <c r="B850" t="s">
        <v>711</v>
      </c>
      <c r="C850" t="s">
        <v>734</v>
      </c>
      <c r="D850" t="s">
        <v>109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1</v>
      </c>
      <c r="J850" s="6">
        <f t="shared" si="29"/>
        <v>1</v>
      </c>
    </row>
    <row r="851" spans="1:10" x14ac:dyDescent="0.25">
      <c r="A851" t="s">
        <v>508</v>
      </c>
      <c r="B851" t="s">
        <v>711</v>
      </c>
      <c r="C851" t="s">
        <v>735</v>
      </c>
      <c r="D851" t="s">
        <v>111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1</v>
      </c>
      <c r="J851" s="6">
        <f t="shared" si="29"/>
        <v>1</v>
      </c>
    </row>
    <row r="852" spans="1:10" x14ac:dyDescent="0.25">
      <c r="A852" t="s">
        <v>508</v>
      </c>
      <c r="B852" t="s">
        <v>711</v>
      </c>
      <c r="C852" t="s">
        <v>736</v>
      </c>
      <c r="D852" t="s">
        <v>112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1</v>
      </c>
      <c r="J852" s="6">
        <f t="shared" si="29"/>
        <v>1</v>
      </c>
    </row>
    <row r="853" spans="1:10" x14ac:dyDescent="0.25">
      <c r="A853" t="s">
        <v>508</v>
      </c>
      <c r="B853" t="s">
        <v>711</v>
      </c>
      <c r="C853" t="s">
        <v>737</v>
      </c>
      <c r="D853" t="s">
        <v>114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1</v>
      </c>
      <c r="J853" s="6">
        <f t="shared" si="29"/>
        <v>1</v>
      </c>
    </row>
    <row r="854" spans="1:10" x14ac:dyDescent="0.25">
      <c r="A854" t="s">
        <v>508</v>
      </c>
      <c r="B854" t="s">
        <v>711</v>
      </c>
      <c r="C854" t="s">
        <v>738</v>
      </c>
      <c r="D854" t="s">
        <v>115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1</v>
      </c>
      <c r="J854" s="6">
        <f t="shared" si="29"/>
        <v>1</v>
      </c>
    </row>
    <row r="855" spans="1:10" x14ac:dyDescent="0.25">
      <c r="A855" t="s">
        <v>508</v>
      </c>
      <c r="B855" t="s">
        <v>711</v>
      </c>
      <c r="C855" t="s">
        <v>739</v>
      </c>
      <c r="D855" t="s">
        <v>117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1</v>
      </c>
      <c r="J855" s="6">
        <f t="shared" si="29"/>
        <v>1</v>
      </c>
    </row>
    <row r="856" spans="1:10" x14ac:dyDescent="0.25">
      <c r="A856" t="s">
        <v>508</v>
      </c>
      <c r="B856" t="s">
        <v>711</v>
      </c>
      <c r="C856" t="s">
        <v>740</v>
      </c>
      <c r="D856" t="s">
        <v>118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1</v>
      </c>
      <c r="J856" s="6">
        <f t="shared" si="29"/>
        <v>1</v>
      </c>
    </row>
    <row r="857" spans="1:10" x14ac:dyDescent="0.25">
      <c r="A857" t="s">
        <v>508</v>
      </c>
      <c r="B857" t="s">
        <v>711</v>
      </c>
      <c r="C857" t="s">
        <v>741</v>
      </c>
      <c r="D857" t="s">
        <v>121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1</v>
      </c>
      <c r="J857" s="6">
        <f t="shared" si="29"/>
        <v>1</v>
      </c>
    </row>
    <row r="858" spans="1:10" x14ac:dyDescent="0.25">
      <c r="A858" t="s">
        <v>508</v>
      </c>
      <c r="B858" t="s">
        <v>711</v>
      </c>
      <c r="C858" t="s">
        <v>742</v>
      </c>
      <c r="D858" t="s">
        <v>122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1</v>
      </c>
      <c r="J858" s="6">
        <f t="shared" si="29"/>
        <v>1</v>
      </c>
    </row>
    <row r="859" spans="1:10" x14ac:dyDescent="0.25">
      <c r="A859" t="s">
        <v>508</v>
      </c>
      <c r="B859" t="s">
        <v>711</v>
      </c>
      <c r="C859" t="s">
        <v>743</v>
      </c>
      <c r="D859" t="s">
        <v>124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1</v>
      </c>
      <c r="J859" s="6">
        <f t="shared" si="29"/>
        <v>1</v>
      </c>
    </row>
    <row r="860" spans="1:10" x14ac:dyDescent="0.25">
      <c r="A860" t="s">
        <v>508</v>
      </c>
      <c r="B860" t="s">
        <v>711</v>
      </c>
      <c r="C860" t="s">
        <v>744</v>
      </c>
      <c r="D860" t="s">
        <v>978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1</v>
      </c>
      <c r="J860" s="6">
        <f t="shared" si="29"/>
        <v>1</v>
      </c>
    </row>
    <row r="861" spans="1:10" x14ac:dyDescent="0.25">
      <c r="A861" t="s">
        <v>508</v>
      </c>
      <c r="B861" t="s">
        <v>711</v>
      </c>
      <c r="C861" t="s">
        <v>745</v>
      </c>
      <c r="D861" t="s">
        <v>125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1</v>
      </c>
      <c r="J861" s="6">
        <f t="shared" si="29"/>
        <v>1</v>
      </c>
    </row>
    <row r="862" spans="1:10" x14ac:dyDescent="0.25">
      <c r="A862" t="s">
        <v>508</v>
      </c>
      <c r="B862" t="s">
        <v>711</v>
      </c>
      <c r="C862" t="s">
        <v>746</v>
      </c>
      <c r="D862" t="s">
        <v>127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1</v>
      </c>
      <c r="J862" s="6">
        <f t="shared" si="29"/>
        <v>1</v>
      </c>
    </row>
    <row r="863" spans="1:10" x14ac:dyDescent="0.25">
      <c r="A863" t="s">
        <v>508</v>
      </c>
      <c r="B863" t="s">
        <v>711</v>
      </c>
      <c r="C863" t="s">
        <v>747</v>
      </c>
      <c r="D863" t="s">
        <v>128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1</v>
      </c>
      <c r="J863" s="6">
        <f t="shared" si="29"/>
        <v>1</v>
      </c>
    </row>
    <row r="864" spans="1:10" x14ac:dyDescent="0.25">
      <c r="A864" t="s">
        <v>508</v>
      </c>
      <c r="B864" t="s">
        <v>711</v>
      </c>
      <c r="C864" t="s">
        <v>748</v>
      </c>
      <c r="D864" t="s">
        <v>130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1</v>
      </c>
      <c r="J864" s="6">
        <f t="shared" si="29"/>
        <v>1</v>
      </c>
    </row>
    <row r="865" spans="1:10" x14ac:dyDescent="0.25">
      <c r="A865" t="s">
        <v>508</v>
      </c>
      <c r="B865" t="s">
        <v>711</v>
      </c>
      <c r="C865" t="s">
        <v>749</v>
      </c>
      <c r="D865" t="s">
        <v>131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1</v>
      </c>
      <c r="J865" s="6">
        <f t="shared" si="29"/>
        <v>1</v>
      </c>
    </row>
    <row r="866" spans="1:10" x14ac:dyDescent="0.25">
      <c r="A866" t="s">
        <v>508</v>
      </c>
      <c r="B866" t="s">
        <v>711</v>
      </c>
      <c r="C866" t="s">
        <v>750</v>
      </c>
      <c r="D866" t="s">
        <v>133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1</v>
      </c>
      <c r="J866" s="6">
        <f t="shared" si="29"/>
        <v>1</v>
      </c>
    </row>
    <row r="867" spans="1:10" x14ac:dyDescent="0.25">
      <c r="A867" t="s">
        <v>508</v>
      </c>
      <c r="B867" t="s">
        <v>711</v>
      </c>
      <c r="C867" t="s">
        <v>751</v>
      </c>
      <c r="D867" t="s">
        <v>134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1</v>
      </c>
      <c r="J867" s="6">
        <f t="shared" si="29"/>
        <v>1</v>
      </c>
    </row>
    <row r="868" spans="1:10" x14ac:dyDescent="0.25">
      <c r="A868" t="s">
        <v>508</v>
      </c>
      <c r="B868" t="s">
        <v>711</v>
      </c>
      <c r="C868" t="s">
        <v>752</v>
      </c>
      <c r="D868" t="s">
        <v>136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1</v>
      </c>
      <c r="J868" s="6">
        <f t="shared" si="29"/>
        <v>1</v>
      </c>
    </row>
    <row r="869" spans="1:10" x14ac:dyDescent="0.25">
      <c r="A869" t="s">
        <v>508</v>
      </c>
      <c r="B869" t="s">
        <v>711</v>
      </c>
      <c r="C869" t="s">
        <v>753</v>
      </c>
      <c r="D869" t="s">
        <v>137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1</v>
      </c>
      <c r="J869" s="6">
        <f t="shared" si="29"/>
        <v>1</v>
      </c>
    </row>
    <row r="870" spans="1:10" x14ac:dyDescent="0.25">
      <c r="A870" t="s">
        <v>508</v>
      </c>
      <c r="B870" t="s">
        <v>711</v>
      </c>
      <c r="C870" t="s">
        <v>754</v>
      </c>
      <c r="D870" t="s">
        <v>138</v>
      </c>
      <c r="G870" t="str">
        <f t="shared" si="28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1</v>
      </c>
      <c r="J870" s="6">
        <f t="shared" si="29"/>
        <v>1</v>
      </c>
    </row>
    <row r="871" spans="1:10" x14ac:dyDescent="0.25">
      <c r="A871" t="s">
        <v>508</v>
      </c>
      <c r="B871" t="s">
        <v>711</v>
      </c>
      <c r="C871" t="s">
        <v>755</v>
      </c>
      <c r="D871" t="s">
        <v>139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1</v>
      </c>
      <c r="J871" s="6">
        <f t="shared" si="29"/>
        <v>1</v>
      </c>
    </row>
    <row r="872" spans="1:10" x14ac:dyDescent="0.25">
      <c r="A872" t="s">
        <v>508</v>
      </c>
      <c r="B872" t="s">
        <v>711</v>
      </c>
      <c r="C872" t="s">
        <v>756</v>
      </c>
      <c r="D872" t="s">
        <v>141</v>
      </c>
      <c r="G872" t="str">
        <f t="shared" si="28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1</v>
      </c>
      <c r="J872" s="6">
        <f t="shared" si="29"/>
        <v>1</v>
      </c>
    </row>
    <row r="873" spans="1:10" x14ac:dyDescent="0.25">
      <c r="A873" t="s">
        <v>508</v>
      </c>
      <c r="B873" t="s">
        <v>711</v>
      </c>
      <c r="C873" t="s">
        <v>757</v>
      </c>
      <c r="D873" t="s">
        <v>142</v>
      </c>
      <c r="G873" t="str">
        <f t="shared" si="28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1</v>
      </c>
      <c r="J873" s="6">
        <f t="shared" si="29"/>
        <v>1</v>
      </c>
    </row>
    <row r="874" spans="1:10" x14ac:dyDescent="0.25">
      <c r="A874" t="s">
        <v>508</v>
      </c>
      <c r="B874" t="s">
        <v>711</v>
      </c>
      <c r="C874" t="s">
        <v>758</v>
      </c>
      <c r="D874" t="s">
        <v>144</v>
      </c>
      <c r="G874" t="str">
        <f t="shared" si="28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1</v>
      </c>
      <c r="J874" s="6">
        <f t="shared" si="29"/>
        <v>1</v>
      </c>
    </row>
    <row r="875" spans="1:10" x14ac:dyDescent="0.25">
      <c r="A875" t="s">
        <v>508</v>
      </c>
      <c r="B875" t="s">
        <v>711</v>
      </c>
      <c r="C875" t="s">
        <v>759</v>
      </c>
      <c r="D875" t="s">
        <v>145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1</v>
      </c>
      <c r="J875" s="6">
        <f t="shared" si="29"/>
        <v>1</v>
      </c>
    </row>
    <row r="876" spans="1:10" x14ac:dyDescent="0.25">
      <c r="A876" t="s">
        <v>508</v>
      </c>
      <c r="B876" t="s">
        <v>711</v>
      </c>
      <c r="C876" t="s">
        <v>760</v>
      </c>
      <c r="D876" t="s">
        <v>147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1</v>
      </c>
      <c r="J876" s="6">
        <f t="shared" si="29"/>
        <v>1</v>
      </c>
    </row>
    <row r="877" spans="1:10" x14ac:dyDescent="0.25">
      <c r="A877" t="s">
        <v>508</v>
      </c>
      <c r="B877" t="s">
        <v>711</v>
      </c>
      <c r="C877" t="s">
        <v>761</v>
      </c>
      <c r="D877" t="s">
        <v>148</v>
      </c>
      <c r="G877" t="str">
        <f t="shared" si="28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1</v>
      </c>
      <c r="J877" s="6">
        <f t="shared" si="29"/>
        <v>1</v>
      </c>
    </row>
    <row r="878" spans="1:10" x14ac:dyDescent="0.25">
      <c r="A878" t="s">
        <v>508</v>
      </c>
      <c r="B878" t="s">
        <v>711</v>
      </c>
      <c r="C878" t="s">
        <v>762</v>
      </c>
      <c r="D878" t="s">
        <v>150</v>
      </c>
      <c r="G878" t="str">
        <f t="shared" si="28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1</v>
      </c>
      <c r="J878" s="6">
        <f t="shared" si="29"/>
        <v>1</v>
      </c>
    </row>
    <row r="879" spans="1:10" x14ac:dyDescent="0.25">
      <c r="A879" t="s">
        <v>508</v>
      </c>
      <c r="B879" t="s">
        <v>711</v>
      </c>
      <c r="C879" t="s">
        <v>763</v>
      </c>
      <c r="D879" t="s">
        <v>151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1</v>
      </c>
      <c r="J879" s="6">
        <f t="shared" si="29"/>
        <v>1</v>
      </c>
    </row>
    <row r="880" spans="1:10" x14ac:dyDescent="0.25">
      <c r="A880" t="s">
        <v>508</v>
      </c>
      <c r="B880" t="s">
        <v>711</v>
      </c>
      <c r="C880" t="s">
        <v>764</v>
      </c>
      <c r="D880" t="s">
        <v>152</v>
      </c>
      <c r="G880" t="str">
        <f t="shared" si="28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1</v>
      </c>
      <c r="J880" s="6">
        <f t="shared" si="29"/>
        <v>1</v>
      </c>
    </row>
    <row r="881" spans="1:10" x14ac:dyDescent="0.25">
      <c r="A881" t="s">
        <v>508</v>
      </c>
      <c r="B881" t="s">
        <v>711</v>
      </c>
      <c r="C881" t="s">
        <v>765</v>
      </c>
      <c r="D881" t="s">
        <v>154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1</v>
      </c>
      <c r="J881" s="6">
        <f t="shared" si="29"/>
        <v>1</v>
      </c>
    </row>
    <row r="882" spans="1:10" x14ac:dyDescent="0.25">
      <c r="A882" t="s">
        <v>508</v>
      </c>
      <c r="B882" t="s">
        <v>711</v>
      </c>
      <c r="C882" t="s">
        <v>766</v>
      </c>
      <c r="D882" t="s">
        <v>155</v>
      </c>
      <c r="G882" t="str">
        <f t="shared" ref="G882:G945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1</v>
      </c>
      <c r="J882" s="6">
        <f t="shared" ref="J882:J945" si="31">IF(G882=".csv",1,0)*I882</f>
        <v>1</v>
      </c>
    </row>
    <row r="883" spans="1:10" x14ac:dyDescent="0.25">
      <c r="A883" t="s">
        <v>508</v>
      </c>
      <c r="B883" t="s">
        <v>711</v>
      </c>
      <c r="C883" t="s">
        <v>767</v>
      </c>
      <c r="D883" t="s">
        <v>157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1</v>
      </c>
      <c r="J883" s="6">
        <f t="shared" si="31"/>
        <v>1</v>
      </c>
    </row>
    <row r="884" spans="1:10" x14ac:dyDescent="0.25">
      <c r="A884" t="s">
        <v>508</v>
      </c>
      <c r="B884" t="s">
        <v>711</v>
      </c>
      <c r="C884" t="s">
        <v>768</v>
      </c>
      <c r="D884" t="s">
        <v>158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1</v>
      </c>
      <c r="J884" s="6">
        <f t="shared" si="31"/>
        <v>1</v>
      </c>
    </row>
    <row r="885" spans="1:10" x14ac:dyDescent="0.25">
      <c r="A885" t="s">
        <v>508</v>
      </c>
      <c r="B885" t="s">
        <v>711</v>
      </c>
      <c r="C885" t="s">
        <v>769</v>
      </c>
      <c r="D885" t="s">
        <v>160</v>
      </c>
      <c r="G885" t="str">
        <f t="shared" si="30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1</v>
      </c>
      <c r="J885" s="6">
        <f t="shared" si="31"/>
        <v>1</v>
      </c>
    </row>
    <row r="886" spans="1:10" x14ac:dyDescent="0.25">
      <c r="A886" t="s">
        <v>508</v>
      </c>
      <c r="B886" t="s">
        <v>711</v>
      </c>
      <c r="C886" t="s">
        <v>770</v>
      </c>
      <c r="D886" t="s">
        <v>161</v>
      </c>
      <c r="G886" t="str">
        <f t="shared" si="30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1</v>
      </c>
      <c r="J886" s="6">
        <f t="shared" si="31"/>
        <v>1</v>
      </c>
    </row>
    <row r="887" spans="1:10" x14ac:dyDescent="0.25">
      <c r="A887" t="s">
        <v>508</v>
      </c>
      <c r="B887" t="s">
        <v>711</v>
      </c>
      <c r="C887" t="s">
        <v>771</v>
      </c>
      <c r="D887" t="s">
        <v>163</v>
      </c>
      <c r="G887" t="str">
        <f t="shared" si="30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1</v>
      </c>
      <c r="J887" s="6">
        <f t="shared" si="31"/>
        <v>1</v>
      </c>
    </row>
    <row r="888" spans="1:10" x14ac:dyDescent="0.25">
      <c r="A888" t="s">
        <v>508</v>
      </c>
      <c r="B888" t="s">
        <v>711</v>
      </c>
      <c r="C888" t="s">
        <v>772</v>
      </c>
      <c r="D888" t="s">
        <v>164</v>
      </c>
      <c r="G888" t="str">
        <f t="shared" si="30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1</v>
      </c>
      <c r="J888" s="6">
        <f t="shared" si="31"/>
        <v>1</v>
      </c>
    </row>
    <row r="889" spans="1:10" x14ac:dyDescent="0.25">
      <c r="A889" t="s">
        <v>508</v>
      </c>
      <c r="B889" t="s">
        <v>711</v>
      </c>
      <c r="C889" t="s">
        <v>773</v>
      </c>
      <c r="D889" t="s">
        <v>166</v>
      </c>
      <c r="G889" t="str">
        <f t="shared" si="30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1</v>
      </c>
      <c r="J889" s="6">
        <f t="shared" si="31"/>
        <v>1</v>
      </c>
    </row>
    <row r="890" spans="1:10" x14ac:dyDescent="0.25">
      <c r="A890" t="s">
        <v>508</v>
      </c>
      <c r="B890" t="s">
        <v>711</v>
      </c>
      <c r="C890" t="s">
        <v>774</v>
      </c>
      <c r="D890" t="s">
        <v>167</v>
      </c>
      <c r="G890" t="str">
        <f t="shared" si="30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1</v>
      </c>
      <c r="J890" s="6">
        <f t="shared" si="31"/>
        <v>1</v>
      </c>
    </row>
    <row r="891" spans="1:10" x14ac:dyDescent="0.25">
      <c r="A891" t="s">
        <v>508</v>
      </c>
      <c r="B891" t="s">
        <v>711</v>
      </c>
      <c r="C891" t="s">
        <v>775</v>
      </c>
      <c r="D891" t="s">
        <v>169</v>
      </c>
      <c r="G891" t="str">
        <f t="shared" si="30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1</v>
      </c>
      <c r="J891" s="6">
        <f t="shared" si="31"/>
        <v>1</v>
      </c>
    </row>
    <row r="892" spans="1:10" x14ac:dyDescent="0.25">
      <c r="A892" t="s">
        <v>508</v>
      </c>
      <c r="B892" t="s">
        <v>711</v>
      </c>
      <c r="C892" t="s">
        <v>776</v>
      </c>
      <c r="D892" t="s">
        <v>170</v>
      </c>
      <c r="G892" t="str">
        <f t="shared" si="30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1</v>
      </c>
      <c r="J892" s="6">
        <f t="shared" si="31"/>
        <v>1</v>
      </c>
    </row>
    <row r="893" spans="1:10" x14ac:dyDescent="0.25">
      <c r="A893" t="s">
        <v>508</v>
      </c>
      <c r="B893" t="s">
        <v>711</v>
      </c>
      <c r="C893" t="s">
        <v>777</v>
      </c>
      <c r="D893" t="s">
        <v>171</v>
      </c>
      <c r="G893" t="str">
        <f t="shared" si="30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1</v>
      </c>
      <c r="J893" s="6">
        <f t="shared" si="31"/>
        <v>1</v>
      </c>
    </row>
    <row r="894" spans="1:10" x14ac:dyDescent="0.25">
      <c r="A894" t="s">
        <v>508</v>
      </c>
      <c r="B894" t="s">
        <v>711</v>
      </c>
      <c r="C894" t="s">
        <v>778</v>
      </c>
      <c r="D894" t="s">
        <v>1035</v>
      </c>
      <c r="G894" t="str">
        <f t="shared" si="30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1</v>
      </c>
      <c r="J894" s="6">
        <f t="shared" si="31"/>
        <v>1</v>
      </c>
    </row>
    <row r="895" spans="1:10" x14ac:dyDescent="0.25">
      <c r="A895" t="s">
        <v>508</v>
      </c>
      <c r="B895" t="s">
        <v>711</v>
      </c>
      <c r="C895" t="s">
        <v>779</v>
      </c>
      <c r="D895" t="s">
        <v>172</v>
      </c>
      <c r="G895" t="str">
        <f t="shared" si="30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1</v>
      </c>
      <c r="J895" s="6">
        <f t="shared" si="31"/>
        <v>1</v>
      </c>
    </row>
    <row r="896" spans="1:10" x14ac:dyDescent="0.25">
      <c r="A896" t="s">
        <v>508</v>
      </c>
      <c r="B896" t="s">
        <v>711</v>
      </c>
      <c r="C896" t="s">
        <v>780</v>
      </c>
      <c r="D896" t="s">
        <v>174</v>
      </c>
      <c r="G896" t="str">
        <f t="shared" si="30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1</v>
      </c>
      <c r="J896" s="6">
        <f t="shared" si="31"/>
        <v>1</v>
      </c>
    </row>
    <row r="897" spans="1:10" x14ac:dyDescent="0.25">
      <c r="A897" t="s">
        <v>508</v>
      </c>
      <c r="B897" t="s">
        <v>711</v>
      </c>
      <c r="C897" t="s">
        <v>781</v>
      </c>
      <c r="D897" t="s">
        <v>175</v>
      </c>
      <c r="G897" t="str">
        <f t="shared" si="30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1</v>
      </c>
      <c r="J897" s="6">
        <f t="shared" si="31"/>
        <v>1</v>
      </c>
    </row>
    <row r="898" spans="1:10" x14ac:dyDescent="0.25">
      <c r="A898" t="s">
        <v>508</v>
      </c>
      <c r="B898" t="s">
        <v>711</v>
      </c>
      <c r="C898" t="s">
        <v>782</v>
      </c>
      <c r="D898" t="s">
        <v>177</v>
      </c>
      <c r="G898" t="str">
        <f t="shared" si="30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1</v>
      </c>
      <c r="J898" s="6">
        <f t="shared" si="31"/>
        <v>1</v>
      </c>
    </row>
    <row r="899" spans="1:10" x14ac:dyDescent="0.25">
      <c r="A899" t="s">
        <v>508</v>
      </c>
      <c r="B899" t="s">
        <v>711</v>
      </c>
      <c r="C899" t="s">
        <v>783</v>
      </c>
      <c r="D899" t="s">
        <v>178</v>
      </c>
      <c r="G899" t="str">
        <f t="shared" si="30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1</v>
      </c>
      <c r="J899" s="6">
        <f t="shared" si="31"/>
        <v>1</v>
      </c>
    </row>
    <row r="900" spans="1:10" x14ac:dyDescent="0.25">
      <c r="A900" t="s">
        <v>508</v>
      </c>
      <c r="B900" t="s">
        <v>711</v>
      </c>
      <c r="C900" t="s">
        <v>784</v>
      </c>
      <c r="D900" t="s">
        <v>180</v>
      </c>
      <c r="G900" t="str">
        <f t="shared" si="30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1</v>
      </c>
      <c r="J900" s="6">
        <f t="shared" si="31"/>
        <v>1</v>
      </c>
    </row>
    <row r="901" spans="1:10" x14ac:dyDescent="0.25">
      <c r="A901" t="s">
        <v>508</v>
      </c>
      <c r="B901" t="s">
        <v>1164</v>
      </c>
      <c r="C901" t="s">
        <v>1165</v>
      </c>
      <c r="D901" t="s">
        <v>181</v>
      </c>
      <c r="G901" t="str">
        <f t="shared" si="30"/>
        <v>xlsx</v>
      </c>
      <c r="H901" s="5" t="str">
        <f>IFERROR(IF(B901="FoPITY",INDEX(Customizations!$C$2:$C$19,MATCH(Sheet1!C901,Customizations!$B$2:$B$19,0),1),INDEX(About!C:C,MATCH(Sheet1!B901,About!B:B,0),1)),"")</f>
        <v>Population.xlsx</v>
      </c>
      <c r="I901" s="5">
        <f>IFERROR(INDEX(About!$D:$D,MATCH(Sheet1!H901,About!$C:$C,0),1),0)</f>
        <v>1</v>
      </c>
      <c r="J901" s="6">
        <f t="shared" si="31"/>
        <v>0</v>
      </c>
    </row>
    <row r="902" spans="1:10" x14ac:dyDescent="0.25">
      <c r="A902" t="s">
        <v>508</v>
      </c>
      <c r="B902" t="s">
        <v>785</v>
      </c>
      <c r="C902" t="s">
        <v>786</v>
      </c>
      <c r="D902" t="s">
        <v>182</v>
      </c>
      <c r="G902" t="str">
        <f t="shared" si="30"/>
        <v>.csv</v>
      </c>
      <c r="H902" s="5" t="str">
        <f>IFERROR(IF(B902="FoPITY",INDEX(Customizations!$C$2:$C$19,MATCH(Sheet1!C902,Customizations!$B$2:$B$19,0),1),INDEX(About!C:C,MATCH(Sheet1!B902,About!B:B,0),1)),"")</f>
        <v>Perc Chng in Cargo Dist Transported due to TDM.xlsx</v>
      </c>
      <c r="I902" s="5">
        <f>IFERROR(INDEX(About!$D:$D,MATCH(Sheet1!H902,About!$C:$C,0),1),0)</f>
        <v>1</v>
      </c>
      <c r="J902" s="6">
        <f t="shared" si="31"/>
        <v>1</v>
      </c>
    </row>
    <row r="903" spans="1:10" x14ac:dyDescent="0.25">
      <c r="A903" t="s">
        <v>508</v>
      </c>
      <c r="B903" t="s">
        <v>785</v>
      </c>
      <c r="C903" t="s">
        <v>787</v>
      </c>
      <c r="D903" t="s">
        <v>184</v>
      </c>
      <c r="G903" t="str">
        <f t="shared" si="30"/>
        <v>xlsx</v>
      </c>
      <c r="H903" s="5" t="str">
        <f>IFERROR(IF(B903="FoPITY",INDEX(Customizations!$C$2:$C$19,MATCH(Sheet1!C903,Customizations!$B$2:$B$19,0),1),INDEX(About!C:C,MATCH(Sheet1!B903,About!B:B,0),1)),"")</f>
        <v>Perc Chng in Cargo Dist Transported due to TDM.xlsx</v>
      </c>
      <c r="I903" s="5">
        <f>IFERROR(INDEX(About!$D:$D,MATCH(Sheet1!H903,About!$C:$C,0),1),0)</f>
        <v>1</v>
      </c>
      <c r="J903" s="6">
        <f t="shared" si="31"/>
        <v>0</v>
      </c>
    </row>
    <row r="904" spans="1:10" x14ac:dyDescent="0.25">
      <c r="A904" t="s">
        <v>508</v>
      </c>
      <c r="B904" t="s">
        <v>788</v>
      </c>
      <c r="C904" t="s">
        <v>789</v>
      </c>
      <c r="D904" t="s">
        <v>185</v>
      </c>
      <c r="G904" t="str">
        <f t="shared" si="30"/>
        <v>xlsx</v>
      </c>
      <c r="H904" s="5" t="str">
        <f>IFERROR(IF(B904="FoPITY",INDEX(Customizations!$C$2:$C$19,MATCH(Sheet1!C904,Customizations!$B$2:$B$19,0),1),INDEX(About!C:C,MATCH(Sheet1!B904,About!B:B,0),1)),"")</f>
        <v>Perc Trans Fuel Use Reduction for Elec.xlsx</v>
      </c>
      <c r="I904" s="5">
        <f>IFERROR(INDEX(About!$D:$D,MATCH(Sheet1!H904,About!$C:$C,0),1),0)</f>
        <v>1</v>
      </c>
      <c r="J904" s="6">
        <f t="shared" si="31"/>
        <v>0</v>
      </c>
    </row>
    <row r="905" spans="1:10" x14ac:dyDescent="0.25">
      <c r="A905" t="s">
        <v>508</v>
      </c>
      <c r="B905" t="s">
        <v>788</v>
      </c>
      <c r="C905" t="s">
        <v>790</v>
      </c>
      <c r="D905" t="s">
        <v>186</v>
      </c>
      <c r="G905" t="str">
        <f t="shared" si="30"/>
        <v>.csv</v>
      </c>
      <c r="H905" s="5" t="str">
        <f>IFERROR(IF(B905="FoPITY",INDEX(Customizations!$C$2:$C$19,MATCH(Sheet1!C905,Customizations!$B$2:$B$19,0),1),INDEX(About!C:C,MATCH(Sheet1!B905,About!B:B,0),1)),"")</f>
        <v>Perc Trans Fuel Use Reduction for Elec.xlsx</v>
      </c>
      <c r="I905" s="5">
        <f>IFERROR(INDEX(About!$D:$D,MATCH(Sheet1!H905,About!$C:$C,0),1),0)</f>
        <v>1</v>
      </c>
      <c r="J905" s="6">
        <f t="shared" si="31"/>
        <v>1</v>
      </c>
    </row>
    <row r="906" spans="1:10" x14ac:dyDescent="0.25">
      <c r="A906" t="s">
        <v>508</v>
      </c>
      <c r="B906" t="s">
        <v>1027</v>
      </c>
      <c r="C906" t="s">
        <v>1028</v>
      </c>
      <c r="D906" t="s">
        <v>188</v>
      </c>
      <c r="G906" t="str">
        <f t="shared" si="30"/>
        <v>.csv</v>
      </c>
      <c r="H906" s="5" t="str">
        <f>IFERROR(IF(B906="FoPITY",INDEX(Customizations!$C$2:$C$19,MATCH(Sheet1!C906,Customizations!$B$2:$B$19,0),1),INDEX(About!C:C,MATCH(Sheet1!B906,About!B:B,0),1)),"")</f>
        <v>Quantization Size for Vehicles.xlsx</v>
      </c>
      <c r="I906" s="5">
        <f>IFERROR(INDEX(About!$D:$D,MATCH(Sheet1!H906,About!$C:$C,0),1),0)</f>
        <v>1</v>
      </c>
      <c r="J906" s="6">
        <f t="shared" si="31"/>
        <v>1</v>
      </c>
    </row>
    <row r="907" spans="1:10" x14ac:dyDescent="0.25">
      <c r="A907" t="s">
        <v>508</v>
      </c>
      <c r="B907" t="s">
        <v>1027</v>
      </c>
      <c r="C907" t="s">
        <v>1029</v>
      </c>
      <c r="D907" t="s">
        <v>979</v>
      </c>
      <c r="G907" t="str">
        <f t="shared" si="30"/>
        <v>xlsx</v>
      </c>
      <c r="H907" s="5" t="str">
        <f>IFERROR(IF(B907="FoPITY",INDEX(Customizations!$C$2:$C$19,MATCH(Sheet1!C907,Customizations!$B$2:$B$19,0),1),INDEX(About!C:C,MATCH(Sheet1!B907,About!B:B,0),1)),"")</f>
        <v>Quantization Size for Vehicles.xlsx</v>
      </c>
      <c r="I907" s="5">
        <f>IFERROR(INDEX(About!$D:$D,MATCH(Sheet1!H907,About!$C:$C,0),1),0)</f>
        <v>1</v>
      </c>
      <c r="J907" s="6">
        <f t="shared" si="31"/>
        <v>0</v>
      </c>
    </row>
    <row r="908" spans="1:10" x14ac:dyDescent="0.25">
      <c r="A908" t="s">
        <v>508</v>
      </c>
      <c r="B908" t="s">
        <v>791</v>
      </c>
      <c r="C908" t="s">
        <v>792</v>
      </c>
      <c r="D908" t="s">
        <v>189</v>
      </c>
      <c r="G908" t="str">
        <f t="shared" si="30"/>
        <v>.csv</v>
      </c>
      <c r="H908" s="5" t="str">
        <f>IFERROR(IF(B908="FoPITY",INDEX(Customizations!$C$2:$C$19,MATCH(Sheet1!C908,Customizations!$B$2:$B$19,0),1),INDEX(About!C:C,MATCH(Sheet1!B908,About!B:B,0),1)),"")</f>
        <v>Std Dev of Veh Prices by Technology.xlsx</v>
      </c>
      <c r="I908" s="5">
        <f>IFERROR(INDEX(About!$D:$D,MATCH(Sheet1!H908,About!$C:$C,0),1),0)</f>
        <v>1</v>
      </c>
      <c r="J908" s="6">
        <f t="shared" si="31"/>
        <v>1</v>
      </c>
    </row>
    <row r="909" spans="1:10" x14ac:dyDescent="0.25">
      <c r="A909" t="s">
        <v>508</v>
      </c>
      <c r="B909" t="s">
        <v>791</v>
      </c>
      <c r="C909" t="s">
        <v>793</v>
      </c>
      <c r="D909" t="s">
        <v>980</v>
      </c>
      <c r="G909" t="str">
        <f t="shared" si="30"/>
        <v>.csv</v>
      </c>
      <c r="H909" s="5" t="str">
        <f>IFERROR(IF(B909="FoPITY",INDEX(Customizations!$C$2:$C$19,MATCH(Sheet1!C909,Customizations!$B$2:$B$19,0),1),INDEX(About!C:C,MATCH(Sheet1!B909,About!B:B,0),1)),"")</f>
        <v>Std Dev of Veh Prices by Technology.xlsx</v>
      </c>
      <c r="I909" s="5">
        <f>IFERROR(INDEX(About!$D:$D,MATCH(Sheet1!H909,About!$C:$C,0),1),0)</f>
        <v>1</v>
      </c>
      <c r="J909" s="6">
        <f t="shared" si="31"/>
        <v>1</v>
      </c>
    </row>
    <row r="910" spans="1:10" x14ac:dyDescent="0.25">
      <c r="A910" t="s">
        <v>508</v>
      </c>
      <c r="B910" t="s">
        <v>791</v>
      </c>
      <c r="C910" t="s">
        <v>794</v>
      </c>
      <c r="D910" t="s">
        <v>190</v>
      </c>
      <c r="G910" t="str">
        <f t="shared" si="30"/>
        <v>xlsx</v>
      </c>
      <c r="H910" s="5" t="str">
        <f>IFERROR(IF(B910="FoPITY",INDEX(Customizations!$C$2:$C$19,MATCH(Sheet1!C910,Customizations!$B$2:$B$19,0),1),INDEX(About!C:C,MATCH(Sheet1!B910,About!B:B,0),1)),"")</f>
        <v>Std Dev of Veh Prices by Technology.xlsx</v>
      </c>
      <c r="I910" s="5">
        <f>IFERROR(INDEX(About!$D:$D,MATCH(Sheet1!H910,About!$C:$C,0),1),0)</f>
        <v>1</v>
      </c>
      <c r="J910" s="6">
        <f t="shared" si="31"/>
        <v>0</v>
      </c>
    </row>
    <row r="911" spans="1:10" x14ac:dyDescent="0.25">
      <c r="A911" t="s">
        <v>508</v>
      </c>
      <c r="B911" t="s">
        <v>795</v>
      </c>
      <c r="C911" t="s">
        <v>796</v>
      </c>
      <c r="D911" t="s">
        <v>1037</v>
      </c>
      <c r="G911" t="str">
        <f t="shared" si="30"/>
        <v>xlsx</v>
      </c>
      <c r="H911" s="5" t="str">
        <f>IFERROR(IF(B911="FoPITY",INDEX(Customizations!$C$2:$C$19,MATCH(Sheet1!C911,Customizations!$B$2:$B$19,0),1),INDEX(About!C:C,MATCH(Sheet1!B911,About!B:B,0),1)),"")</f>
        <v>Share of Cargo Dist Transported that is New This Year.xlsx</v>
      </c>
      <c r="I911" s="5">
        <f>IFERROR(INDEX(About!$D:$D,MATCH(Sheet1!H911,About!$C:$C,0),1),0)</f>
        <v>1</v>
      </c>
      <c r="J911" s="6">
        <f t="shared" si="31"/>
        <v>0</v>
      </c>
    </row>
    <row r="912" spans="1:10" x14ac:dyDescent="0.25">
      <c r="A912" t="s">
        <v>508</v>
      </c>
      <c r="B912" t="s">
        <v>795</v>
      </c>
      <c r="C912" t="s">
        <v>900</v>
      </c>
      <c r="D912" t="s">
        <v>1038</v>
      </c>
      <c r="G912" t="str">
        <f t="shared" si="30"/>
        <v>.csv</v>
      </c>
      <c r="H912" s="5" t="str">
        <f>IFERROR(IF(B912="FoPITY",INDEX(Customizations!$C$2:$C$19,MATCH(Sheet1!C912,Customizations!$B$2:$B$19,0),1),INDEX(About!C:C,MATCH(Sheet1!B912,About!B:B,0),1)),"")</f>
        <v>Share of Cargo Dist Transported that is New This Year.xlsx</v>
      </c>
      <c r="I912" s="5">
        <f>IFERROR(INDEX(About!$D:$D,MATCH(Sheet1!H912,About!$C:$C,0),1),0)</f>
        <v>1</v>
      </c>
      <c r="J912" s="6">
        <f t="shared" si="31"/>
        <v>1</v>
      </c>
    </row>
    <row r="913" spans="1:10" x14ac:dyDescent="0.25">
      <c r="A913" t="s">
        <v>508</v>
      </c>
      <c r="B913" t="s">
        <v>795</v>
      </c>
      <c r="C913" t="s">
        <v>901</v>
      </c>
      <c r="D913" t="s">
        <v>1039</v>
      </c>
      <c r="G913" t="str">
        <f t="shared" si="30"/>
        <v>.csv</v>
      </c>
      <c r="H913" s="5" t="str">
        <f>IFERROR(IF(B913="FoPITY",INDEX(Customizations!$C$2:$C$19,MATCH(Sheet1!C913,Customizations!$B$2:$B$19,0),1),INDEX(About!C:C,MATCH(Sheet1!B913,About!B:B,0),1)),"")</f>
        <v>Share of Cargo Dist Transported that is New This Year.xlsx</v>
      </c>
      <c r="I913" s="5">
        <f>IFERROR(INDEX(About!$D:$D,MATCH(Sheet1!H913,About!$C:$C,0),1),0)</f>
        <v>1</v>
      </c>
      <c r="J913" s="6">
        <f t="shared" si="31"/>
        <v>1</v>
      </c>
    </row>
    <row r="914" spans="1:10" x14ac:dyDescent="0.25">
      <c r="A914" t="s">
        <v>508</v>
      </c>
      <c r="B914" t="s">
        <v>797</v>
      </c>
      <c r="C914" t="s">
        <v>798</v>
      </c>
      <c r="D914" t="s">
        <v>1040</v>
      </c>
      <c r="G914" t="str">
        <f t="shared" si="30"/>
        <v>xlsx</v>
      </c>
      <c r="H914" s="5" t="str">
        <f>IFERROR(IF(B914="FoPITY",INDEX(Customizations!$C$2:$C$19,MATCH(Sheet1!C914,Customizations!$B$2:$B$19,0),1),INDEX(About!C:C,MATCH(Sheet1!B914,About!B:B,0),1)),"")</f>
        <v>Separately Regulated Pollutants by Vehicle Type.xlsx</v>
      </c>
      <c r="I914" s="5">
        <f>IFERROR(INDEX(About!$D:$D,MATCH(Sheet1!H914,About!$C:$C,0),1),0)</f>
        <v>1</v>
      </c>
      <c r="J914" s="6">
        <f t="shared" si="31"/>
        <v>0</v>
      </c>
    </row>
    <row r="915" spans="1:10" x14ac:dyDescent="0.25">
      <c r="A915" t="s">
        <v>508</v>
      </c>
      <c r="B915" t="s">
        <v>797</v>
      </c>
      <c r="C915" t="s">
        <v>799</v>
      </c>
      <c r="D915" t="s">
        <v>1041</v>
      </c>
      <c r="G915" t="str">
        <f t="shared" si="30"/>
        <v>.csv</v>
      </c>
      <c r="H915" s="5" t="str">
        <f>IFERROR(IF(B915="FoPITY",INDEX(Customizations!$C$2:$C$19,MATCH(Sheet1!C915,Customizations!$B$2:$B$19,0),1),INDEX(About!C:C,MATCH(Sheet1!B915,About!B:B,0),1)),"")</f>
        <v>Separately Regulated Pollutants by Vehicle Type.xlsx</v>
      </c>
      <c r="I915" s="5">
        <f>IFERROR(INDEX(About!$D:$D,MATCH(Sheet1!H915,About!$C:$C,0),1),0)</f>
        <v>1</v>
      </c>
      <c r="J915" s="6">
        <f t="shared" si="31"/>
        <v>1</v>
      </c>
    </row>
    <row r="916" spans="1:10" x14ac:dyDescent="0.25">
      <c r="A916" t="s">
        <v>508</v>
      </c>
      <c r="B916" t="s">
        <v>800</v>
      </c>
      <c r="C916" t="s">
        <v>801</v>
      </c>
      <c r="D916" t="s">
        <v>874</v>
      </c>
      <c r="G916" t="str">
        <f t="shared" si="30"/>
        <v>xlsx</v>
      </c>
      <c r="H916" s="5" t="str">
        <f>IFERROR(IF(B916="FoPITY",INDEX(Customizations!$C$2:$C$19,MATCH(Sheet1!C916,Customizations!$B$2:$B$19,0),1),INDEX(About!C:C,MATCH(Sheet1!B916,About!B:B,0),1)),"")</f>
        <v>Start Year Battery Share of EV Price.xlsx</v>
      </c>
      <c r="I916" s="5">
        <f>IFERROR(INDEX(About!$D:$D,MATCH(Sheet1!H916,About!$C:$C,0),1),0)</f>
        <v>1</v>
      </c>
      <c r="J916" s="6">
        <f t="shared" si="31"/>
        <v>0</v>
      </c>
    </row>
    <row r="917" spans="1:10" x14ac:dyDescent="0.25">
      <c r="A917" t="s">
        <v>508</v>
      </c>
      <c r="B917" t="s">
        <v>800</v>
      </c>
      <c r="C917" t="s">
        <v>802</v>
      </c>
      <c r="D917" t="s">
        <v>875</v>
      </c>
      <c r="G917" t="str">
        <f t="shared" si="30"/>
        <v>.csv</v>
      </c>
      <c r="H917" s="5" t="str">
        <f>IFERROR(IF(B917="FoPITY",INDEX(Customizations!$C$2:$C$19,MATCH(Sheet1!C917,Customizations!$B$2:$B$19,0),1),INDEX(About!C:C,MATCH(Sheet1!B917,About!B:B,0),1)),"")</f>
        <v>Start Year Battery Share of EV Price.xlsx</v>
      </c>
      <c r="I917" s="5">
        <f>IFERROR(INDEX(About!$D:$D,MATCH(Sheet1!H917,About!$C:$C,0),1),0)</f>
        <v>1</v>
      </c>
      <c r="J917" s="6">
        <f t="shared" si="31"/>
        <v>1</v>
      </c>
    </row>
    <row r="918" spans="1:10" x14ac:dyDescent="0.25">
      <c r="A918" t="s">
        <v>508</v>
      </c>
      <c r="B918" t="s">
        <v>803</v>
      </c>
      <c r="C918" t="s">
        <v>804</v>
      </c>
      <c r="D918" t="s">
        <v>933</v>
      </c>
      <c r="G918" t="str">
        <f t="shared" si="30"/>
        <v>xlsx</v>
      </c>
      <c r="H918" s="5" t="str">
        <f>IFERROR(IF(B918="FoPITY",INDEX(Customizations!$C$2:$C$19,MATCH(Sheet1!C918,Customizations!$B$2:$B$19,0),1),INDEX(About!C:C,MATCH(Sheet1!B918,About!B:B,0),1)),"")</f>
        <v>Start Year Fleet Avg Fuel Economy.xlsx</v>
      </c>
      <c r="I918" s="5">
        <f>IFERROR(INDEX(About!$D:$D,MATCH(Sheet1!H918,About!$C:$C,0),1),0)</f>
        <v>1</v>
      </c>
      <c r="J918" s="6">
        <f t="shared" si="31"/>
        <v>0</v>
      </c>
    </row>
    <row r="919" spans="1:10" x14ac:dyDescent="0.25">
      <c r="A919" t="s">
        <v>508</v>
      </c>
      <c r="B919" t="s">
        <v>803</v>
      </c>
      <c r="C919" t="s">
        <v>805</v>
      </c>
      <c r="D919" t="s">
        <v>934</v>
      </c>
      <c r="G919" t="str">
        <f t="shared" si="30"/>
        <v>.csv</v>
      </c>
      <c r="H919" s="5" t="str">
        <f>IFERROR(IF(B919="FoPITY",INDEX(Customizations!$C$2:$C$19,MATCH(Sheet1!C919,Customizations!$B$2:$B$19,0),1),INDEX(About!C:C,MATCH(Sheet1!B919,About!B:B,0),1)),"")</f>
        <v>Start Year Fleet Avg Fuel Economy.xlsx</v>
      </c>
      <c r="I919" s="5">
        <f>IFERROR(INDEX(About!$D:$D,MATCH(Sheet1!H919,About!$C:$C,0),1),0)</f>
        <v>1</v>
      </c>
      <c r="J919" s="6">
        <f t="shared" si="31"/>
        <v>1</v>
      </c>
    </row>
    <row r="920" spans="1:10" x14ac:dyDescent="0.25">
      <c r="A920" t="s">
        <v>508</v>
      </c>
      <c r="B920" t="s">
        <v>803</v>
      </c>
      <c r="C920" t="s">
        <v>806</v>
      </c>
      <c r="D920" t="s">
        <v>192</v>
      </c>
      <c r="G920" t="str">
        <f t="shared" si="30"/>
        <v>.csv</v>
      </c>
      <c r="H920" s="5" t="str">
        <f>IFERROR(IF(B920="FoPITY",INDEX(Customizations!$C$2:$C$19,MATCH(Sheet1!C920,Customizations!$B$2:$B$19,0),1),INDEX(About!C:C,MATCH(Sheet1!B920,About!B:B,0),1)),"")</f>
        <v>Start Year Fleet Avg Fuel Economy.xlsx</v>
      </c>
      <c r="I920" s="5">
        <f>IFERROR(INDEX(About!$D:$D,MATCH(Sheet1!H920,About!$C:$C,0),1),0)</f>
        <v>1</v>
      </c>
      <c r="J920" s="6">
        <f t="shared" si="31"/>
        <v>1</v>
      </c>
    </row>
    <row r="921" spans="1:10" x14ac:dyDescent="0.25">
      <c r="A921" t="s">
        <v>508</v>
      </c>
      <c r="B921" t="s">
        <v>807</v>
      </c>
      <c r="C921" t="s">
        <v>808</v>
      </c>
      <c r="D921" t="s">
        <v>193</v>
      </c>
      <c r="G921" t="str">
        <f t="shared" si="30"/>
        <v>xlsx</v>
      </c>
      <c r="H921" s="5" t="str">
        <f>IFERROR(IF(B921="FoPITY",INDEX(Customizations!$C$2:$C$19,MATCH(Sheet1!C921,Customizations!$B$2:$B$19,0),1),INDEX(About!C:C,MATCH(Sheet1!B921,About!B:B,0),1)),"")</f>
        <v>Start Year Vehicles by Technology.xlsx</v>
      </c>
      <c r="I921" s="5">
        <f>IFERROR(INDEX(About!$D:$D,MATCH(Sheet1!H921,About!$C:$C,0),1),0)</f>
        <v>1</v>
      </c>
      <c r="J921" s="6">
        <f t="shared" si="31"/>
        <v>0</v>
      </c>
    </row>
    <row r="922" spans="1:10" x14ac:dyDescent="0.25">
      <c r="A922" t="s">
        <v>508</v>
      </c>
      <c r="B922" t="s">
        <v>807</v>
      </c>
      <c r="C922" t="s">
        <v>809</v>
      </c>
      <c r="D922" t="s">
        <v>195</v>
      </c>
      <c r="G922" t="str">
        <f t="shared" si="30"/>
        <v>.csv</v>
      </c>
      <c r="H922" s="5" t="str">
        <f>IFERROR(IF(B922="FoPITY",INDEX(Customizations!$C$2:$C$19,MATCH(Sheet1!C922,Customizations!$B$2:$B$19,0),1),INDEX(About!C:C,MATCH(Sheet1!B922,About!B:B,0),1)),"")</f>
        <v>Start Year Vehicles by Technology.xlsx</v>
      </c>
      <c r="I922" s="5">
        <f>IFERROR(INDEX(About!$D:$D,MATCH(Sheet1!H922,About!$C:$C,0),1),0)</f>
        <v>1</v>
      </c>
      <c r="J922" s="6">
        <f t="shared" si="31"/>
        <v>1</v>
      </c>
    </row>
    <row r="923" spans="1:10" x14ac:dyDescent="0.25">
      <c r="A923" t="s">
        <v>508</v>
      </c>
      <c r="B923" t="s">
        <v>807</v>
      </c>
      <c r="C923" t="s">
        <v>810</v>
      </c>
      <c r="D923" t="s">
        <v>196</v>
      </c>
      <c r="G923" t="str">
        <f t="shared" si="30"/>
        <v>.csv</v>
      </c>
      <c r="H923" s="5" t="str">
        <f>IFERROR(IF(B923="FoPITY",INDEX(Customizations!$C$2:$C$19,MATCH(Sheet1!C923,Customizations!$B$2:$B$19,0),1),INDEX(About!C:C,MATCH(Sheet1!B923,About!B:B,0),1)),"")</f>
        <v>Start Year Vehicles by Technology.xlsx</v>
      </c>
      <c r="I923" s="5">
        <f>IFERROR(INDEX(About!$D:$D,MATCH(Sheet1!H923,About!$C:$C,0),1),0)</f>
        <v>1</v>
      </c>
      <c r="J923" s="6">
        <f t="shared" si="31"/>
        <v>1</v>
      </c>
    </row>
    <row r="924" spans="1:10" x14ac:dyDescent="0.25">
      <c r="A924" t="s">
        <v>508</v>
      </c>
      <c r="B924" t="s">
        <v>811</v>
      </c>
      <c r="C924" t="s">
        <v>812</v>
      </c>
      <c r="D924" t="s">
        <v>197</v>
      </c>
      <c r="G924" t="str">
        <f t="shared" si="30"/>
        <v>.csv</v>
      </c>
      <c r="H924" s="5" t="str">
        <f>IFERROR(IF(B924="FoPITY",INDEX(Customizations!$C$2:$C$19,MATCH(Sheet1!C924,Customizations!$B$2:$B$19,0),1),INDEX(About!C:C,MATCH(Sheet1!B924,About!B:B,0),1)),"")</f>
        <v>Veh Buyer Discount Rate.xlsx</v>
      </c>
      <c r="I924" s="5">
        <f>IFERROR(INDEX(About!$D:$D,MATCH(Sheet1!H924,About!$C:$C,0),1),0)</f>
        <v>1</v>
      </c>
      <c r="J924" s="6">
        <f t="shared" si="31"/>
        <v>1</v>
      </c>
    </row>
    <row r="925" spans="1:10" x14ac:dyDescent="0.25">
      <c r="A925" t="s">
        <v>508</v>
      </c>
      <c r="B925" t="s">
        <v>811</v>
      </c>
      <c r="C925" t="s">
        <v>813</v>
      </c>
      <c r="D925" t="s">
        <v>198</v>
      </c>
      <c r="G925" t="str">
        <f t="shared" si="30"/>
        <v>xlsx</v>
      </c>
      <c r="H925" s="5" t="str">
        <f>IFERROR(IF(B925="FoPITY",INDEX(Customizations!$C$2:$C$19,MATCH(Sheet1!C925,Customizations!$B$2:$B$19,0),1),INDEX(About!C:C,MATCH(Sheet1!B925,About!B:B,0),1)),"")</f>
        <v>Veh Buyer Discount Rate.xlsx</v>
      </c>
      <c r="I925" s="5">
        <f>IFERROR(INDEX(About!$D:$D,MATCH(Sheet1!H925,About!$C:$C,0),1),0)</f>
        <v>1</v>
      </c>
      <c r="J925" s="6">
        <f t="shared" si="31"/>
        <v>0</v>
      </c>
    </row>
    <row r="926" spans="1:10" x14ac:dyDescent="0.25">
      <c r="A926" t="s">
        <v>508</v>
      </c>
      <c r="B926" t="s">
        <v>814</v>
      </c>
      <c r="C926" t="s">
        <v>815</v>
      </c>
      <c r="D926" t="s">
        <v>199</v>
      </c>
      <c r="G926" t="str">
        <f t="shared" si="30"/>
        <v>xlsx</v>
      </c>
      <c r="H926" s="5" t="str">
        <f>IFERROR(IF(B926="FoPITY",INDEX(Customizations!$C$2:$C$19,MATCH(Sheet1!C926,Customizations!$B$2:$B$19,0),1),INDEX(About!C:C,MATCH(Sheet1!B926,About!B:B,0),1)),"")</f>
        <v>Veh Techs Subject to Fuel Econ Std.xlsx</v>
      </c>
      <c r="I926" s="5">
        <f>IFERROR(INDEX(About!$D:$D,MATCH(Sheet1!H926,About!$C:$C,0),1),0)</f>
        <v>1</v>
      </c>
      <c r="J926" s="6">
        <f t="shared" si="31"/>
        <v>0</v>
      </c>
    </row>
    <row r="927" spans="1:10" x14ac:dyDescent="0.25">
      <c r="A927" t="s">
        <v>508</v>
      </c>
      <c r="B927" t="s">
        <v>814</v>
      </c>
      <c r="C927" t="s">
        <v>816</v>
      </c>
      <c r="D927" t="s">
        <v>200</v>
      </c>
      <c r="G927" t="str">
        <f t="shared" si="30"/>
        <v>.csv</v>
      </c>
      <c r="H927" s="5" t="str">
        <f>IFERROR(IF(B927="FoPITY",INDEX(Customizations!$C$2:$C$19,MATCH(Sheet1!C927,Customizations!$B$2:$B$19,0),1),INDEX(About!C:C,MATCH(Sheet1!B927,About!B:B,0),1)),"")</f>
        <v>Veh Techs Subject to Fuel Econ Std.xlsx</v>
      </c>
      <c r="I927" s="5">
        <f>IFERROR(INDEX(About!$D:$D,MATCH(Sheet1!H927,About!$C:$C,0),1),0)</f>
        <v>1</v>
      </c>
      <c r="J927" s="6">
        <f t="shared" si="31"/>
        <v>1</v>
      </c>
    </row>
    <row r="928" spans="1:10" x14ac:dyDescent="0.25">
      <c r="A928" t="s">
        <v>817</v>
      </c>
      <c r="B928" t="s">
        <v>818</v>
      </c>
      <c r="C928" t="s">
        <v>819</v>
      </c>
      <c r="D928" t="s">
        <v>201</v>
      </c>
      <c r="G928" t="str">
        <f t="shared" si="30"/>
        <v>.csv</v>
      </c>
      <c r="H928" s="5" t="str">
        <f>IFERROR(IF(B928="FoPITY",INDEX(Customizations!$C$2:$C$19,MATCH(Sheet1!C928,Customizations!$B$2:$B$19,0),1),INDEX(About!C:C,MATCH(Sheet1!B928,About!B:B,0),1)),"")</f>
        <v>BTU Conversion Factors.xlsx</v>
      </c>
      <c r="I928" s="5">
        <f>IFERROR(INDEX(About!$D:$D,MATCH(Sheet1!H928,About!$C:$C,0),1),0)</f>
        <v>1</v>
      </c>
      <c r="J928" s="6">
        <f t="shared" si="31"/>
        <v>1</v>
      </c>
    </row>
    <row r="929" spans="1:10" x14ac:dyDescent="0.25">
      <c r="A929" t="s">
        <v>817</v>
      </c>
      <c r="B929" t="s">
        <v>818</v>
      </c>
      <c r="C929" t="s">
        <v>820</v>
      </c>
      <c r="D929" t="s">
        <v>202</v>
      </c>
      <c r="G929" t="str">
        <f t="shared" si="30"/>
        <v>.csv</v>
      </c>
      <c r="H929" s="5" t="str">
        <f>IFERROR(IF(B929="FoPITY",INDEX(Customizations!$C$2:$C$19,MATCH(Sheet1!C929,Customizations!$B$2:$B$19,0),1),INDEX(About!C:C,MATCH(Sheet1!B929,About!B:B,0),1)),"")</f>
        <v>BTU Conversion Factors.xlsx</v>
      </c>
      <c r="I929" s="5">
        <f>IFERROR(INDEX(About!$D:$D,MATCH(Sheet1!H929,About!$C:$C,0),1),0)</f>
        <v>1</v>
      </c>
      <c r="J929" s="6">
        <f t="shared" si="31"/>
        <v>1</v>
      </c>
    </row>
    <row r="930" spans="1:10" x14ac:dyDescent="0.25">
      <c r="A930" t="s">
        <v>817</v>
      </c>
      <c r="B930" t="s">
        <v>818</v>
      </c>
      <c r="C930" t="s">
        <v>821</v>
      </c>
      <c r="D930" t="s">
        <v>203</v>
      </c>
      <c r="G930" t="str">
        <f t="shared" si="30"/>
        <v>.csv</v>
      </c>
      <c r="H930" s="5" t="str">
        <f>IFERROR(IF(B930="FoPITY",INDEX(Customizations!$C$2:$C$19,MATCH(Sheet1!C930,Customizations!$B$2:$B$19,0),1),INDEX(About!C:C,MATCH(Sheet1!B930,About!B:B,0),1)),"")</f>
        <v>BTU Conversion Factors.xlsx</v>
      </c>
      <c r="I930" s="5">
        <f>IFERROR(INDEX(About!$D:$D,MATCH(Sheet1!H930,About!$C:$C,0),1),0)</f>
        <v>1</v>
      </c>
      <c r="J930" s="6">
        <f t="shared" si="31"/>
        <v>1</v>
      </c>
    </row>
    <row r="931" spans="1:10" x14ac:dyDescent="0.25">
      <c r="A931" t="s">
        <v>817</v>
      </c>
      <c r="B931" t="s">
        <v>818</v>
      </c>
      <c r="C931" t="s">
        <v>822</v>
      </c>
      <c r="D931" t="s">
        <v>204</v>
      </c>
      <c r="G931" t="str">
        <f t="shared" si="30"/>
        <v>.csv</v>
      </c>
      <c r="H931" s="5" t="str">
        <f>IFERROR(IF(B931="FoPITY",INDEX(Customizations!$C$2:$C$19,MATCH(Sheet1!C931,Customizations!$B$2:$B$19,0),1),INDEX(About!C:C,MATCH(Sheet1!B931,About!B:B,0),1)),"")</f>
        <v>BTU Conversion Factors.xlsx</v>
      </c>
      <c r="I931" s="5">
        <f>IFERROR(INDEX(About!$D:$D,MATCH(Sheet1!H931,About!$C:$C,0),1),0)</f>
        <v>1</v>
      </c>
      <c r="J931" s="6">
        <f t="shared" si="31"/>
        <v>1</v>
      </c>
    </row>
    <row r="932" spans="1:10" x14ac:dyDescent="0.25">
      <c r="A932" t="s">
        <v>817</v>
      </c>
      <c r="B932" t="s">
        <v>818</v>
      </c>
      <c r="C932" t="s">
        <v>823</v>
      </c>
      <c r="D932" t="s">
        <v>205</v>
      </c>
      <c r="G932" t="str">
        <f t="shared" si="30"/>
        <v>xlsx</v>
      </c>
      <c r="H932" s="5" t="str">
        <f>IFERROR(IF(B932="FoPITY",INDEX(Customizations!$C$2:$C$19,MATCH(Sheet1!C932,Customizations!$B$2:$B$19,0),1),INDEX(About!C:C,MATCH(Sheet1!B932,About!B:B,0),1)),"")</f>
        <v>BTU Conversion Factors.xlsx</v>
      </c>
      <c r="I932" s="5">
        <f>IFERROR(INDEX(About!$D:$D,MATCH(Sheet1!H932,About!$C:$C,0),1),0)</f>
        <v>1</v>
      </c>
      <c r="J932" s="6">
        <f t="shared" si="31"/>
        <v>0</v>
      </c>
    </row>
    <row r="933" spans="1:10" x14ac:dyDescent="0.25">
      <c r="A933" t="s">
        <v>817</v>
      </c>
      <c r="B933" t="s">
        <v>824</v>
      </c>
      <c r="C933" t="s">
        <v>902</v>
      </c>
      <c r="D933" t="s">
        <v>905</v>
      </c>
      <c r="G933" t="str">
        <f t="shared" si="30"/>
        <v>.csv</v>
      </c>
      <c r="H933" s="5" t="str">
        <f>IFERROR(IF(B933="FoPITY",INDEX(Customizations!$C$2:$C$19,MATCH(Sheet1!C933,Customizations!$B$2:$B$19,0),1),INDEX(About!C:C,MATCH(Sheet1!B933,About!B:B,0),1)),"")</f>
        <v>BTU per Total Primary Energy Unit.xlsx</v>
      </c>
      <c r="I933" s="5">
        <f>IFERROR(INDEX(About!$D:$D,MATCH(Sheet1!H933,About!$C:$C,0),1),0)</f>
        <v>1</v>
      </c>
      <c r="J933" s="6">
        <f t="shared" si="31"/>
        <v>1</v>
      </c>
    </row>
    <row r="934" spans="1:10" x14ac:dyDescent="0.25">
      <c r="A934" t="s">
        <v>817</v>
      </c>
      <c r="B934" t="s">
        <v>824</v>
      </c>
      <c r="C934" t="s">
        <v>903</v>
      </c>
      <c r="D934" t="s">
        <v>206</v>
      </c>
      <c r="G934" t="str">
        <f t="shared" si="30"/>
        <v>.csv</v>
      </c>
      <c r="H934" s="5" t="str">
        <f>IFERROR(IF(B934="FoPITY",INDEX(Customizations!$C$2:$C$19,MATCH(Sheet1!C934,Customizations!$B$2:$B$19,0),1),INDEX(About!C:C,MATCH(Sheet1!B934,About!B:B,0),1)),"")</f>
        <v>BTU per Total Primary Energy Unit.xlsx</v>
      </c>
      <c r="I934" s="5">
        <f>IFERROR(INDEX(About!$D:$D,MATCH(Sheet1!H934,About!$C:$C,0),1),0)</f>
        <v>1</v>
      </c>
      <c r="J934" s="6">
        <f t="shared" si="31"/>
        <v>1</v>
      </c>
    </row>
    <row r="935" spans="1:10" x14ac:dyDescent="0.25">
      <c r="A935" t="s">
        <v>817</v>
      </c>
      <c r="B935" t="s">
        <v>824</v>
      </c>
      <c r="C935" t="s">
        <v>825</v>
      </c>
      <c r="D935" t="s">
        <v>208</v>
      </c>
      <c r="G935" t="str">
        <f t="shared" si="30"/>
        <v>xlsx</v>
      </c>
      <c r="H935" s="5" t="str">
        <f>IFERROR(IF(B935="FoPITY",INDEX(Customizations!$C$2:$C$19,MATCH(Sheet1!C935,Customizations!$B$2:$B$19,0),1),INDEX(About!C:C,MATCH(Sheet1!B935,About!B:B,0),1)),"")</f>
        <v>BTU per Total Primary Energy Unit.xlsx</v>
      </c>
      <c r="I935" s="5">
        <f>IFERROR(INDEX(About!$D:$D,MATCH(Sheet1!H935,About!$C:$C,0),1),0)</f>
        <v>1</v>
      </c>
      <c r="J935" s="6">
        <f t="shared" si="31"/>
        <v>0</v>
      </c>
    </row>
    <row r="936" spans="1:10" x14ac:dyDescent="0.25">
      <c r="A936" t="s">
        <v>817</v>
      </c>
      <c r="B936" t="s">
        <v>826</v>
      </c>
      <c r="C936" t="s">
        <v>827</v>
      </c>
      <c r="D936" t="s">
        <v>209</v>
      </c>
      <c r="G936" t="str">
        <f t="shared" si="30"/>
        <v>xlsx</v>
      </c>
      <c r="H936" s="5" t="str">
        <f>IFERROR(IF(B936="FoPITY",INDEX(Customizations!$C$2:$C$19,MATCH(Sheet1!C936,Customizations!$B$2:$B$19,0),1),INDEX(About!C:C,MATCH(Sheet1!B936,About!B:B,0),1)),"")</f>
        <v>Cargo Dist Conversion Factors.xlsx</v>
      </c>
      <c r="I936" s="5">
        <f>IFERROR(INDEX(About!$D:$D,MATCH(Sheet1!H936,About!$C:$C,0),1),0)</f>
        <v>1</v>
      </c>
      <c r="J936" s="6">
        <f t="shared" si="31"/>
        <v>0</v>
      </c>
    </row>
    <row r="937" spans="1:10" x14ac:dyDescent="0.25">
      <c r="A937" t="s">
        <v>817</v>
      </c>
      <c r="B937" t="s">
        <v>826</v>
      </c>
      <c r="C937" t="s">
        <v>828</v>
      </c>
      <c r="D937" t="s">
        <v>877</v>
      </c>
      <c r="G937" t="str">
        <f t="shared" si="30"/>
        <v>.csv</v>
      </c>
      <c r="H937" s="5" t="str">
        <f>IFERROR(IF(B937="FoPITY",INDEX(Customizations!$C$2:$C$19,MATCH(Sheet1!C937,Customizations!$B$2:$B$19,0),1),INDEX(About!C:C,MATCH(Sheet1!B937,About!B:B,0),1)),"")</f>
        <v>Cargo Dist Conversion Factors.xlsx</v>
      </c>
      <c r="I937" s="5">
        <f>IFERROR(INDEX(About!$D:$D,MATCH(Sheet1!H937,About!$C:$C,0),1),0)</f>
        <v>1</v>
      </c>
      <c r="J937" s="6">
        <f t="shared" si="31"/>
        <v>1</v>
      </c>
    </row>
    <row r="938" spans="1:10" x14ac:dyDescent="0.25">
      <c r="A938" t="s">
        <v>817</v>
      </c>
      <c r="B938" t="s">
        <v>826</v>
      </c>
      <c r="C938" t="s">
        <v>829</v>
      </c>
      <c r="D938" t="s">
        <v>878</v>
      </c>
      <c r="G938" t="str">
        <f t="shared" si="30"/>
        <v>.csv</v>
      </c>
      <c r="H938" s="5" t="str">
        <f>IFERROR(IF(B938="FoPITY",INDEX(Customizations!$C$2:$C$19,MATCH(Sheet1!C938,Customizations!$B$2:$B$19,0),1),INDEX(About!C:C,MATCH(Sheet1!B938,About!B:B,0),1)),"")</f>
        <v>Cargo Dist Conversion Factors.xlsx</v>
      </c>
      <c r="I938" s="5">
        <f>IFERROR(INDEX(About!$D:$D,MATCH(Sheet1!H938,About!$C:$C,0),1),0)</f>
        <v>1</v>
      </c>
      <c r="J938" s="6">
        <f t="shared" si="31"/>
        <v>1</v>
      </c>
    </row>
    <row r="939" spans="1:10" x14ac:dyDescent="0.25">
      <c r="A939" t="s">
        <v>817</v>
      </c>
      <c r="B939" t="s">
        <v>830</v>
      </c>
      <c r="C939" t="s">
        <v>831</v>
      </c>
      <c r="D939" t="s">
        <v>268</v>
      </c>
      <c r="G939" t="str">
        <f t="shared" si="30"/>
        <v>xlsx</v>
      </c>
      <c r="H939" s="5" t="str">
        <f>IFERROR(IF(B939="FoPITY",INDEX(Customizations!$C$2:$C$19,MATCH(Sheet1!C939,Customizations!$B$2:$B$19,0),1),INDEX(About!C:C,MATCH(Sheet1!B939,About!B:B,0),1)),"")</f>
        <v>Liters per Water Output Unit.xlsx</v>
      </c>
      <c r="I939" s="5">
        <f>IFERROR(INDEX(About!$D:$D,MATCH(Sheet1!H939,About!$C:$C,0),1),0)</f>
        <v>1</v>
      </c>
      <c r="J939" s="6">
        <f t="shared" si="31"/>
        <v>0</v>
      </c>
    </row>
    <row r="940" spans="1:10" x14ac:dyDescent="0.25">
      <c r="A940" t="s">
        <v>817</v>
      </c>
      <c r="B940" t="s">
        <v>830</v>
      </c>
      <c r="C940" t="s">
        <v>832</v>
      </c>
      <c r="D940" t="s">
        <v>1316</v>
      </c>
      <c r="G940" t="str">
        <f t="shared" si="30"/>
        <v>.csv</v>
      </c>
      <c r="H940" s="5" t="str">
        <f>IFERROR(IF(B940="FoPITY",INDEX(Customizations!$C$2:$C$19,MATCH(Sheet1!C940,Customizations!$B$2:$B$19,0),1),INDEX(About!C:C,MATCH(Sheet1!B940,About!B:B,0),1)),"")</f>
        <v>Liters per Water Output Unit.xlsx</v>
      </c>
      <c r="I940" s="5">
        <f>IFERROR(INDEX(About!$D:$D,MATCH(Sheet1!H940,About!$C:$C,0),1),0)</f>
        <v>1</v>
      </c>
      <c r="J940" s="6">
        <f t="shared" si="31"/>
        <v>1</v>
      </c>
    </row>
    <row r="941" spans="1:10" x14ac:dyDescent="0.25">
      <c r="A941" t="s">
        <v>817</v>
      </c>
      <c r="B941" t="s">
        <v>833</v>
      </c>
      <c r="C941" t="s">
        <v>834</v>
      </c>
      <c r="D941" t="s">
        <v>1317</v>
      </c>
      <c r="G941" t="str">
        <f t="shared" si="30"/>
        <v>.csv</v>
      </c>
      <c r="H941" s="5" t="str">
        <f>IFERROR(IF(B941="FoPITY",INDEX(Customizations!$C$2:$C$19,MATCH(Sheet1!C941,Customizations!$B$2:$B$19,0),1),INDEX(About!C:C,MATCH(Sheet1!B941,About!B:B,0),1)),"")</f>
        <v>Output Currency Conversion Factors.xlsx</v>
      </c>
      <c r="I941" s="5">
        <f>IFERROR(INDEX(About!$D:$D,MATCH(Sheet1!H941,About!$C:$C,0),1),0)</f>
        <v>1</v>
      </c>
      <c r="J941" s="6">
        <f t="shared" si="31"/>
        <v>1</v>
      </c>
    </row>
    <row r="942" spans="1:10" x14ac:dyDescent="0.25">
      <c r="A942" t="s">
        <v>817</v>
      </c>
      <c r="B942" t="s">
        <v>833</v>
      </c>
      <c r="C942" t="s">
        <v>835</v>
      </c>
      <c r="D942" t="s">
        <v>986</v>
      </c>
      <c r="G942" t="str">
        <f t="shared" si="30"/>
        <v>.csv</v>
      </c>
      <c r="H942" s="5" t="str">
        <f>IFERROR(IF(B942="FoPITY",INDEX(Customizations!$C$2:$C$19,MATCH(Sheet1!C942,Customizations!$B$2:$B$19,0),1),INDEX(About!C:C,MATCH(Sheet1!B942,About!B:B,0),1)),"")</f>
        <v>Output Currency Conversion Factors.xlsx</v>
      </c>
      <c r="I942" s="5">
        <f>IFERROR(INDEX(About!$D:$D,MATCH(Sheet1!H942,About!$C:$C,0),1),0)</f>
        <v>1</v>
      </c>
      <c r="J942" s="6">
        <f t="shared" si="31"/>
        <v>1</v>
      </c>
    </row>
    <row r="943" spans="1:10" x14ac:dyDescent="0.25">
      <c r="A943" t="s">
        <v>817</v>
      </c>
      <c r="B943" t="s">
        <v>833</v>
      </c>
      <c r="C943" t="s">
        <v>836</v>
      </c>
      <c r="D943" t="s">
        <v>211</v>
      </c>
      <c r="G943" t="str">
        <f t="shared" si="30"/>
        <v>.csv</v>
      </c>
      <c r="H943" s="5" t="str">
        <f>IFERROR(IF(B943="FoPITY",INDEX(Customizations!$C$2:$C$19,MATCH(Sheet1!C943,Customizations!$B$2:$B$19,0),1),INDEX(About!C:C,MATCH(Sheet1!B943,About!B:B,0),1)),"")</f>
        <v>Output Currency Conversion Factors.xlsx</v>
      </c>
      <c r="I943" s="5">
        <f>IFERROR(INDEX(About!$D:$D,MATCH(Sheet1!H943,About!$C:$C,0),1),0)</f>
        <v>1</v>
      </c>
      <c r="J943" s="6">
        <f t="shared" si="31"/>
        <v>1</v>
      </c>
    </row>
    <row r="944" spans="1:10" x14ac:dyDescent="0.25">
      <c r="A944" t="s">
        <v>817</v>
      </c>
      <c r="B944" t="s">
        <v>833</v>
      </c>
      <c r="C944" t="s">
        <v>837</v>
      </c>
      <c r="D944" t="s">
        <v>212</v>
      </c>
      <c r="G944" t="str">
        <f t="shared" si="30"/>
        <v>xlsx</v>
      </c>
      <c r="H944" s="5" t="str">
        <f>IFERROR(IF(B944="FoPITY",INDEX(Customizations!$C$2:$C$19,MATCH(Sheet1!C944,Customizations!$B$2:$B$19,0),1),INDEX(About!C:C,MATCH(Sheet1!B944,About!B:B,0),1)),"")</f>
        <v>Output Currency Conversion Factors.xlsx</v>
      </c>
      <c r="I944" s="5">
        <f>IFERROR(INDEX(About!$D:$D,MATCH(Sheet1!H944,About!$C:$C,0),1),0)</f>
        <v>1</v>
      </c>
      <c r="J944" s="6">
        <f t="shared" si="31"/>
        <v>0</v>
      </c>
    </row>
    <row r="945" spans="8:10" x14ac:dyDescent="0.25">
      <c r="H945" s="5"/>
      <c r="I945" s="5"/>
      <c r="J945" s="6"/>
    </row>
    <row r="946" spans="8:10" x14ac:dyDescent="0.25">
      <c r="H946" s="5"/>
      <c r="I946" s="5"/>
      <c r="J946" s="6"/>
    </row>
    <row r="947" spans="8:10" x14ac:dyDescent="0.25">
      <c r="H947" s="5"/>
      <c r="I947" s="5"/>
      <c r="J947" s="6"/>
    </row>
    <row r="948" spans="8:10" x14ac:dyDescent="0.25">
      <c r="H948" s="5"/>
      <c r="I948" s="5"/>
      <c r="J948" s="6"/>
    </row>
    <row r="949" spans="8:10" x14ac:dyDescent="0.25">
      <c r="H949" s="5"/>
      <c r="I949" s="5"/>
      <c r="J949" s="6"/>
    </row>
    <row r="950" spans="8:10" x14ac:dyDescent="0.25">
      <c r="H950" s="5"/>
      <c r="I950" s="5"/>
      <c r="J950" s="6"/>
    </row>
    <row r="951" spans="8:10" x14ac:dyDescent="0.25">
      <c r="H951" s="5"/>
      <c r="I951" s="5"/>
      <c r="J951" s="6"/>
    </row>
    <row r="952" spans="8:10" x14ac:dyDescent="0.25">
      <c r="H952" s="5"/>
      <c r="I952" s="5"/>
      <c r="J952" s="6"/>
    </row>
    <row r="953" spans="8:10" x14ac:dyDescent="0.25">
      <c r="H953" s="5"/>
      <c r="I953" s="5"/>
      <c r="J953" s="6"/>
    </row>
    <row r="954" spans="8:10" x14ac:dyDescent="0.25">
      <c r="H954" s="5"/>
      <c r="I954" s="5"/>
      <c r="J954" s="6"/>
    </row>
    <row r="955" spans="8:10" x14ac:dyDescent="0.25">
      <c r="H955" s="5"/>
      <c r="I955" s="5"/>
      <c r="J955" s="6"/>
    </row>
    <row r="956" spans="8:10" x14ac:dyDescent="0.25">
      <c r="H956" s="5"/>
      <c r="I956" s="5"/>
      <c r="J956" s="6"/>
    </row>
    <row r="957" spans="8:10" x14ac:dyDescent="0.25">
      <c r="H957" s="5"/>
      <c r="I957" s="5"/>
      <c r="J957" s="6"/>
    </row>
    <row r="958" spans="8:10" x14ac:dyDescent="0.25">
      <c r="H958" s="5"/>
      <c r="I958" s="5"/>
      <c r="J958" s="6"/>
    </row>
    <row r="959" spans="8:10" x14ac:dyDescent="0.25">
      <c r="H959" s="5"/>
      <c r="I959" s="5"/>
      <c r="J959" s="6"/>
    </row>
    <row r="960" spans="8:10" x14ac:dyDescent="0.25">
      <c r="H960" s="5"/>
      <c r="I960" s="5"/>
      <c r="J960" s="6"/>
    </row>
    <row r="961" spans="8:10" x14ac:dyDescent="0.25">
      <c r="H961" s="5"/>
      <c r="I961" s="5"/>
      <c r="J961" s="6"/>
    </row>
    <row r="962" spans="8:10" x14ac:dyDescent="0.25">
      <c r="H962" s="5"/>
      <c r="I962" s="5"/>
      <c r="J962" s="6"/>
    </row>
    <row r="963" spans="8:10" x14ac:dyDescent="0.25">
      <c r="H963" s="5"/>
      <c r="I963" s="5"/>
      <c r="J963" s="6"/>
    </row>
    <row r="964" spans="8:10" x14ac:dyDescent="0.25">
      <c r="H964" s="5"/>
      <c r="I964" s="5"/>
      <c r="J964" s="6"/>
    </row>
    <row r="965" spans="8:10" x14ac:dyDescent="0.25">
      <c r="H965" s="5"/>
      <c r="I965" s="5"/>
      <c r="J965" s="6"/>
    </row>
    <row r="966" spans="8:10" x14ac:dyDescent="0.25">
      <c r="H966" s="5"/>
      <c r="I966" s="5"/>
      <c r="J966" s="6"/>
    </row>
    <row r="967" spans="8:10" x14ac:dyDescent="0.25">
      <c r="H967" s="5"/>
      <c r="I967" s="5"/>
      <c r="J967" s="6"/>
    </row>
    <row r="968" spans="8:10" x14ac:dyDescent="0.25">
      <c r="H968" s="5"/>
      <c r="I968" s="5"/>
      <c r="J968" s="6"/>
    </row>
    <row r="969" spans="8:10" x14ac:dyDescent="0.25">
      <c r="H969" s="5"/>
      <c r="I969" s="5"/>
      <c r="J969" s="6"/>
    </row>
    <row r="970" spans="8:10" x14ac:dyDescent="0.25">
      <c r="H970" s="5"/>
      <c r="I970" s="5"/>
      <c r="J970" s="6"/>
    </row>
    <row r="971" spans="8:10" x14ac:dyDescent="0.25">
      <c r="H971" s="5"/>
      <c r="I971" s="5"/>
      <c r="J971" s="6"/>
    </row>
    <row r="972" spans="8:10" x14ac:dyDescent="0.25">
      <c r="H972" s="5"/>
      <c r="I972" s="5"/>
      <c r="J972" s="6"/>
    </row>
    <row r="973" spans="8:10" x14ac:dyDescent="0.25">
      <c r="H973" s="5"/>
      <c r="I973" s="5"/>
      <c r="J973" s="6"/>
    </row>
    <row r="974" spans="8:10" x14ac:dyDescent="0.25">
      <c r="H974" s="5"/>
      <c r="I974" s="5"/>
      <c r="J974" s="6"/>
    </row>
    <row r="975" spans="8:10" x14ac:dyDescent="0.25">
      <c r="H975" s="5"/>
      <c r="I975" s="5"/>
      <c r="J975" s="6"/>
    </row>
    <row r="976" spans="8:10" x14ac:dyDescent="0.25">
      <c r="H976" s="5"/>
      <c r="I976" s="5"/>
      <c r="J976" s="6"/>
    </row>
    <row r="977" spans="8:10" x14ac:dyDescent="0.25">
      <c r="H977" s="5"/>
      <c r="I977" s="5"/>
      <c r="J977" s="6"/>
    </row>
    <row r="978" spans="8:10" x14ac:dyDescent="0.25">
      <c r="H978" s="5"/>
      <c r="I978" s="5"/>
      <c r="J978" s="6"/>
    </row>
    <row r="979" spans="8:10" x14ac:dyDescent="0.25">
      <c r="H979" s="5"/>
      <c r="I979" s="5"/>
      <c r="J979" s="6"/>
    </row>
    <row r="980" spans="8:10" x14ac:dyDescent="0.25">
      <c r="H980" s="5"/>
      <c r="I980" s="5"/>
      <c r="J980" s="6"/>
    </row>
    <row r="981" spans="8:10" x14ac:dyDescent="0.25">
      <c r="H981" s="5"/>
      <c r="I981" s="5"/>
      <c r="J981" s="6"/>
    </row>
    <row r="982" spans="8:10" x14ac:dyDescent="0.25">
      <c r="H982" s="5"/>
      <c r="I982" s="5"/>
      <c r="J982" s="6"/>
    </row>
    <row r="983" spans="8:10" x14ac:dyDescent="0.25">
      <c r="H983" s="5"/>
      <c r="I983" s="5"/>
      <c r="J983" s="6"/>
    </row>
    <row r="984" spans="8:10" x14ac:dyDescent="0.25">
      <c r="H984" s="5"/>
      <c r="I984" s="5"/>
      <c r="J984" s="6"/>
    </row>
    <row r="985" spans="8:10" x14ac:dyDescent="0.25">
      <c r="H985" s="5"/>
      <c r="I985" s="5"/>
      <c r="J985" s="6"/>
    </row>
    <row r="986" spans="8:10" x14ac:dyDescent="0.25">
      <c r="H986" s="5"/>
      <c r="I986" s="5"/>
      <c r="J986" s="6"/>
    </row>
    <row r="987" spans="8:10" x14ac:dyDescent="0.25">
      <c r="H987" s="5"/>
      <c r="I987" s="5"/>
      <c r="J987" s="6"/>
    </row>
    <row r="988" spans="8:10" x14ac:dyDescent="0.25">
      <c r="H988" s="5"/>
      <c r="I988" s="5"/>
      <c r="J988" s="6"/>
    </row>
    <row r="989" spans="8:10" x14ac:dyDescent="0.25">
      <c r="H989" s="5"/>
      <c r="I989" s="5"/>
      <c r="J989" s="6"/>
    </row>
    <row r="990" spans="8:10" x14ac:dyDescent="0.25">
      <c r="H990" s="5"/>
      <c r="I990" s="5"/>
      <c r="J990" s="6"/>
    </row>
    <row r="991" spans="8:10" x14ac:dyDescent="0.25">
      <c r="H991" s="5"/>
      <c r="I991" s="5"/>
      <c r="J991" s="6"/>
    </row>
    <row r="992" spans="8:10" x14ac:dyDescent="0.25">
      <c r="H992" s="5"/>
      <c r="I992" s="5"/>
      <c r="J992" s="6"/>
    </row>
    <row r="993" spans="8:10" x14ac:dyDescent="0.25">
      <c r="H993" s="5"/>
      <c r="I993" s="5"/>
      <c r="J993" s="6"/>
    </row>
    <row r="994" spans="8:10" x14ac:dyDescent="0.25">
      <c r="H994" s="5"/>
      <c r="I994" s="5"/>
      <c r="J994" s="6"/>
    </row>
    <row r="995" spans="8:10" x14ac:dyDescent="0.25">
      <c r="H995" s="5"/>
      <c r="I995" s="5"/>
      <c r="J995" s="6"/>
    </row>
    <row r="996" spans="8:10" x14ac:dyDescent="0.25">
      <c r="H996" s="5"/>
      <c r="I996" s="5"/>
      <c r="J996" s="6"/>
    </row>
    <row r="997" spans="8:10" x14ac:dyDescent="0.25">
      <c r="H997" s="5"/>
      <c r="I997" s="5"/>
      <c r="J997" s="6"/>
    </row>
    <row r="998" spans="8:10" x14ac:dyDescent="0.25">
      <c r="H998" s="5"/>
      <c r="I998" s="5"/>
      <c r="J998" s="6"/>
    </row>
    <row r="999" spans="8:10" x14ac:dyDescent="0.25">
      <c r="H999" s="5"/>
      <c r="I999" s="5"/>
      <c r="J999" s="6"/>
    </row>
    <row r="1000" spans="8:10" x14ac:dyDescent="0.25">
      <c r="H1000" s="5"/>
      <c r="I1000" s="5"/>
      <c r="J1000" s="6"/>
    </row>
    <row r="1001" spans="8:10" x14ac:dyDescent="0.25">
      <c r="H1001" s="5"/>
      <c r="I1001" s="5"/>
      <c r="J1001" s="6"/>
    </row>
    <row r="1002" spans="8:10" x14ac:dyDescent="0.25">
      <c r="H1002" s="5"/>
      <c r="I1002" s="5"/>
      <c r="J1002" s="6"/>
    </row>
    <row r="1003" spans="8:10" x14ac:dyDescent="0.25">
      <c r="H1003" s="5"/>
      <c r="I1003" s="5"/>
      <c r="J1003" s="6"/>
    </row>
    <row r="1004" spans="8:10" x14ac:dyDescent="0.25">
      <c r="H1004" s="5"/>
      <c r="I1004" s="5"/>
      <c r="J1004" s="6"/>
    </row>
    <row r="1005" spans="8:10" x14ac:dyDescent="0.25">
      <c r="H1005" s="5"/>
      <c r="I1005" s="5"/>
      <c r="J1005" s="6"/>
    </row>
    <row r="1006" spans="8:10" x14ac:dyDescent="0.25">
      <c r="H1006" s="5"/>
      <c r="I1006" s="5"/>
      <c r="J1006" s="6"/>
    </row>
    <row r="1007" spans="8:10" x14ac:dyDescent="0.25">
      <c r="H1007" s="5"/>
      <c r="I1007" s="5"/>
      <c r="J1007" s="6"/>
    </row>
    <row r="1008" spans="8:10" x14ac:dyDescent="0.25">
      <c r="H1008" s="5"/>
      <c r="I1008" s="5"/>
      <c r="J1008" s="6"/>
    </row>
    <row r="1009" spans="8:10" x14ac:dyDescent="0.25">
      <c r="H1009" s="5"/>
      <c r="I1009" s="5"/>
      <c r="J1009" s="6"/>
    </row>
    <row r="1010" spans="8:10" x14ac:dyDescent="0.25">
      <c r="H1010" s="5"/>
      <c r="I1010" s="5"/>
      <c r="J1010" s="6"/>
    </row>
    <row r="1011" spans="8:10" x14ac:dyDescent="0.25">
      <c r="H1011" s="5"/>
      <c r="I1011" s="5"/>
      <c r="J1011" s="6"/>
    </row>
    <row r="1012" spans="8:10" x14ac:dyDescent="0.25">
      <c r="H1012" s="5"/>
      <c r="I1012" s="5"/>
      <c r="J1012" s="6"/>
    </row>
    <row r="1013" spans="8:10" x14ac:dyDescent="0.25">
      <c r="H1013" s="5"/>
      <c r="I1013" s="5"/>
      <c r="J1013" s="6"/>
    </row>
    <row r="1014" spans="8:10" x14ac:dyDescent="0.25">
      <c r="H1014" s="5"/>
      <c r="I1014" s="5"/>
      <c r="J1014" s="6"/>
    </row>
    <row r="1015" spans="8:10" x14ac:dyDescent="0.25">
      <c r="H1015" s="5"/>
      <c r="I1015" s="5"/>
      <c r="J1015" s="6"/>
    </row>
    <row r="1016" spans="8:10" x14ac:dyDescent="0.25">
      <c r="H1016" s="5"/>
      <c r="I1016" s="5"/>
      <c r="J1016" s="6"/>
    </row>
    <row r="1017" spans="8:10" x14ac:dyDescent="0.25">
      <c r="H1017" s="5"/>
      <c r="I1017" s="5"/>
      <c r="J1017" s="6"/>
    </row>
    <row r="1018" spans="8:10" x14ac:dyDescent="0.25">
      <c r="H1018" s="5"/>
      <c r="I1018" s="5"/>
      <c r="J1018" s="6"/>
    </row>
    <row r="1019" spans="8:10" x14ac:dyDescent="0.25">
      <c r="H1019" s="5"/>
      <c r="I1019" s="5"/>
      <c r="J1019" s="6"/>
    </row>
    <row r="1020" spans="8:10" x14ac:dyDescent="0.25">
      <c r="H1020" s="5"/>
      <c r="I1020" s="5"/>
      <c r="J1020" s="6"/>
    </row>
    <row r="1021" spans="8:10" x14ac:dyDescent="0.25">
      <c r="H1021" s="5"/>
      <c r="I1021" s="5"/>
      <c r="J1021" s="6"/>
    </row>
    <row r="1022" spans="8:10" x14ac:dyDescent="0.25">
      <c r="H1022" s="5"/>
      <c r="I1022" s="5"/>
      <c r="J1022" s="6"/>
    </row>
    <row r="1023" spans="8:10" x14ac:dyDescent="0.25">
      <c r="H1023" s="5"/>
      <c r="I1023" s="5"/>
      <c r="J1023" s="6"/>
    </row>
    <row r="1024" spans="8:10" x14ac:dyDescent="0.25">
      <c r="H1024" s="5"/>
      <c r="I1024" s="5"/>
      <c r="J1024" s="6"/>
    </row>
    <row r="1025" spans="8:10" x14ac:dyDescent="0.25">
      <c r="H1025" s="5"/>
      <c r="I1025" s="5"/>
      <c r="J1025" s="6"/>
    </row>
    <row r="1026" spans="8:10" x14ac:dyDescent="0.25">
      <c r="H1026" s="5"/>
      <c r="I1026" s="5"/>
      <c r="J1026" s="6"/>
    </row>
    <row r="1027" spans="8:10" x14ac:dyDescent="0.25">
      <c r="H1027" s="5"/>
      <c r="I1027" s="5"/>
      <c r="J1027" s="6"/>
    </row>
    <row r="1028" spans="8:10" x14ac:dyDescent="0.25">
      <c r="H1028" s="5"/>
      <c r="I1028" s="5"/>
      <c r="J1028" s="6"/>
    </row>
    <row r="1029" spans="8:10" x14ac:dyDescent="0.25">
      <c r="H1029" s="5"/>
      <c r="I1029" s="5"/>
      <c r="J1029" s="6"/>
    </row>
    <row r="1030" spans="8:10" x14ac:dyDescent="0.25">
      <c r="H1030" s="5"/>
      <c r="I1030" s="5"/>
      <c r="J1030" s="6"/>
    </row>
    <row r="1031" spans="8:10" x14ac:dyDescent="0.25">
      <c r="H1031" s="5"/>
      <c r="I1031" s="5"/>
      <c r="J1031" s="6"/>
    </row>
    <row r="1032" spans="8:10" x14ac:dyDescent="0.25">
      <c r="H1032" s="5"/>
      <c r="I1032" s="5"/>
      <c r="J1032" s="6"/>
    </row>
    <row r="1033" spans="8:10" x14ac:dyDescent="0.25">
      <c r="H1033" s="5"/>
      <c r="I1033" s="5"/>
      <c r="J1033" s="6"/>
    </row>
    <row r="1034" spans="8:10" x14ac:dyDescent="0.25">
      <c r="H1034" s="5"/>
      <c r="I1034" s="5"/>
      <c r="J1034" s="6"/>
    </row>
    <row r="1035" spans="8:10" x14ac:dyDescent="0.25">
      <c r="H1035" s="5"/>
      <c r="I1035" s="5"/>
      <c r="J1035" s="6"/>
    </row>
    <row r="1036" spans="8:10" x14ac:dyDescent="0.25">
      <c r="H1036" s="5"/>
      <c r="I1036" s="5"/>
      <c r="J1036" s="6"/>
    </row>
    <row r="1037" spans="8:10" x14ac:dyDescent="0.25">
      <c r="H1037" s="5"/>
      <c r="I1037" s="5"/>
      <c r="J1037" s="6"/>
    </row>
    <row r="1038" spans="8:10" x14ac:dyDescent="0.25">
      <c r="H1038" s="5"/>
      <c r="I1038" s="5"/>
      <c r="J1038" s="6"/>
    </row>
    <row r="1039" spans="8:10" x14ac:dyDescent="0.25">
      <c r="H1039" s="5"/>
      <c r="I1039" s="5"/>
      <c r="J1039" s="6"/>
    </row>
    <row r="1040" spans="8:10" x14ac:dyDescent="0.25">
      <c r="H1040" s="5"/>
      <c r="I1040" s="5"/>
      <c r="J1040" s="6"/>
    </row>
    <row r="1041" spans="8:10" x14ac:dyDescent="0.25">
      <c r="H1041" s="5"/>
      <c r="I1041" s="5"/>
      <c r="J1041" s="6"/>
    </row>
    <row r="1042" spans="8:10" x14ac:dyDescent="0.25">
      <c r="H1042" s="5"/>
      <c r="I1042" s="5"/>
      <c r="J1042" s="6"/>
    </row>
    <row r="1043" spans="8:10" x14ac:dyDescent="0.25">
      <c r="H1043" s="5"/>
      <c r="I1043" s="5"/>
      <c r="J1043" s="6"/>
    </row>
    <row r="1044" spans="8:10" x14ac:dyDescent="0.25">
      <c r="H1044" s="5"/>
      <c r="I1044" s="5"/>
      <c r="J1044" s="6"/>
    </row>
    <row r="1045" spans="8:10" x14ac:dyDescent="0.25">
      <c r="H1045" s="5"/>
      <c r="I1045" s="5"/>
      <c r="J1045" s="6"/>
    </row>
    <row r="1046" spans="8:10" x14ac:dyDescent="0.25">
      <c r="H1046" s="5"/>
      <c r="I1046" s="5"/>
      <c r="J1046" s="6"/>
    </row>
    <row r="1047" spans="8:10" x14ac:dyDescent="0.25">
      <c r="H1047" s="5"/>
      <c r="I1047" s="5"/>
      <c r="J1047" s="6"/>
    </row>
    <row r="1048" spans="8:10" x14ac:dyDescent="0.25">
      <c r="H1048" s="5"/>
      <c r="I1048" s="5"/>
      <c r="J1048" s="6"/>
    </row>
    <row r="1049" spans="8:10" x14ac:dyDescent="0.25">
      <c r="H1049" s="5"/>
      <c r="I1049" s="5"/>
      <c r="J1049" s="6"/>
    </row>
    <row r="1050" spans="8:10" x14ac:dyDescent="0.25">
      <c r="H1050" s="5"/>
      <c r="I1050" s="5"/>
      <c r="J1050" s="6"/>
    </row>
    <row r="1051" spans="8:10" x14ac:dyDescent="0.25">
      <c r="H1051" s="5"/>
      <c r="I1051" s="5"/>
      <c r="J1051" s="6"/>
    </row>
    <row r="1052" spans="8:10" x14ac:dyDescent="0.25">
      <c r="H1052" s="5"/>
      <c r="I1052" s="5"/>
      <c r="J1052" s="6"/>
    </row>
    <row r="1053" spans="8:10" x14ac:dyDescent="0.25">
      <c r="H1053" s="5"/>
      <c r="I1053" s="5"/>
      <c r="J1053" s="6"/>
    </row>
    <row r="1054" spans="8:10" x14ac:dyDescent="0.25">
      <c r="H1054" s="5"/>
      <c r="I1054" s="5"/>
      <c r="J1054" s="6"/>
    </row>
    <row r="1055" spans="8:10" x14ac:dyDescent="0.25">
      <c r="H1055" s="5"/>
      <c r="I1055" s="5"/>
      <c r="J1055" s="6"/>
    </row>
    <row r="1056" spans="8:10" x14ac:dyDescent="0.25">
      <c r="H1056" s="5"/>
      <c r="I1056" s="5"/>
      <c r="J1056" s="6"/>
    </row>
    <row r="1057" spans="8:10" x14ac:dyDescent="0.25">
      <c r="H1057" s="5"/>
      <c r="I1057" s="5"/>
      <c r="J1057" s="6"/>
    </row>
    <row r="1058" spans="8:10" x14ac:dyDescent="0.25">
      <c r="H1058" s="5"/>
      <c r="I1058" s="5"/>
      <c r="J1058" s="6"/>
    </row>
    <row r="1059" spans="8:10" x14ac:dyDescent="0.25">
      <c r="H1059" s="5"/>
      <c r="I1059" s="5"/>
      <c r="J1059" s="6"/>
    </row>
    <row r="1060" spans="8:10" x14ac:dyDescent="0.25">
      <c r="H1060" s="5"/>
      <c r="I1060" s="5"/>
      <c r="J1060" s="6"/>
    </row>
    <row r="1061" spans="8:10" x14ac:dyDescent="0.25">
      <c r="H1061" s="5"/>
      <c r="I1061" s="5"/>
      <c r="J1061" s="6"/>
    </row>
    <row r="1062" spans="8:10" x14ac:dyDescent="0.25">
      <c r="H1062" s="5"/>
      <c r="I1062" s="5"/>
      <c r="J1062" s="6"/>
    </row>
    <row r="1063" spans="8:10" x14ac:dyDescent="0.25">
      <c r="H1063" s="5"/>
      <c r="I1063" s="5"/>
      <c r="J1063" s="6"/>
    </row>
    <row r="1064" spans="8:10" x14ac:dyDescent="0.25">
      <c r="H1064" s="5"/>
      <c r="I1064" s="5"/>
      <c r="J1064" s="6"/>
    </row>
    <row r="1065" spans="8:10" x14ac:dyDescent="0.25">
      <c r="H1065" s="5"/>
      <c r="I1065" s="5"/>
      <c r="J1065" s="6"/>
    </row>
    <row r="1066" spans="8:10" x14ac:dyDescent="0.25">
      <c r="H1066" s="5"/>
      <c r="I1066" s="5"/>
      <c r="J1066" s="6"/>
    </row>
    <row r="1067" spans="8:10" x14ac:dyDescent="0.25">
      <c r="H1067" s="5"/>
      <c r="I1067" s="5"/>
      <c r="J1067" s="6"/>
    </row>
    <row r="1068" spans="8:10" x14ac:dyDescent="0.25">
      <c r="H1068" s="5"/>
      <c r="I1068" s="5"/>
      <c r="J1068" s="6"/>
    </row>
    <row r="1069" spans="8:10" x14ac:dyDescent="0.25">
      <c r="H1069" s="5"/>
      <c r="I1069" s="5"/>
      <c r="J1069" s="6"/>
    </row>
    <row r="1070" spans="8:10" x14ac:dyDescent="0.25">
      <c r="H1070" s="5"/>
      <c r="I1070" s="5"/>
      <c r="J1070" s="6"/>
    </row>
    <row r="1071" spans="8:10" x14ac:dyDescent="0.25">
      <c r="H1071" s="5"/>
      <c r="I1071" s="5"/>
      <c r="J1071" s="6"/>
    </row>
    <row r="1072" spans="8:10" x14ac:dyDescent="0.25">
      <c r="H1072" s="5"/>
      <c r="I1072" s="5"/>
      <c r="J1072" s="6"/>
    </row>
    <row r="1073" spans="8:10" x14ac:dyDescent="0.25">
      <c r="H1073" s="5"/>
      <c r="I1073" s="5"/>
      <c r="J1073" s="6"/>
    </row>
    <row r="1074" spans="8:10" x14ac:dyDescent="0.25">
      <c r="H1074" s="5"/>
      <c r="I1074" s="5"/>
      <c r="J1074" s="6"/>
    </row>
    <row r="1075" spans="8:10" x14ac:dyDescent="0.25">
      <c r="H1075" s="5"/>
      <c r="I1075" s="5"/>
      <c r="J1075" s="6"/>
    </row>
    <row r="1076" spans="8:10" x14ac:dyDescent="0.25">
      <c r="H1076" s="5"/>
      <c r="I1076" s="5"/>
      <c r="J1076" s="6"/>
    </row>
    <row r="1077" spans="8:10" x14ac:dyDescent="0.25">
      <c r="H1077" s="5"/>
      <c r="I1077" s="5"/>
      <c r="J1077" s="6"/>
    </row>
    <row r="1078" spans="8:10" x14ac:dyDescent="0.25">
      <c r="H1078" s="5"/>
      <c r="I1078" s="5"/>
      <c r="J1078" s="6"/>
    </row>
    <row r="1079" spans="8:10" x14ac:dyDescent="0.25">
      <c r="H1079" s="5"/>
      <c r="I1079" s="5"/>
      <c r="J1079" s="6"/>
    </row>
    <row r="1080" spans="8:10" x14ac:dyDescent="0.25">
      <c r="H1080" s="5"/>
      <c r="I1080" s="5"/>
      <c r="J1080" s="6"/>
    </row>
    <row r="1081" spans="8:10" x14ac:dyDescent="0.25">
      <c r="H1081" s="5"/>
      <c r="I1081" s="5"/>
      <c r="J1081" s="6"/>
    </row>
    <row r="1082" spans="8:10" x14ac:dyDescent="0.25">
      <c r="H1082" s="5"/>
      <c r="I1082" s="5"/>
      <c r="J1082" s="6"/>
    </row>
    <row r="1083" spans="8:10" x14ac:dyDescent="0.25">
      <c r="H1083" s="5"/>
      <c r="I1083" s="5"/>
      <c r="J1083" s="6"/>
    </row>
    <row r="1084" spans="8:10" x14ac:dyDescent="0.25">
      <c r="H1084" s="5"/>
      <c r="I1084" s="5"/>
      <c r="J1084" s="6"/>
    </row>
    <row r="1085" spans="8:10" x14ac:dyDescent="0.25">
      <c r="H1085" s="5"/>
      <c r="I1085" s="5"/>
      <c r="J1085" s="6"/>
    </row>
    <row r="1086" spans="8:10" x14ac:dyDescent="0.25">
      <c r="H1086" s="5"/>
      <c r="I1086" s="5"/>
      <c r="J1086" s="6"/>
    </row>
    <row r="1087" spans="8:10" x14ac:dyDescent="0.25">
      <c r="H1087" s="5"/>
      <c r="I1087" s="5"/>
      <c r="J1087" s="6"/>
    </row>
    <row r="1088" spans="8:10" x14ac:dyDescent="0.25">
      <c r="H1088" s="5"/>
      <c r="I1088" s="5"/>
      <c r="J1088" s="6"/>
    </row>
    <row r="1089" spans="8:10" x14ac:dyDescent="0.25">
      <c r="H1089" s="5"/>
      <c r="I1089" s="5"/>
      <c r="J1089" s="6"/>
    </row>
    <row r="1090" spans="8:10" x14ac:dyDescent="0.25">
      <c r="H1090" s="5"/>
      <c r="I1090" s="5"/>
      <c r="J1090" s="6"/>
    </row>
    <row r="1091" spans="8:10" x14ac:dyDescent="0.25">
      <c r="H1091" s="5"/>
      <c r="I1091" s="5"/>
      <c r="J1091" s="6"/>
    </row>
    <row r="1092" spans="8:10" x14ac:dyDescent="0.25">
      <c r="H1092" s="5"/>
      <c r="I1092" s="5"/>
      <c r="J1092" s="6"/>
    </row>
    <row r="1093" spans="8:10" x14ac:dyDescent="0.25">
      <c r="H1093" s="5"/>
      <c r="I1093" s="5"/>
      <c r="J1093" s="6"/>
    </row>
    <row r="1094" spans="8:10" x14ac:dyDescent="0.25">
      <c r="H1094" s="5"/>
      <c r="I1094" s="5"/>
      <c r="J1094" s="6"/>
    </row>
    <row r="1095" spans="8:10" x14ac:dyDescent="0.25">
      <c r="H1095" s="5"/>
      <c r="I1095" s="5"/>
      <c r="J1095" s="6"/>
    </row>
    <row r="1096" spans="8:10" x14ac:dyDescent="0.25">
      <c r="H1096" s="5"/>
      <c r="I1096" s="5"/>
      <c r="J1096" s="6"/>
    </row>
    <row r="1097" spans="8:10" x14ac:dyDescent="0.25">
      <c r="H1097" s="5"/>
      <c r="I1097" s="5"/>
      <c r="J1097" s="6"/>
    </row>
    <row r="1098" spans="8:10" x14ac:dyDescent="0.25">
      <c r="H1098" s="5"/>
      <c r="I1098" s="5"/>
      <c r="J1098" s="6"/>
    </row>
    <row r="1099" spans="8:10" x14ac:dyDescent="0.25">
      <c r="H1099" s="5"/>
      <c r="I1099" s="5"/>
      <c r="J1099" s="6"/>
    </row>
    <row r="1100" spans="8:10" x14ac:dyDescent="0.25">
      <c r="H1100" s="5"/>
      <c r="I1100" s="5"/>
      <c r="J1100" s="6"/>
    </row>
    <row r="1101" spans="8:10" x14ac:dyDescent="0.25">
      <c r="H1101" s="5"/>
      <c r="I1101" s="5"/>
      <c r="J1101" s="6"/>
    </row>
    <row r="1102" spans="8:10" x14ac:dyDescent="0.25">
      <c r="H1102" s="5"/>
      <c r="I1102" s="5"/>
      <c r="J1102" s="6"/>
    </row>
    <row r="1103" spans="8:10" x14ac:dyDescent="0.25">
      <c r="H1103" s="5"/>
      <c r="I1103" s="5"/>
      <c r="J1103" s="6"/>
    </row>
    <row r="1104" spans="8:10" x14ac:dyDescent="0.25">
      <c r="H1104" s="5"/>
      <c r="I1104" s="5"/>
      <c r="J1104" s="6"/>
    </row>
    <row r="1105" spans="8:10" x14ac:dyDescent="0.25">
      <c r="H1105" s="5"/>
      <c r="I1105" s="5"/>
      <c r="J1105" s="6"/>
    </row>
    <row r="1106" spans="8:10" x14ac:dyDescent="0.25">
      <c r="H1106" s="5"/>
      <c r="I1106" s="5"/>
      <c r="J1106" s="6"/>
    </row>
    <row r="1107" spans="8:10" x14ac:dyDescent="0.25">
      <c r="H1107" s="5"/>
      <c r="I1107" s="5"/>
      <c r="J1107" s="6"/>
    </row>
    <row r="1108" spans="8:10" x14ac:dyDescent="0.25">
      <c r="H1108" s="5"/>
      <c r="I1108" s="5"/>
      <c r="J1108" s="6"/>
    </row>
    <row r="1109" spans="8:10" x14ac:dyDescent="0.25">
      <c r="H1109" s="5"/>
      <c r="I1109" s="5"/>
      <c r="J1109" s="6"/>
    </row>
    <row r="1110" spans="8:10" x14ac:dyDescent="0.25">
      <c r="H1110" s="5"/>
      <c r="I1110" s="5"/>
      <c r="J1110" s="6"/>
    </row>
    <row r="1111" spans="8:10" x14ac:dyDescent="0.25">
      <c r="H1111" s="5"/>
      <c r="I1111" s="5"/>
      <c r="J1111" s="6"/>
    </row>
    <row r="1112" spans="8:10" x14ac:dyDescent="0.25">
      <c r="H1112" s="5"/>
      <c r="I1112" s="5"/>
      <c r="J1112" s="6"/>
    </row>
    <row r="1113" spans="8:10" x14ac:dyDescent="0.25">
      <c r="H1113" s="5"/>
      <c r="I1113" s="5"/>
      <c r="J1113" s="6"/>
    </row>
    <row r="1114" spans="8:10" x14ac:dyDescent="0.25">
      <c r="H1114" s="5"/>
      <c r="I1114" s="5"/>
      <c r="J1114" s="6"/>
    </row>
    <row r="1115" spans="8:10" x14ac:dyDescent="0.25">
      <c r="H1115" s="5"/>
      <c r="I1115" s="5"/>
      <c r="J1115" s="6"/>
    </row>
    <row r="1116" spans="8:10" x14ac:dyDescent="0.25">
      <c r="H1116" s="5"/>
      <c r="I1116" s="5"/>
      <c r="J1116" s="6"/>
    </row>
    <row r="1117" spans="8:10" x14ac:dyDescent="0.25">
      <c r="H1117" s="5"/>
      <c r="I1117" s="5"/>
      <c r="J1117" s="6"/>
    </row>
    <row r="1118" spans="8:10" x14ac:dyDescent="0.25">
      <c r="H1118" s="5"/>
      <c r="I1118" s="5"/>
      <c r="J1118" s="6"/>
    </row>
    <row r="1119" spans="8:10" x14ac:dyDescent="0.25">
      <c r="H1119" s="5"/>
      <c r="I1119" s="5"/>
      <c r="J1119" s="6"/>
    </row>
    <row r="1120" spans="8:10" x14ac:dyDescent="0.25">
      <c r="H1120" s="5"/>
      <c r="I1120" s="5"/>
      <c r="J1120" s="6"/>
    </row>
    <row r="1121" spans="8:10" x14ac:dyDescent="0.25">
      <c r="H1121" s="5"/>
      <c r="I1121" s="5"/>
      <c r="J1121" s="6"/>
    </row>
    <row r="1122" spans="8:10" x14ac:dyDescent="0.25">
      <c r="H1122" s="5"/>
      <c r="I1122" s="5"/>
      <c r="J1122" s="6"/>
    </row>
    <row r="1123" spans="8:10" x14ac:dyDescent="0.25">
      <c r="H1123" s="5"/>
      <c r="I1123" s="5"/>
      <c r="J1123" s="6"/>
    </row>
    <row r="1124" spans="8:10" x14ac:dyDescent="0.25">
      <c r="H1124" s="5"/>
      <c r="I1124" s="5"/>
      <c r="J1124" s="6"/>
    </row>
    <row r="1125" spans="8:10" x14ac:dyDescent="0.25">
      <c r="H1125" s="5"/>
      <c r="I1125" s="5"/>
      <c r="J1125" s="6"/>
    </row>
    <row r="1126" spans="8:10" x14ac:dyDescent="0.25">
      <c r="H1126" s="5"/>
      <c r="I1126" s="5"/>
      <c r="J1126" s="6"/>
    </row>
    <row r="1127" spans="8:10" x14ac:dyDescent="0.25">
      <c r="H1127" s="5"/>
      <c r="I1127" s="5"/>
      <c r="J1127" s="6"/>
    </row>
    <row r="1128" spans="8:10" x14ac:dyDescent="0.25">
      <c r="H1128" s="5"/>
      <c r="I1128" s="5"/>
      <c r="J1128" s="6"/>
    </row>
    <row r="1129" spans="8:10" x14ac:dyDescent="0.25">
      <c r="H1129" s="5"/>
      <c r="I1129" s="5"/>
      <c r="J1129" s="6"/>
    </row>
    <row r="1130" spans="8:10" x14ac:dyDescent="0.25">
      <c r="H1130" s="5"/>
      <c r="I1130" s="5"/>
      <c r="J1130" s="6"/>
    </row>
    <row r="1131" spans="8:10" x14ac:dyDescent="0.25">
      <c r="H1131" s="5"/>
      <c r="I1131" s="5"/>
      <c r="J1131" s="6"/>
    </row>
    <row r="1132" spans="8:10" x14ac:dyDescent="0.25">
      <c r="H1132" s="5"/>
      <c r="I1132" s="5"/>
      <c r="J1132" s="6"/>
    </row>
    <row r="1133" spans="8:10" x14ac:dyDescent="0.25">
      <c r="H1133" s="5"/>
      <c r="I1133" s="5"/>
      <c r="J1133" s="6"/>
    </row>
    <row r="1134" spans="8:10" x14ac:dyDescent="0.25">
      <c r="H1134" s="5"/>
      <c r="I1134" s="5"/>
      <c r="J1134" s="6"/>
    </row>
    <row r="1135" spans="8:10" x14ac:dyDescent="0.25">
      <c r="H1135" s="5"/>
      <c r="I1135" s="5"/>
      <c r="J1135" s="6"/>
    </row>
    <row r="1136" spans="8:10" x14ac:dyDescent="0.25">
      <c r="H1136" s="5"/>
      <c r="I1136" s="5"/>
      <c r="J1136" s="6"/>
    </row>
    <row r="1137" spans="8:10" x14ac:dyDescent="0.25">
      <c r="H1137" s="5"/>
      <c r="I1137" s="5"/>
      <c r="J1137" s="6"/>
    </row>
    <row r="1138" spans="8:10" x14ac:dyDescent="0.25">
      <c r="H1138" s="5"/>
      <c r="I1138" s="5"/>
      <c r="J1138" s="6"/>
    </row>
    <row r="1139" spans="8:10" x14ac:dyDescent="0.25">
      <c r="H1139" s="5"/>
      <c r="I1139" s="5"/>
      <c r="J1139" s="6"/>
    </row>
    <row r="1140" spans="8:10" x14ac:dyDescent="0.25">
      <c r="H1140" s="5"/>
      <c r="I1140" s="5"/>
      <c r="J1140" s="6"/>
    </row>
    <row r="1141" spans="8:10" x14ac:dyDescent="0.25">
      <c r="H1141" s="5"/>
      <c r="I1141" s="5"/>
      <c r="J1141" s="6"/>
    </row>
    <row r="1142" spans="8:10" x14ac:dyDescent="0.25">
      <c r="H1142" s="5"/>
      <c r="I1142" s="5"/>
      <c r="J1142" s="6"/>
    </row>
    <row r="1143" spans="8:10" x14ac:dyDescent="0.25">
      <c r="H1143" s="5"/>
      <c r="I1143" s="5"/>
      <c r="J1143" s="6"/>
    </row>
    <row r="1144" spans="8:10" x14ac:dyDescent="0.25">
      <c r="H1144" s="5"/>
      <c r="I1144" s="5"/>
      <c r="J1144" s="6"/>
    </row>
    <row r="1145" spans="8:10" x14ac:dyDescent="0.25">
      <c r="H1145" s="5"/>
      <c r="I1145" s="5"/>
      <c r="J1145" s="6"/>
    </row>
    <row r="1146" spans="8:10" x14ac:dyDescent="0.25">
      <c r="H1146" s="5"/>
      <c r="I1146" s="5"/>
      <c r="J1146" s="6"/>
    </row>
    <row r="1147" spans="8:10" x14ac:dyDescent="0.25">
      <c r="H1147" s="5"/>
      <c r="I1147" s="5"/>
      <c r="J1147" s="6"/>
    </row>
    <row r="1148" spans="8:10" x14ac:dyDescent="0.25">
      <c r="H1148" s="5"/>
      <c r="I1148" s="5"/>
      <c r="J1148" s="6"/>
    </row>
    <row r="1149" spans="8:10" x14ac:dyDescent="0.25">
      <c r="H1149" s="5"/>
      <c r="I1149" s="5"/>
      <c r="J1149" s="6"/>
    </row>
    <row r="1150" spans="8:10" x14ac:dyDescent="0.25">
      <c r="H1150" s="5"/>
      <c r="I1150" s="5"/>
      <c r="J1150" s="6"/>
    </row>
    <row r="1151" spans="8:10" x14ac:dyDescent="0.25">
      <c r="H1151" s="5"/>
      <c r="I1151" s="5"/>
      <c r="J1151" s="6"/>
    </row>
    <row r="1152" spans="8:10" x14ac:dyDescent="0.25">
      <c r="H1152" s="5"/>
      <c r="I1152" s="5"/>
      <c r="J1152" s="6"/>
    </row>
    <row r="1153" spans="8:10" x14ac:dyDescent="0.25">
      <c r="H1153" s="5"/>
      <c r="I1153" s="5"/>
      <c r="J1153" s="6"/>
    </row>
    <row r="1154" spans="8:10" x14ac:dyDescent="0.25">
      <c r="H1154" s="5"/>
      <c r="I1154" s="5"/>
      <c r="J1154" s="6"/>
    </row>
    <row r="1155" spans="8:10" x14ac:dyDescent="0.25">
      <c r="H1155" s="5"/>
      <c r="I1155" s="5"/>
      <c r="J1155" s="6"/>
    </row>
    <row r="1156" spans="8:10" x14ac:dyDescent="0.25">
      <c r="H1156" s="5"/>
      <c r="I1156" s="5"/>
      <c r="J1156" s="6"/>
    </row>
    <row r="1157" spans="8:10" x14ac:dyDescent="0.25">
      <c r="H1157" s="5"/>
      <c r="I1157" s="5"/>
      <c r="J1157" s="6"/>
    </row>
    <row r="1158" spans="8:10" x14ac:dyDescent="0.25">
      <c r="H1158" s="5"/>
      <c r="I1158" s="5"/>
      <c r="J1158" s="6"/>
    </row>
    <row r="1159" spans="8:10" x14ac:dyDescent="0.25">
      <c r="H1159" s="5"/>
      <c r="I1159" s="5"/>
      <c r="J1159" s="6"/>
    </row>
    <row r="1160" spans="8:10" x14ac:dyDescent="0.25">
      <c r="H1160" s="5"/>
      <c r="I1160" s="5"/>
      <c r="J1160" s="6"/>
    </row>
    <row r="1161" spans="8:10" x14ac:dyDescent="0.25">
      <c r="H1161" s="5"/>
      <c r="I1161" s="5"/>
      <c r="J1161" s="6"/>
    </row>
    <row r="1162" spans="8:10" x14ac:dyDescent="0.25">
      <c r="H1162" s="5"/>
      <c r="I1162" s="5"/>
      <c r="J1162" s="6"/>
    </row>
    <row r="1163" spans="8:10" x14ac:dyDescent="0.25">
      <c r="H1163" s="5"/>
      <c r="I1163" s="5"/>
      <c r="J1163" s="6"/>
    </row>
    <row r="1164" spans="8:10" x14ac:dyDescent="0.25">
      <c r="H1164" s="5"/>
      <c r="I1164" s="5"/>
      <c r="J1164" s="6"/>
    </row>
    <row r="1165" spans="8:10" x14ac:dyDescent="0.25">
      <c r="H1165" s="5"/>
      <c r="I1165" s="5"/>
      <c r="J1165" s="6"/>
    </row>
    <row r="1166" spans="8:10" x14ac:dyDescent="0.25">
      <c r="H1166" s="5"/>
      <c r="I1166" s="5"/>
      <c r="J1166" s="6"/>
    </row>
    <row r="1167" spans="8:10" x14ac:dyDescent="0.25">
      <c r="H1167" s="5"/>
      <c r="I1167" s="5"/>
      <c r="J1167" s="6"/>
    </row>
    <row r="1168" spans="8:10" x14ac:dyDescent="0.25">
      <c r="H1168" s="5"/>
      <c r="I1168" s="5"/>
      <c r="J1168" s="6"/>
    </row>
    <row r="1169" spans="8:10" x14ac:dyDescent="0.25">
      <c r="H1169" s="5"/>
      <c r="I1169" s="5"/>
      <c r="J1169" s="6"/>
    </row>
    <row r="1170" spans="8:10" x14ac:dyDescent="0.25">
      <c r="H1170" s="5"/>
      <c r="I1170" s="5"/>
      <c r="J1170" s="6"/>
    </row>
    <row r="1171" spans="8:10" x14ac:dyDescent="0.25">
      <c r="H1171" s="5"/>
      <c r="I1171" s="5"/>
      <c r="J1171" s="6"/>
    </row>
    <row r="1172" spans="8:10" x14ac:dyDescent="0.25">
      <c r="H1172" s="5"/>
      <c r="I1172" s="5"/>
      <c r="J1172" s="6"/>
    </row>
    <row r="1173" spans="8:10" x14ac:dyDescent="0.25">
      <c r="H1173" s="5"/>
      <c r="I1173" s="5"/>
      <c r="J1173" s="6"/>
    </row>
    <row r="1174" spans="8:10" x14ac:dyDescent="0.25">
      <c r="H1174" s="5"/>
      <c r="I1174" s="5"/>
      <c r="J1174" s="6"/>
    </row>
    <row r="1175" spans="8:10" x14ac:dyDescent="0.25">
      <c r="H1175" s="5"/>
      <c r="I1175" s="5"/>
      <c r="J1175" s="6"/>
    </row>
    <row r="1176" spans="8:10" x14ac:dyDescent="0.25">
      <c r="H1176" s="5"/>
      <c r="I1176" s="5"/>
      <c r="J1176" s="6"/>
    </row>
    <row r="1177" spans="8:10" x14ac:dyDescent="0.25">
      <c r="H1177" s="5"/>
      <c r="I1177" s="5"/>
      <c r="J1177" s="6"/>
    </row>
    <row r="1178" spans="8:10" x14ac:dyDescent="0.25">
      <c r="H1178" s="5"/>
      <c r="I1178" s="5"/>
      <c r="J1178" s="6"/>
    </row>
    <row r="1179" spans="8:10" x14ac:dyDescent="0.25">
      <c r="H1179" s="5"/>
      <c r="I1179" s="5"/>
      <c r="J1179" s="6"/>
    </row>
    <row r="1180" spans="8:10" x14ac:dyDescent="0.25">
      <c r="H1180" s="5"/>
      <c r="I1180" s="5"/>
      <c r="J1180" s="6"/>
    </row>
    <row r="1181" spans="8:10" x14ac:dyDescent="0.25">
      <c r="H1181" s="5"/>
      <c r="I1181" s="5"/>
      <c r="J1181" s="6"/>
    </row>
    <row r="1182" spans="8:10" x14ac:dyDescent="0.25">
      <c r="H1182" s="5"/>
      <c r="I1182" s="5"/>
      <c r="J1182" s="6"/>
    </row>
    <row r="1183" spans="8:10" x14ac:dyDescent="0.25">
      <c r="H1183" s="5"/>
      <c r="I1183" s="5"/>
      <c r="J1183" s="6"/>
    </row>
    <row r="1184" spans="8:10" x14ac:dyDescent="0.25">
      <c r="H1184" s="5"/>
      <c r="I1184" s="5"/>
      <c r="J1184" s="6"/>
    </row>
    <row r="1185" spans="8:10" x14ac:dyDescent="0.25">
      <c r="H1185" s="5"/>
      <c r="I1185" s="5"/>
      <c r="J1185" s="6"/>
    </row>
    <row r="1186" spans="8:10" x14ac:dyDescent="0.25">
      <c r="H1186" s="5"/>
      <c r="I1186" s="5"/>
      <c r="J1186" s="6"/>
    </row>
    <row r="1187" spans="8:10" x14ac:dyDescent="0.25">
      <c r="H1187" s="5"/>
      <c r="I1187" s="5"/>
      <c r="J1187" s="6"/>
    </row>
    <row r="1188" spans="8:10" x14ac:dyDescent="0.25">
      <c r="H1188" s="5"/>
      <c r="I1188" s="5"/>
      <c r="J1188" s="6"/>
    </row>
    <row r="1189" spans="8:10" x14ac:dyDescent="0.25">
      <c r="H1189" s="5"/>
      <c r="I1189" s="5"/>
      <c r="J1189" s="6"/>
    </row>
    <row r="1190" spans="8:10" x14ac:dyDescent="0.25">
      <c r="H1190" s="5"/>
      <c r="I1190" s="5"/>
      <c r="J1190" s="6"/>
    </row>
    <row r="1191" spans="8:10" x14ac:dyDescent="0.25">
      <c r="H1191" s="5"/>
      <c r="I1191" s="5"/>
      <c r="J1191" s="6"/>
    </row>
    <row r="1192" spans="8:10" x14ac:dyDescent="0.25">
      <c r="H1192" s="5"/>
      <c r="I1192" s="5"/>
      <c r="J1192" s="6"/>
    </row>
    <row r="1193" spans="8:10" x14ac:dyDescent="0.25">
      <c r="H1193" s="5"/>
      <c r="I1193" s="5"/>
      <c r="J1193" s="6"/>
    </row>
    <row r="1194" spans="8:10" x14ac:dyDescent="0.25">
      <c r="H1194" s="5"/>
      <c r="I1194" s="5"/>
      <c r="J1194" s="6"/>
    </row>
    <row r="1195" spans="8:10" x14ac:dyDescent="0.25">
      <c r="H1195" s="5"/>
      <c r="I1195" s="5"/>
      <c r="J1195" s="6"/>
    </row>
    <row r="1196" spans="8:10" x14ac:dyDescent="0.25">
      <c r="H1196" s="5"/>
      <c r="I1196" s="5"/>
      <c r="J1196" s="6"/>
    </row>
    <row r="1197" spans="8:10" x14ac:dyDescent="0.25">
      <c r="H1197" s="5"/>
      <c r="I1197" s="5"/>
      <c r="J1197" s="6"/>
    </row>
    <row r="1198" spans="8:10" x14ac:dyDescent="0.25">
      <c r="H1198" s="5"/>
      <c r="I1198" s="5"/>
      <c r="J1198" s="6"/>
    </row>
    <row r="1199" spans="8:10" x14ac:dyDescent="0.25">
      <c r="H1199" s="5"/>
      <c r="I1199" s="5"/>
      <c r="J1199" s="6"/>
    </row>
    <row r="1200" spans="8:10" x14ac:dyDescent="0.25">
      <c r="H1200" s="5"/>
      <c r="I1200" s="5"/>
      <c r="J1200" s="6"/>
    </row>
    <row r="1201" spans="8:10" x14ac:dyDescent="0.25">
      <c r="H1201" s="5"/>
      <c r="I1201" s="5"/>
      <c r="J1201" s="6"/>
    </row>
    <row r="1202" spans="8:10" x14ac:dyDescent="0.25">
      <c r="H1202" s="5"/>
      <c r="I1202" s="5"/>
      <c r="J1202" s="6"/>
    </row>
    <row r="1203" spans="8:10" x14ac:dyDescent="0.25">
      <c r="H1203" s="5"/>
      <c r="I1203" s="5"/>
      <c r="J1203" s="6"/>
    </row>
    <row r="1204" spans="8:10" x14ac:dyDescent="0.25">
      <c r="H1204" s="5"/>
      <c r="I1204" s="5"/>
      <c r="J1204" s="6"/>
    </row>
    <row r="1205" spans="8:10" x14ac:dyDescent="0.25">
      <c r="H1205" s="5"/>
      <c r="I1205" s="5"/>
      <c r="J1205" s="6"/>
    </row>
    <row r="1206" spans="8:10" x14ac:dyDescent="0.25">
      <c r="H1206" s="5"/>
      <c r="I1206" s="5"/>
      <c r="J1206" s="6"/>
    </row>
    <row r="1207" spans="8:10" x14ac:dyDescent="0.25">
      <c r="H1207" s="5"/>
      <c r="I1207" s="5"/>
      <c r="J1207" s="6"/>
    </row>
    <row r="1208" spans="8:10" x14ac:dyDescent="0.25">
      <c r="H1208" s="5"/>
      <c r="I1208" s="5"/>
      <c r="J1208" s="6"/>
    </row>
    <row r="1209" spans="8:10" x14ac:dyDescent="0.25">
      <c r="H1209" s="5"/>
      <c r="I1209" s="5"/>
      <c r="J1209" s="6"/>
    </row>
    <row r="1210" spans="8:10" x14ac:dyDescent="0.25">
      <c r="H1210" s="5"/>
      <c r="I1210" s="5"/>
      <c r="J1210" s="6"/>
    </row>
    <row r="1211" spans="8:10" x14ac:dyDescent="0.25">
      <c r="H1211" s="5"/>
      <c r="I1211" s="5"/>
      <c r="J1211" s="6"/>
    </row>
    <row r="1212" spans="8:10" x14ac:dyDescent="0.25">
      <c r="H1212" s="5"/>
      <c r="I1212" s="5"/>
      <c r="J1212" s="6"/>
    </row>
    <row r="1213" spans="8:10" x14ac:dyDescent="0.25">
      <c r="H1213" s="5"/>
      <c r="I1213" s="5"/>
      <c r="J1213" s="6"/>
    </row>
    <row r="1214" spans="8:10" x14ac:dyDescent="0.25">
      <c r="H1214" s="5"/>
      <c r="I1214" s="5"/>
      <c r="J1214" s="6"/>
    </row>
    <row r="1215" spans="8:10" x14ac:dyDescent="0.25">
      <c r="H1215" s="5"/>
      <c r="I1215" s="5"/>
      <c r="J1215" s="6"/>
    </row>
    <row r="1216" spans="8:10" x14ac:dyDescent="0.25">
      <c r="H1216" s="5"/>
      <c r="I1216" s="5"/>
      <c r="J1216" s="6"/>
    </row>
    <row r="1217" spans="8:10" x14ac:dyDescent="0.25">
      <c r="H1217" s="5"/>
      <c r="I1217" s="5"/>
      <c r="J1217" s="6"/>
    </row>
    <row r="1218" spans="8:10" x14ac:dyDescent="0.25">
      <c r="H1218" s="5"/>
      <c r="I1218" s="5"/>
      <c r="J1218" s="6"/>
    </row>
    <row r="1219" spans="8:10" x14ac:dyDescent="0.25">
      <c r="H1219" s="5"/>
      <c r="I1219" s="5"/>
      <c r="J1219" s="6"/>
    </row>
    <row r="1220" spans="8:10" x14ac:dyDescent="0.25">
      <c r="H1220" s="5"/>
      <c r="I1220" s="5"/>
      <c r="J1220" s="6"/>
    </row>
    <row r="1221" spans="8:10" x14ac:dyDescent="0.25">
      <c r="H1221" s="5"/>
      <c r="I1221" s="5"/>
      <c r="J1221" s="6"/>
    </row>
    <row r="1222" spans="8:10" x14ac:dyDescent="0.25">
      <c r="H1222" s="5"/>
      <c r="I1222" s="5"/>
      <c r="J1222" s="6"/>
    </row>
    <row r="1223" spans="8:10" x14ac:dyDescent="0.25">
      <c r="H1223" s="5"/>
      <c r="I1223" s="5"/>
      <c r="J1223" s="6"/>
    </row>
    <row r="1224" spans="8:10" x14ac:dyDescent="0.25">
      <c r="H1224" s="5"/>
      <c r="I1224" s="5"/>
      <c r="J1224" s="6"/>
    </row>
    <row r="1225" spans="8:10" x14ac:dyDescent="0.25">
      <c r="H1225" s="5"/>
      <c r="I1225" s="5"/>
      <c r="J1225" s="6"/>
    </row>
    <row r="1226" spans="8:10" x14ac:dyDescent="0.25">
      <c r="H1226" s="5"/>
      <c r="I1226" s="5"/>
      <c r="J1226" s="6"/>
    </row>
    <row r="1227" spans="8:10" x14ac:dyDescent="0.25">
      <c r="H1227" s="5"/>
      <c r="I1227" s="5"/>
      <c r="J1227" s="6"/>
    </row>
    <row r="1228" spans="8:10" x14ac:dyDescent="0.25">
      <c r="H1228" s="5"/>
      <c r="I1228" s="5"/>
      <c r="J1228" s="6"/>
    </row>
    <row r="1229" spans="8:10" x14ac:dyDescent="0.25">
      <c r="H1229" s="5"/>
      <c r="I1229" s="5"/>
      <c r="J1229" s="6"/>
    </row>
    <row r="1230" spans="8:10" x14ac:dyDescent="0.25">
      <c r="H1230" s="5"/>
      <c r="I1230" s="5"/>
      <c r="J1230" s="6"/>
    </row>
    <row r="1231" spans="8:10" x14ac:dyDescent="0.25">
      <c r="H1231" s="5"/>
      <c r="I1231" s="5"/>
      <c r="J1231" s="6"/>
    </row>
    <row r="1232" spans="8:10" x14ac:dyDescent="0.25">
      <c r="H1232" s="5"/>
      <c r="I1232" s="5"/>
      <c r="J1232" s="6"/>
    </row>
    <row r="1233" spans="8:10" x14ac:dyDescent="0.25">
      <c r="H1233" s="5"/>
      <c r="I1233" s="5"/>
      <c r="J1233" s="6"/>
    </row>
    <row r="1234" spans="8:10" x14ac:dyDescent="0.25">
      <c r="H1234" s="5"/>
      <c r="I1234" s="5"/>
      <c r="J1234" s="6"/>
    </row>
    <row r="1235" spans="8:10" x14ac:dyDescent="0.25">
      <c r="H1235" s="5"/>
      <c r="I1235" s="5"/>
      <c r="J1235" s="6"/>
    </row>
    <row r="1236" spans="8:10" x14ac:dyDescent="0.25">
      <c r="H1236" s="5"/>
      <c r="I1236" s="5"/>
      <c r="J1236" s="6"/>
    </row>
    <row r="1237" spans="8:10" x14ac:dyDescent="0.25">
      <c r="H1237" s="5"/>
      <c r="I1237" s="5"/>
      <c r="J1237" s="6"/>
    </row>
    <row r="1238" spans="8:10" x14ac:dyDescent="0.25">
      <c r="H1238" s="5"/>
      <c r="I1238" s="5"/>
      <c r="J1238" s="6"/>
    </row>
    <row r="1239" spans="8:10" x14ac:dyDescent="0.25">
      <c r="H1239" s="5"/>
      <c r="I1239" s="5"/>
      <c r="J1239" s="6"/>
    </row>
    <row r="1240" spans="8:10" x14ac:dyDescent="0.25">
      <c r="H1240" s="5"/>
      <c r="I1240" s="5"/>
      <c r="J1240" s="6"/>
    </row>
    <row r="1241" spans="8:10" x14ac:dyDescent="0.25">
      <c r="H1241" s="5"/>
      <c r="I1241" s="5"/>
      <c r="J1241" s="6"/>
    </row>
    <row r="1242" spans="8:10" x14ac:dyDescent="0.25">
      <c r="H1242" s="5"/>
      <c r="I1242" s="5"/>
      <c r="J1242" s="6"/>
    </row>
    <row r="1243" spans="8:10" x14ac:dyDescent="0.25">
      <c r="H1243" s="5"/>
      <c r="I1243" s="5"/>
      <c r="J1243" s="6"/>
    </row>
    <row r="1244" spans="8:10" x14ac:dyDescent="0.25">
      <c r="H1244" s="5"/>
      <c r="I1244" s="5"/>
      <c r="J1244" s="6"/>
    </row>
    <row r="1245" spans="8:10" x14ac:dyDescent="0.25">
      <c r="H1245" s="5"/>
      <c r="I1245" s="5"/>
      <c r="J1245" s="6"/>
    </row>
    <row r="1246" spans="8:10" x14ac:dyDescent="0.25">
      <c r="H1246" s="5"/>
      <c r="I1246" s="5"/>
      <c r="J1246" s="6"/>
    </row>
    <row r="1247" spans="8:10" x14ac:dyDescent="0.25">
      <c r="H1247" s="5"/>
      <c r="I1247" s="5"/>
      <c r="J1247" s="6"/>
    </row>
    <row r="1248" spans="8:10" x14ac:dyDescent="0.25">
      <c r="H1248" s="5"/>
      <c r="I1248" s="5"/>
      <c r="J1248" s="6"/>
    </row>
    <row r="1249" spans="8:10" x14ac:dyDescent="0.25">
      <c r="H1249" s="5"/>
      <c r="I1249" s="5"/>
      <c r="J1249" s="6"/>
    </row>
    <row r="1250" spans="8:10" x14ac:dyDescent="0.25">
      <c r="H1250" s="5"/>
      <c r="I1250" s="5"/>
      <c r="J1250" s="6"/>
    </row>
    <row r="1251" spans="8:10" x14ac:dyDescent="0.25">
      <c r="H1251" s="5"/>
      <c r="I1251" s="5"/>
      <c r="J1251" s="6"/>
    </row>
    <row r="1252" spans="8:10" x14ac:dyDescent="0.25">
      <c r="H1252" s="5"/>
      <c r="I1252" s="5"/>
      <c r="J1252" s="6"/>
    </row>
    <row r="1253" spans="8:10" x14ac:dyDescent="0.25">
      <c r="H1253" s="5"/>
      <c r="I1253" s="5"/>
      <c r="J1253" s="6"/>
    </row>
    <row r="1254" spans="8:10" x14ac:dyDescent="0.25">
      <c r="H1254" s="5"/>
      <c r="I1254" s="5"/>
      <c r="J1254" s="6"/>
    </row>
    <row r="1255" spans="8:10" x14ac:dyDescent="0.25">
      <c r="H1255" s="5"/>
      <c r="I1255" s="5"/>
      <c r="J1255" s="6"/>
    </row>
    <row r="1256" spans="8:10" x14ac:dyDescent="0.25">
      <c r="H1256" s="5"/>
      <c r="I1256" s="5"/>
      <c r="J1256" s="6"/>
    </row>
    <row r="1257" spans="8:10" x14ac:dyDescent="0.25">
      <c r="H1257" s="5"/>
      <c r="I1257" s="5"/>
      <c r="J1257" s="6"/>
    </row>
    <row r="1258" spans="8:10" x14ac:dyDescent="0.25">
      <c r="H1258" s="5"/>
      <c r="I1258" s="5"/>
      <c r="J1258" s="6"/>
    </row>
    <row r="1259" spans="8:10" x14ac:dyDescent="0.25">
      <c r="H1259" s="5"/>
      <c r="I1259" s="5"/>
      <c r="J1259" s="6"/>
    </row>
    <row r="1260" spans="8:10" x14ac:dyDescent="0.25">
      <c r="H1260" s="5"/>
      <c r="I1260" s="5"/>
      <c r="J1260" s="6"/>
    </row>
    <row r="1261" spans="8:10" x14ac:dyDescent="0.25">
      <c r="H1261" s="5"/>
      <c r="I1261" s="5"/>
      <c r="J1261" s="6"/>
    </row>
    <row r="1262" spans="8:10" x14ac:dyDescent="0.25">
      <c r="H1262" s="5"/>
      <c r="I1262" s="5"/>
      <c r="J1262" s="6"/>
    </row>
    <row r="1263" spans="8:10" x14ac:dyDescent="0.25">
      <c r="H1263" s="5"/>
      <c r="I1263" s="5"/>
      <c r="J1263" s="6"/>
    </row>
    <row r="1264" spans="8:10" x14ac:dyDescent="0.25">
      <c r="H1264" s="5"/>
      <c r="I1264" s="5"/>
      <c r="J1264" s="6"/>
    </row>
    <row r="1265" spans="8:10" x14ac:dyDescent="0.25">
      <c r="H1265" s="5"/>
      <c r="I1265" s="5"/>
      <c r="J1265" s="6"/>
    </row>
    <row r="1266" spans="8:10" x14ac:dyDescent="0.25">
      <c r="H1266" s="5"/>
      <c r="I1266" s="5"/>
      <c r="J1266" s="6"/>
    </row>
    <row r="1267" spans="8:10" x14ac:dyDescent="0.25">
      <c r="H1267" s="5"/>
      <c r="I1267" s="5"/>
      <c r="J1267" s="6"/>
    </row>
    <row r="1268" spans="8:10" x14ac:dyDescent="0.25">
      <c r="H1268" s="5"/>
      <c r="I1268" s="5"/>
      <c r="J1268" s="6"/>
    </row>
    <row r="1269" spans="8:10" x14ac:dyDescent="0.25">
      <c r="H1269" s="5"/>
      <c r="I1269" s="5"/>
      <c r="J1269" s="6"/>
    </row>
    <row r="1270" spans="8:10" x14ac:dyDescent="0.25">
      <c r="H1270" s="5"/>
      <c r="I1270" s="5"/>
      <c r="J1270" s="6"/>
    </row>
    <row r="1271" spans="8:10" x14ac:dyDescent="0.25">
      <c r="H1271" s="5"/>
      <c r="I1271" s="5"/>
      <c r="J1271" s="6"/>
    </row>
    <row r="1272" spans="8:10" x14ac:dyDescent="0.25">
      <c r="H1272" s="5"/>
      <c r="I1272" s="5"/>
      <c r="J1272" s="6"/>
    </row>
    <row r="1273" spans="8:10" x14ac:dyDescent="0.25">
      <c r="H1273" s="5"/>
      <c r="I1273" s="5"/>
      <c r="J1273" s="6"/>
    </row>
    <row r="1274" spans="8:10" x14ac:dyDescent="0.25">
      <c r="H1274" s="5"/>
      <c r="I1274" s="5"/>
      <c r="J1274" s="6"/>
    </row>
    <row r="1275" spans="8:10" x14ac:dyDescent="0.25">
      <c r="H1275" s="5"/>
      <c r="I1275" s="5"/>
      <c r="J1275" s="6"/>
    </row>
    <row r="1276" spans="8:10" x14ac:dyDescent="0.25">
      <c r="H1276" s="5"/>
      <c r="I1276" s="5"/>
      <c r="J1276" s="6"/>
    </row>
    <row r="1277" spans="8:10" x14ac:dyDescent="0.25">
      <c r="H1277" s="5"/>
      <c r="I1277" s="5"/>
      <c r="J1277" s="6"/>
    </row>
    <row r="1278" spans="8:10" x14ac:dyDescent="0.25">
      <c r="H1278" s="5"/>
      <c r="I1278" s="5"/>
      <c r="J1278" s="6"/>
    </row>
    <row r="1279" spans="8:10" x14ac:dyDescent="0.25">
      <c r="H1279" s="5"/>
      <c r="I1279" s="5"/>
      <c r="J1279" s="6"/>
    </row>
    <row r="1280" spans="8:10" x14ac:dyDescent="0.25">
      <c r="H1280" s="5"/>
      <c r="I1280" s="5"/>
      <c r="J1280" s="6"/>
    </row>
    <row r="1281" spans="8:10" x14ac:dyDescent="0.25">
      <c r="H1281" s="5"/>
      <c r="I1281" s="5"/>
      <c r="J1281" s="6"/>
    </row>
    <row r="1282" spans="8:10" x14ac:dyDescent="0.25">
      <c r="H1282" s="5"/>
      <c r="I1282" s="5"/>
      <c r="J1282" s="6"/>
    </row>
    <row r="1283" spans="8:10" x14ac:dyDescent="0.25">
      <c r="H1283" s="5"/>
      <c r="I1283" s="5"/>
      <c r="J1283" s="6"/>
    </row>
    <row r="1284" spans="8:10" x14ac:dyDescent="0.25">
      <c r="H1284" s="5"/>
      <c r="I1284" s="5"/>
      <c r="J1284" s="6"/>
    </row>
    <row r="1285" spans="8:10" x14ac:dyDescent="0.25">
      <c r="H1285" s="5"/>
      <c r="I1285" s="5"/>
      <c r="J1285" s="6"/>
    </row>
    <row r="1286" spans="8:10" x14ac:dyDescent="0.25">
      <c r="H1286" s="5"/>
      <c r="I1286" s="5"/>
      <c r="J1286" s="6"/>
    </row>
    <row r="1287" spans="8:10" x14ac:dyDescent="0.25">
      <c r="H1287" s="5"/>
      <c r="I1287" s="5"/>
      <c r="J1287" s="6"/>
    </row>
    <row r="1288" spans="8:10" x14ac:dyDescent="0.25">
      <c r="H1288" s="5"/>
      <c r="I1288" s="5"/>
      <c r="J1288" s="6"/>
    </row>
    <row r="1289" spans="8:10" x14ac:dyDescent="0.25">
      <c r="H1289" s="5"/>
      <c r="I1289" s="5"/>
      <c r="J1289" s="6"/>
    </row>
    <row r="1290" spans="8:10" x14ac:dyDescent="0.25">
      <c r="H1290" s="5"/>
      <c r="I1290" s="5"/>
      <c r="J1290" s="6"/>
    </row>
    <row r="1291" spans="8:10" x14ac:dyDescent="0.25">
      <c r="H1291" s="5"/>
      <c r="I1291" s="5"/>
      <c r="J1291" s="6"/>
    </row>
    <row r="1292" spans="8:10" x14ac:dyDescent="0.25">
      <c r="H1292" s="5"/>
      <c r="I1292" s="5"/>
      <c r="J1292" s="6"/>
    </row>
    <row r="1293" spans="8:10" x14ac:dyDescent="0.25">
      <c r="H1293" s="5"/>
      <c r="I1293" s="5"/>
      <c r="J1293" s="6"/>
    </row>
    <row r="1294" spans="8:10" x14ac:dyDescent="0.25">
      <c r="H1294" s="5"/>
      <c r="I1294" s="5"/>
      <c r="J1294" s="6"/>
    </row>
    <row r="1295" spans="8:10" x14ac:dyDescent="0.25">
      <c r="H1295" s="5"/>
      <c r="I1295" s="5"/>
      <c r="J1295" s="6"/>
    </row>
    <row r="1296" spans="8:10" x14ac:dyDescent="0.25">
      <c r="H1296" s="5"/>
      <c r="I1296" s="5"/>
      <c r="J1296" s="6"/>
    </row>
    <row r="1297" spans="8:10" x14ac:dyDescent="0.25">
      <c r="H1297" s="5"/>
      <c r="I1297" s="5"/>
      <c r="J1297" s="6"/>
    </row>
    <row r="1298" spans="8:10" x14ac:dyDescent="0.25">
      <c r="H1298" s="5"/>
      <c r="I1298" s="5"/>
      <c r="J1298" s="6"/>
    </row>
    <row r="1299" spans="8:10" x14ac:dyDescent="0.25">
      <c r="H1299" s="5"/>
      <c r="I1299" s="5"/>
      <c r="J1299" s="6"/>
    </row>
    <row r="1300" spans="8:10" x14ac:dyDescent="0.25">
      <c r="H1300" s="5"/>
      <c r="I1300" s="5"/>
      <c r="J1300" s="6"/>
    </row>
    <row r="1301" spans="8:10" x14ac:dyDescent="0.25">
      <c r="H1301" s="5"/>
      <c r="I1301" s="5"/>
      <c r="J1301" s="6"/>
    </row>
    <row r="1302" spans="8:10" x14ac:dyDescent="0.25">
      <c r="H1302" s="5"/>
      <c r="I1302" s="5"/>
      <c r="J1302" s="6"/>
    </row>
    <row r="1303" spans="8:10" x14ac:dyDescent="0.25">
      <c r="H1303" s="5"/>
      <c r="I1303" s="5"/>
      <c r="J1303" s="6"/>
    </row>
    <row r="1304" spans="8:10" x14ac:dyDescent="0.25">
      <c r="H1304" s="5"/>
      <c r="I1304" s="5"/>
      <c r="J1304" s="6"/>
    </row>
    <row r="1305" spans="8:10" x14ac:dyDescent="0.25">
      <c r="H1305" s="5"/>
      <c r="I1305" s="5"/>
      <c r="J1305" s="6"/>
    </row>
    <row r="1306" spans="8:10" x14ac:dyDescent="0.25">
      <c r="H1306" s="5"/>
      <c r="I1306" s="5"/>
      <c r="J1306" s="6"/>
    </row>
    <row r="1307" spans="8:10" x14ac:dyDescent="0.25">
      <c r="H1307" s="5"/>
      <c r="I1307" s="5"/>
      <c r="J1307" s="6"/>
    </row>
    <row r="1308" spans="8:10" x14ac:dyDescent="0.25">
      <c r="H1308" s="5"/>
      <c r="I1308" s="5"/>
      <c r="J1308" s="6"/>
    </row>
    <row r="1309" spans="8:10" x14ac:dyDescent="0.25">
      <c r="H1309" s="5"/>
      <c r="I1309" s="5"/>
      <c r="J1309" s="6"/>
    </row>
    <row r="1310" spans="8:10" x14ac:dyDescent="0.25">
      <c r="H1310" s="5"/>
      <c r="I1310" s="5"/>
      <c r="J1310" s="6"/>
    </row>
    <row r="1311" spans="8:10" x14ac:dyDescent="0.25">
      <c r="H1311" s="5"/>
      <c r="I1311" s="5"/>
      <c r="J1311" s="6"/>
    </row>
    <row r="1312" spans="8:10" x14ac:dyDescent="0.25">
      <c r="H1312" s="5"/>
      <c r="I1312" s="5"/>
      <c r="J1312" s="6"/>
    </row>
    <row r="1313" spans="8:10" x14ac:dyDescent="0.25">
      <c r="H1313" s="5"/>
      <c r="I1313" s="5"/>
      <c r="J1313" s="6"/>
    </row>
    <row r="1314" spans="8:10" x14ac:dyDescent="0.25">
      <c r="H1314" s="5"/>
      <c r="I1314" s="5"/>
      <c r="J1314" s="6"/>
    </row>
    <row r="1315" spans="8:10" x14ac:dyDescent="0.25">
      <c r="H1315" s="5"/>
      <c r="I1315" s="5"/>
      <c r="J1315" s="6"/>
    </row>
    <row r="1316" spans="8:10" x14ac:dyDescent="0.25">
      <c r="H1316" s="5"/>
      <c r="I1316" s="5"/>
      <c r="J1316" s="6"/>
    </row>
    <row r="1317" spans="8:10" x14ac:dyDescent="0.25">
      <c r="H1317" s="5"/>
      <c r="I1317" s="5"/>
      <c r="J1317" s="6"/>
    </row>
    <row r="1318" spans="8:10" x14ac:dyDescent="0.25">
      <c r="H1318" s="5"/>
      <c r="I1318" s="5"/>
      <c r="J1318" s="6"/>
    </row>
    <row r="1319" spans="8:10" x14ac:dyDescent="0.25">
      <c r="H1319" s="5"/>
      <c r="I1319" s="5"/>
      <c r="J1319" s="6"/>
    </row>
    <row r="1320" spans="8:10" x14ac:dyDescent="0.25">
      <c r="H1320" s="5"/>
      <c r="I1320" s="5"/>
      <c r="J1320" s="6"/>
    </row>
    <row r="1321" spans="8:10" x14ac:dyDescent="0.25">
      <c r="H1321" s="5"/>
      <c r="I1321" s="5"/>
      <c r="J1321" s="6"/>
    </row>
    <row r="1322" spans="8:10" x14ac:dyDescent="0.25">
      <c r="H1322" s="5"/>
      <c r="I1322" s="5"/>
      <c r="J1322" s="6"/>
    </row>
    <row r="1323" spans="8:10" x14ac:dyDescent="0.25">
      <c r="H1323" s="5"/>
      <c r="I1323" s="5"/>
      <c r="J1323" s="6"/>
    </row>
    <row r="1324" spans="8:10" x14ac:dyDescent="0.25">
      <c r="H1324" s="5"/>
      <c r="I1324" s="5"/>
      <c r="J1324" s="6"/>
    </row>
    <row r="1325" spans="8:10" x14ac:dyDescent="0.25">
      <c r="H1325" s="5"/>
      <c r="I1325" s="5"/>
      <c r="J1325" s="6"/>
    </row>
    <row r="1326" spans="8:10" x14ac:dyDescent="0.25">
      <c r="H1326" s="5"/>
      <c r="I1326" s="5"/>
      <c r="J1326" s="6"/>
    </row>
    <row r="1327" spans="8:10" x14ac:dyDescent="0.25">
      <c r="H1327" s="5"/>
      <c r="I1327" s="5"/>
      <c r="J1327" s="6"/>
    </row>
    <row r="1328" spans="8:10" x14ac:dyDescent="0.25">
      <c r="H1328" s="5"/>
      <c r="I1328" s="5"/>
      <c r="J1328" s="6"/>
    </row>
    <row r="1329" spans="8:10" x14ac:dyDescent="0.25">
      <c r="H1329" s="5"/>
      <c r="I1329" s="5"/>
      <c r="J1329" s="6"/>
    </row>
    <row r="1330" spans="8:10" x14ac:dyDescent="0.25">
      <c r="H1330" s="5"/>
      <c r="I1330" s="5"/>
      <c r="J1330" s="6"/>
    </row>
    <row r="1331" spans="8:10" x14ac:dyDescent="0.25">
      <c r="H1331" s="5"/>
      <c r="I1331" s="5"/>
      <c r="J1331" s="6"/>
    </row>
    <row r="1332" spans="8:10" x14ac:dyDescent="0.25">
      <c r="H1332" s="5"/>
      <c r="I1332" s="5"/>
      <c r="J1332" s="6"/>
    </row>
    <row r="1333" spans="8:10" x14ac:dyDescent="0.25">
      <c r="H1333" s="5"/>
      <c r="I1333" s="5"/>
      <c r="J1333" s="6"/>
    </row>
    <row r="1334" spans="8:10" x14ac:dyDescent="0.25">
      <c r="H1334" s="5"/>
      <c r="I1334" s="5"/>
      <c r="J1334" s="6"/>
    </row>
    <row r="1335" spans="8:10" x14ac:dyDescent="0.25">
      <c r="H1335" s="5"/>
      <c r="I1335" s="5"/>
      <c r="J1335" s="6"/>
    </row>
    <row r="1336" spans="8:10" x14ac:dyDescent="0.25">
      <c r="H1336" s="5"/>
      <c r="I1336" s="5"/>
      <c r="J1336" s="6"/>
    </row>
    <row r="1337" spans="8:10" x14ac:dyDescent="0.25">
      <c r="H1337" s="5"/>
      <c r="I1337" s="5"/>
      <c r="J1337" s="6"/>
    </row>
    <row r="1338" spans="8:10" x14ac:dyDescent="0.25">
      <c r="H1338" s="5"/>
      <c r="I1338" s="5"/>
      <c r="J1338" s="6"/>
    </row>
    <row r="1339" spans="8:10" x14ac:dyDescent="0.25">
      <c r="H1339" s="5"/>
      <c r="I1339" s="5"/>
      <c r="J1339" s="6"/>
    </row>
    <row r="1340" spans="8:10" x14ac:dyDescent="0.25">
      <c r="H1340" s="5"/>
      <c r="I1340" s="5"/>
      <c r="J1340" s="6"/>
    </row>
    <row r="1341" spans="8:10" x14ac:dyDescent="0.25">
      <c r="H1341" s="5"/>
      <c r="I1341" s="5"/>
      <c r="J1341" s="6"/>
    </row>
    <row r="1342" spans="8:10" x14ac:dyDescent="0.25">
      <c r="H1342" s="5"/>
      <c r="I1342" s="5"/>
      <c r="J1342" s="6"/>
    </row>
    <row r="1343" spans="8:10" x14ac:dyDescent="0.25">
      <c r="H1343" s="5"/>
      <c r="I1343" s="5"/>
      <c r="J1343" s="6"/>
    </row>
    <row r="1344" spans="8:10" x14ac:dyDescent="0.25">
      <c r="H1344" s="5"/>
      <c r="I1344" s="5"/>
      <c r="J1344" s="6"/>
    </row>
    <row r="1345" spans="8:10" x14ac:dyDescent="0.25">
      <c r="H1345" s="5"/>
      <c r="I1345" s="5"/>
      <c r="J1345" s="6"/>
    </row>
    <row r="1346" spans="8:10" x14ac:dyDescent="0.25">
      <c r="H1346" s="5"/>
      <c r="I1346" s="5"/>
      <c r="J1346" s="6"/>
    </row>
    <row r="1347" spans="8:10" x14ac:dyDescent="0.25">
      <c r="H1347" s="5"/>
      <c r="I1347" s="5"/>
      <c r="J1347" s="6"/>
    </row>
    <row r="1348" spans="8:10" x14ac:dyDescent="0.25">
      <c r="H1348" s="5"/>
      <c r="I1348" s="5"/>
      <c r="J1348" s="6"/>
    </row>
    <row r="1349" spans="8:10" x14ac:dyDescent="0.25">
      <c r="H1349" s="5"/>
      <c r="I1349" s="5"/>
      <c r="J1349" s="6"/>
    </row>
    <row r="1350" spans="8:10" x14ac:dyDescent="0.25">
      <c r="H1350" s="5"/>
      <c r="I1350" s="5"/>
      <c r="J1350" s="6"/>
    </row>
    <row r="1351" spans="8:10" x14ac:dyDescent="0.25">
      <c r="H1351" s="5"/>
      <c r="I1351" s="5"/>
      <c r="J1351" s="6"/>
    </row>
    <row r="1352" spans="8:10" x14ac:dyDescent="0.25">
      <c r="H1352" s="5"/>
      <c r="I1352" s="5"/>
      <c r="J1352" s="6"/>
    </row>
    <row r="1353" spans="8:10" x14ac:dyDescent="0.25">
      <c r="H1353" s="5"/>
      <c r="I1353" s="5"/>
      <c r="J1353" s="6"/>
    </row>
    <row r="1354" spans="8:10" x14ac:dyDescent="0.25">
      <c r="H1354" s="5"/>
      <c r="I1354" s="5"/>
      <c r="J1354" s="6"/>
    </row>
    <row r="1355" spans="8:10" x14ac:dyDescent="0.25">
      <c r="H1355" s="5"/>
      <c r="I1355" s="5"/>
      <c r="J1355" s="6"/>
    </row>
    <row r="1356" spans="8:10" x14ac:dyDescent="0.25">
      <c r="H1356" s="5"/>
      <c r="I1356" s="5"/>
      <c r="J1356" s="6"/>
    </row>
    <row r="1357" spans="8:10" x14ac:dyDescent="0.25">
      <c r="H1357" s="5"/>
      <c r="I1357" s="5"/>
      <c r="J1357" s="6"/>
    </row>
    <row r="1358" spans="8:10" x14ac:dyDescent="0.25">
      <c r="H1358" s="5"/>
      <c r="I1358" s="5"/>
      <c r="J1358" s="6"/>
    </row>
    <row r="1359" spans="8:10" x14ac:dyDescent="0.25">
      <c r="H1359" s="5"/>
      <c r="I1359" s="5"/>
      <c r="J1359" s="6"/>
    </row>
    <row r="1360" spans="8:10" x14ac:dyDescent="0.25">
      <c r="H1360" s="5"/>
      <c r="I1360" s="5"/>
      <c r="J1360" s="6"/>
    </row>
    <row r="1361" spans="8:10" x14ac:dyDescent="0.25">
      <c r="H1361" s="5"/>
      <c r="I1361" s="5"/>
      <c r="J1361" s="6"/>
    </row>
    <row r="1362" spans="8:10" x14ac:dyDescent="0.25">
      <c r="H1362" s="5"/>
      <c r="I1362" s="5"/>
      <c r="J1362" s="6"/>
    </row>
    <row r="1363" spans="8:10" x14ac:dyDescent="0.25">
      <c r="H1363" s="5"/>
      <c r="I1363" s="5"/>
      <c r="J1363" s="6"/>
    </row>
    <row r="1364" spans="8:10" x14ac:dyDescent="0.25">
      <c r="H1364" s="5"/>
      <c r="I1364" s="5"/>
      <c r="J1364" s="6"/>
    </row>
    <row r="1365" spans="8:10" x14ac:dyDescent="0.25">
      <c r="H1365" s="5"/>
      <c r="I1365" s="5"/>
      <c r="J1365" s="6"/>
    </row>
    <row r="1366" spans="8:10" x14ac:dyDescent="0.25">
      <c r="H1366" s="5"/>
      <c r="I1366" s="5"/>
      <c r="J1366" s="6"/>
    </row>
    <row r="1367" spans="8:10" x14ac:dyDescent="0.25">
      <c r="H1367" s="5"/>
      <c r="I1367" s="5"/>
      <c r="J1367" s="6"/>
    </row>
    <row r="1368" spans="8:10" x14ac:dyDescent="0.25">
      <c r="H1368" s="5"/>
      <c r="I1368" s="5"/>
      <c r="J1368" s="6"/>
    </row>
    <row r="1369" spans="8:10" x14ac:dyDescent="0.25">
      <c r="H1369" s="5"/>
      <c r="I1369" s="5"/>
      <c r="J1369" s="6"/>
    </row>
    <row r="1370" spans="8:10" x14ac:dyDescent="0.25">
      <c r="H1370" s="5"/>
      <c r="I1370" s="5"/>
      <c r="J1370" s="6"/>
    </row>
    <row r="1371" spans="8:10" x14ac:dyDescent="0.25">
      <c r="H1371" s="5"/>
      <c r="I1371" s="5"/>
      <c r="J1371" s="6"/>
    </row>
    <row r="1372" spans="8:10" x14ac:dyDescent="0.25">
      <c r="H1372" s="5"/>
      <c r="I1372" s="5"/>
      <c r="J1372" s="6"/>
    </row>
    <row r="1373" spans="8:10" x14ac:dyDescent="0.25">
      <c r="H1373" s="5"/>
      <c r="I1373" s="5"/>
      <c r="J1373" s="6"/>
    </row>
    <row r="1374" spans="8:10" x14ac:dyDescent="0.25">
      <c r="H1374" s="5"/>
      <c r="I1374" s="5"/>
      <c r="J1374" s="6"/>
    </row>
    <row r="1375" spans="8:10" x14ac:dyDescent="0.25">
      <c r="H1375" s="5"/>
      <c r="I1375" s="5"/>
      <c r="J1375" s="6"/>
    </row>
    <row r="1376" spans="8:10" x14ac:dyDescent="0.25">
      <c r="H1376" s="5"/>
      <c r="I1376" s="5"/>
      <c r="J1376" s="6"/>
    </row>
    <row r="1377" spans="8:10" x14ac:dyDescent="0.25">
      <c r="H1377" s="5"/>
      <c r="I1377" s="5"/>
      <c r="J1377" s="6"/>
    </row>
    <row r="1378" spans="8:10" x14ac:dyDescent="0.25">
      <c r="H1378" s="5"/>
      <c r="I1378" s="5"/>
      <c r="J1378" s="6"/>
    </row>
    <row r="1379" spans="8:10" x14ac:dyDescent="0.25">
      <c r="H1379" s="5"/>
      <c r="I1379" s="5"/>
      <c r="J1379" s="6"/>
    </row>
    <row r="1380" spans="8:10" x14ac:dyDescent="0.25">
      <c r="H1380" s="5"/>
      <c r="I1380" s="5"/>
      <c r="J1380" s="6"/>
    </row>
    <row r="1381" spans="8:10" x14ac:dyDescent="0.25">
      <c r="H1381" s="5"/>
      <c r="I1381" s="5"/>
      <c r="J1381" s="6"/>
    </row>
    <row r="1382" spans="8:10" x14ac:dyDescent="0.25">
      <c r="H1382" s="5"/>
      <c r="I1382" s="5"/>
      <c r="J1382" s="6"/>
    </row>
    <row r="1383" spans="8:10" x14ac:dyDescent="0.25">
      <c r="H1383" s="5"/>
      <c r="I1383" s="5"/>
      <c r="J1383" s="6"/>
    </row>
    <row r="1384" spans="8:10" x14ac:dyDescent="0.25">
      <c r="H1384" s="5"/>
      <c r="I1384" s="5"/>
      <c r="J1384" s="6"/>
    </row>
    <row r="1385" spans="8:10" x14ac:dyDescent="0.25">
      <c r="H1385" s="5"/>
      <c r="I1385" s="5"/>
      <c r="J1385" s="6"/>
    </row>
    <row r="1386" spans="8:10" x14ac:dyDescent="0.25">
      <c r="H1386" s="5"/>
      <c r="I1386" s="5"/>
      <c r="J1386" s="6"/>
    </row>
    <row r="1387" spans="8:10" x14ac:dyDescent="0.25">
      <c r="H1387" s="5"/>
      <c r="I1387" s="5"/>
      <c r="J1387" s="6"/>
    </row>
    <row r="1388" spans="8:10" x14ac:dyDescent="0.25">
      <c r="H1388" s="5"/>
      <c r="I1388" s="5"/>
      <c r="J1388" s="6"/>
    </row>
    <row r="1389" spans="8:10" x14ac:dyDescent="0.25">
      <c r="H1389" s="5"/>
      <c r="I1389" s="5"/>
      <c r="J1389" s="6"/>
    </row>
    <row r="1390" spans="8:10" x14ac:dyDescent="0.25">
      <c r="H1390" s="5"/>
      <c r="I1390" s="5"/>
      <c r="J1390" s="6"/>
    </row>
    <row r="1391" spans="8:10" x14ac:dyDescent="0.25">
      <c r="H1391" s="5"/>
      <c r="I1391" s="5"/>
      <c r="J1391" s="6"/>
    </row>
    <row r="1392" spans="8:10" x14ac:dyDescent="0.25">
      <c r="H1392" s="5"/>
      <c r="I1392" s="5"/>
      <c r="J1392" s="6"/>
    </row>
    <row r="1393" spans="8:10" x14ac:dyDescent="0.25">
      <c r="H1393" s="5"/>
      <c r="I1393" s="5"/>
      <c r="J1393" s="6"/>
    </row>
    <row r="1394" spans="8:10" x14ac:dyDescent="0.25">
      <c r="H1394" s="5"/>
      <c r="I1394" s="5"/>
      <c r="J1394" s="6"/>
    </row>
    <row r="1395" spans="8:10" x14ac:dyDescent="0.25">
      <c r="H1395" s="5"/>
      <c r="I1395" s="5"/>
      <c r="J1395" s="6"/>
    </row>
    <row r="1396" spans="8:10" x14ac:dyDescent="0.25">
      <c r="H1396" s="5"/>
      <c r="I1396" s="5"/>
      <c r="J1396" s="6"/>
    </row>
    <row r="1397" spans="8:10" x14ac:dyDescent="0.25">
      <c r="H1397" s="5"/>
      <c r="I1397" s="5"/>
      <c r="J1397" s="6"/>
    </row>
    <row r="1398" spans="8:10" x14ac:dyDescent="0.25">
      <c r="H1398" s="5"/>
      <c r="I1398" s="5"/>
      <c r="J1398" s="6"/>
    </row>
    <row r="1399" spans="8:10" x14ac:dyDescent="0.25">
      <c r="H1399" s="5"/>
      <c r="I1399" s="5"/>
      <c r="J1399" s="6"/>
    </row>
    <row r="1400" spans="8:10" x14ac:dyDescent="0.25">
      <c r="H1400" s="5"/>
      <c r="I1400" s="5"/>
      <c r="J1400" s="6"/>
    </row>
    <row r="1401" spans="8:10" x14ac:dyDescent="0.25">
      <c r="H1401" s="5"/>
      <c r="I1401" s="5"/>
      <c r="J1401" s="6"/>
    </row>
    <row r="1402" spans="8:10" x14ac:dyDescent="0.25">
      <c r="H1402" s="5"/>
      <c r="I1402" s="5"/>
      <c r="J1402" s="6"/>
    </row>
    <row r="1403" spans="8:10" x14ac:dyDescent="0.25">
      <c r="H1403" s="5"/>
      <c r="I1403" s="5"/>
      <c r="J1403" s="6"/>
    </row>
    <row r="1404" spans="8:10" x14ac:dyDescent="0.25">
      <c r="H1404" s="5"/>
      <c r="I1404" s="5"/>
      <c r="J1404" s="6"/>
    </row>
    <row r="1405" spans="8:10" x14ac:dyDescent="0.25">
      <c r="H1405" s="5"/>
      <c r="I1405" s="5"/>
      <c r="J1405" s="6"/>
    </row>
    <row r="1406" spans="8:10" x14ac:dyDescent="0.25">
      <c r="H1406" s="5"/>
      <c r="I1406" s="5"/>
      <c r="J1406" s="6"/>
    </row>
    <row r="1407" spans="8:10" x14ac:dyDescent="0.25">
      <c r="H1407" s="5"/>
      <c r="I1407" s="5"/>
      <c r="J1407" s="6"/>
    </row>
    <row r="1408" spans="8:10" x14ac:dyDescent="0.25">
      <c r="H1408" s="5"/>
      <c r="I1408" s="5"/>
      <c r="J1408" s="6"/>
    </row>
    <row r="1409" spans="8:10" x14ac:dyDescent="0.25">
      <c r="H1409" s="5"/>
      <c r="I1409" s="5"/>
      <c r="J1409" s="6"/>
    </row>
    <row r="1410" spans="8:10" x14ac:dyDescent="0.25">
      <c r="H1410" s="5"/>
      <c r="I1410" s="5"/>
      <c r="J1410" s="6"/>
    </row>
    <row r="1411" spans="8:10" x14ac:dyDescent="0.25">
      <c r="H1411" s="5"/>
      <c r="I1411" s="5"/>
      <c r="J1411" s="6"/>
    </row>
    <row r="1412" spans="8:10" x14ac:dyDescent="0.25">
      <c r="H1412" s="5"/>
      <c r="I1412" s="5"/>
      <c r="J1412" s="6"/>
    </row>
    <row r="1413" spans="8:10" x14ac:dyDescent="0.25">
      <c r="H1413" s="5"/>
      <c r="I1413" s="5"/>
      <c r="J1413" s="6"/>
    </row>
    <row r="1414" spans="8:10" x14ac:dyDescent="0.25">
      <c r="H1414" s="5"/>
      <c r="I1414" s="5"/>
      <c r="J1414" s="6"/>
    </row>
    <row r="1415" spans="8:10" x14ac:dyDescent="0.25">
      <c r="H1415" s="5"/>
      <c r="I1415" s="5"/>
      <c r="J1415" s="6"/>
    </row>
    <row r="1416" spans="8:10" x14ac:dyDescent="0.25">
      <c r="H1416" s="5"/>
      <c r="I1416" s="5"/>
      <c r="J1416" s="6"/>
    </row>
    <row r="1417" spans="8:10" x14ac:dyDescent="0.25">
      <c r="H1417" s="5"/>
      <c r="I1417" s="5"/>
      <c r="J1417" s="6"/>
    </row>
    <row r="1418" spans="8:10" x14ac:dyDescent="0.25">
      <c r="H1418" s="5"/>
      <c r="I1418" s="5"/>
      <c r="J1418" s="6"/>
    </row>
    <row r="1419" spans="8:10" x14ac:dyDescent="0.25">
      <c r="H1419" s="5"/>
      <c r="I1419" s="5"/>
      <c r="J1419" s="6"/>
    </row>
    <row r="1420" spans="8:10" x14ac:dyDescent="0.25">
      <c r="H1420" s="5"/>
      <c r="I1420" s="5"/>
      <c r="J1420" s="6"/>
    </row>
    <row r="1421" spans="8:10" x14ac:dyDescent="0.25">
      <c r="H1421" s="5"/>
      <c r="I1421" s="5"/>
      <c r="J1421" s="6"/>
    </row>
    <row r="1422" spans="8:10" x14ac:dyDescent="0.25">
      <c r="H1422" s="5"/>
      <c r="I1422" s="5"/>
      <c r="J1422" s="6"/>
    </row>
    <row r="1423" spans="8:10" x14ac:dyDescent="0.25">
      <c r="H1423" s="5"/>
      <c r="I1423" s="5"/>
      <c r="J1423" s="6"/>
    </row>
    <row r="1424" spans="8:10" x14ac:dyDescent="0.25">
      <c r="H1424" s="5"/>
      <c r="I1424" s="5"/>
      <c r="J1424" s="6"/>
    </row>
    <row r="1425" spans="8:10" x14ac:dyDescent="0.25">
      <c r="H1425" s="5"/>
      <c r="I1425" s="5"/>
      <c r="J1425" s="6"/>
    </row>
    <row r="1426" spans="8:10" x14ac:dyDescent="0.25">
      <c r="H1426" s="5"/>
      <c r="I1426" s="5"/>
      <c r="J1426" s="6"/>
    </row>
    <row r="1427" spans="8:10" x14ac:dyDescent="0.25">
      <c r="H1427" s="5"/>
      <c r="I1427" s="5"/>
      <c r="J1427" s="6"/>
    </row>
    <row r="1428" spans="8:10" x14ac:dyDescent="0.25">
      <c r="H1428" s="5"/>
      <c r="I1428" s="5"/>
      <c r="J1428" s="6"/>
    </row>
    <row r="1429" spans="8:10" x14ac:dyDescent="0.25">
      <c r="H1429" s="5"/>
      <c r="I1429" s="5"/>
      <c r="J1429" s="6"/>
    </row>
    <row r="1430" spans="8:10" x14ac:dyDescent="0.25">
      <c r="H1430" s="5"/>
      <c r="I1430" s="5"/>
      <c r="J1430" s="6"/>
    </row>
    <row r="1431" spans="8:10" x14ac:dyDescent="0.25">
      <c r="H1431" s="5"/>
      <c r="I1431" s="5"/>
      <c r="J1431" s="6"/>
    </row>
    <row r="1432" spans="8:10" x14ac:dyDescent="0.25">
      <c r="H1432" s="5"/>
      <c r="I1432" s="5"/>
      <c r="J1432" s="6"/>
    </row>
    <row r="1433" spans="8:10" x14ac:dyDescent="0.25">
      <c r="H1433" s="5"/>
      <c r="I1433" s="5"/>
      <c r="J1433" s="6"/>
    </row>
    <row r="1434" spans="8:10" x14ac:dyDescent="0.25">
      <c r="H1434" s="5"/>
      <c r="I1434" s="5"/>
      <c r="J1434" s="6"/>
    </row>
    <row r="1435" spans="8:10" x14ac:dyDescent="0.25">
      <c r="H1435" s="5"/>
      <c r="I1435" s="5"/>
      <c r="J1435" s="6"/>
    </row>
    <row r="1436" spans="8:10" x14ac:dyDescent="0.25">
      <c r="H1436" s="5"/>
      <c r="I1436" s="5"/>
      <c r="J1436" s="6"/>
    </row>
    <row r="1437" spans="8:10" x14ac:dyDescent="0.25">
      <c r="H1437" s="5"/>
      <c r="I1437" s="5"/>
      <c r="J1437" s="6"/>
    </row>
    <row r="1438" spans="8:10" x14ac:dyDescent="0.25">
      <c r="H1438" s="5"/>
      <c r="I1438" s="5"/>
      <c r="J1438" s="6"/>
    </row>
    <row r="1439" spans="8:10" x14ac:dyDescent="0.25">
      <c r="H1439" s="5"/>
      <c r="I1439" s="5"/>
      <c r="J1439" s="6"/>
    </row>
    <row r="1440" spans="8:10" x14ac:dyDescent="0.25">
      <c r="H1440" s="5"/>
      <c r="I1440" s="5"/>
      <c r="J1440" s="6"/>
    </row>
    <row r="1441" spans="8:10" x14ac:dyDescent="0.25">
      <c r="H1441" s="5"/>
      <c r="I1441" s="5"/>
      <c r="J1441" s="6"/>
    </row>
    <row r="1442" spans="8:10" x14ac:dyDescent="0.25">
      <c r="H1442" s="5"/>
      <c r="I1442" s="5"/>
      <c r="J1442" s="6"/>
    </row>
    <row r="1443" spans="8:10" x14ac:dyDescent="0.25">
      <c r="H1443" s="5"/>
      <c r="I1443" s="5"/>
      <c r="J1443" s="6"/>
    </row>
    <row r="1444" spans="8:10" x14ac:dyDescent="0.25">
      <c r="H1444" s="5"/>
      <c r="I1444" s="5"/>
      <c r="J1444" s="6"/>
    </row>
    <row r="1445" spans="8:10" x14ac:dyDescent="0.25">
      <c r="H1445" s="5"/>
      <c r="I1445" s="5"/>
      <c r="J1445" s="6"/>
    </row>
    <row r="1446" spans="8:10" x14ac:dyDescent="0.25">
      <c r="H1446" s="5"/>
      <c r="I1446" s="5"/>
      <c r="J1446" s="6"/>
    </row>
    <row r="1447" spans="8:10" x14ac:dyDescent="0.25">
      <c r="H1447" s="5"/>
      <c r="I1447" s="5"/>
      <c r="J1447" s="6"/>
    </row>
    <row r="1448" spans="8:10" x14ac:dyDescent="0.25">
      <c r="H1448" s="5"/>
      <c r="I1448" s="5"/>
      <c r="J1448" s="6"/>
    </row>
    <row r="1449" spans="8:10" x14ac:dyDescent="0.25">
      <c r="H1449" s="5"/>
      <c r="I1449" s="5"/>
      <c r="J1449" s="6"/>
    </row>
    <row r="1450" spans="8:10" x14ac:dyDescent="0.25">
      <c r="H1450" s="5"/>
      <c r="I1450" s="5"/>
      <c r="J1450" s="6"/>
    </row>
    <row r="1451" spans="8:10" x14ac:dyDescent="0.25">
      <c r="H1451" s="5"/>
      <c r="I1451" s="5"/>
      <c r="J1451" s="6"/>
    </row>
    <row r="1452" spans="8:10" x14ac:dyDescent="0.25">
      <c r="H1452" s="5"/>
      <c r="I1452" s="5"/>
      <c r="J1452" s="6"/>
    </row>
    <row r="1453" spans="8:10" x14ac:dyDescent="0.25">
      <c r="H1453" s="5"/>
      <c r="I1453" s="5"/>
      <c r="J1453" s="6"/>
    </row>
    <row r="1454" spans="8:10" x14ac:dyDescent="0.25">
      <c r="H1454" s="5"/>
      <c r="I1454" s="5"/>
      <c r="J1454" s="6"/>
    </row>
    <row r="1455" spans="8:10" x14ac:dyDescent="0.25">
      <c r="H1455" s="5"/>
      <c r="I1455" s="5"/>
      <c r="J1455" s="6"/>
    </row>
    <row r="1456" spans="8:10" x14ac:dyDescent="0.25">
      <c r="H1456" s="5"/>
      <c r="I1456" s="5"/>
      <c r="J1456" s="6"/>
    </row>
    <row r="1457" spans="8:10" x14ac:dyDescent="0.25">
      <c r="H1457" s="5"/>
      <c r="I1457" s="5"/>
      <c r="J1457" s="6"/>
    </row>
    <row r="1458" spans="8:10" x14ac:dyDescent="0.25">
      <c r="H1458" s="5"/>
      <c r="I1458" s="5"/>
      <c r="J1458" s="6"/>
    </row>
    <row r="1459" spans="8:10" x14ac:dyDescent="0.25">
      <c r="H1459" s="5"/>
      <c r="I1459" s="5"/>
      <c r="J1459" s="6"/>
    </row>
    <row r="1460" spans="8:10" x14ac:dyDescent="0.25">
      <c r="H1460" s="5"/>
      <c r="I1460" s="5"/>
      <c r="J1460" s="6"/>
    </row>
    <row r="1461" spans="8:10" x14ac:dyDescent="0.25">
      <c r="H1461" s="5"/>
      <c r="I1461" s="5"/>
      <c r="J1461" s="6"/>
    </row>
    <row r="1462" spans="8:10" x14ac:dyDescent="0.25">
      <c r="H1462" s="5"/>
      <c r="I1462" s="5"/>
      <c r="J1462" s="6"/>
    </row>
    <row r="1463" spans="8:10" x14ac:dyDescent="0.25">
      <c r="H1463" s="5"/>
      <c r="I1463" s="5"/>
      <c r="J1463" s="6"/>
    </row>
    <row r="1464" spans="8:10" x14ac:dyDescent="0.25">
      <c r="H1464" s="5"/>
      <c r="I1464" s="5"/>
      <c r="J1464" s="6"/>
    </row>
    <row r="1465" spans="8:10" x14ac:dyDescent="0.25">
      <c r="H1465" s="5"/>
      <c r="I1465" s="5"/>
      <c r="J1465" s="6"/>
    </row>
    <row r="1466" spans="8:10" x14ac:dyDescent="0.25">
      <c r="H1466" s="5"/>
      <c r="I1466" s="5"/>
      <c r="J1466" s="6"/>
    </row>
    <row r="1467" spans="8:10" x14ac:dyDescent="0.25">
      <c r="H1467" s="5"/>
      <c r="I1467" s="5"/>
      <c r="J1467" s="6"/>
    </row>
    <row r="1468" spans="8:10" x14ac:dyDescent="0.25">
      <c r="H1468" s="5"/>
      <c r="I1468" s="5"/>
      <c r="J1468" s="6"/>
    </row>
    <row r="1469" spans="8:10" x14ac:dyDescent="0.25">
      <c r="H1469" s="5"/>
      <c r="I1469" s="5"/>
      <c r="J1469" s="6"/>
    </row>
    <row r="1470" spans="8:10" x14ac:dyDescent="0.25">
      <c r="H1470" s="5"/>
      <c r="I1470" s="5"/>
      <c r="J1470" s="6"/>
    </row>
    <row r="1471" spans="8:10" x14ac:dyDescent="0.25">
      <c r="H1471" s="5"/>
      <c r="I1471" s="5"/>
      <c r="J1471" s="6"/>
    </row>
    <row r="1472" spans="8:10" x14ac:dyDescent="0.25">
      <c r="H1472" s="5"/>
      <c r="I1472" s="5"/>
      <c r="J1472" s="6"/>
    </row>
    <row r="1473" spans="8:10" x14ac:dyDescent="0.25">
      <c r="H1473" s="5"/>
      <c r="I1473" s="5"/>
      <c r="J1473" s="6"/>
    </row>
    <row r="1474" spans="8:10" x14ac:dyDescent="0.25">
      <c r="H1474" s="5"/>
      <c r="I1474" s="5"/>
      <c r="J1474" s="6"/>
    </row>
    <row r="1475" spans="8:10" x14ac:dyDescent="0.25">
      <c r="H1475" s="5"/>
      <c r="I1475" s="5"/>
      <c r="J1475" s="6"/>
    </row>
    <row r="1476" spans="8:10" x14ac:dyDescent="0.25">
      <c r="H1476" s="5"/>
      <c r="I1476" s="5"/>
      <c r="J1476" s="6"/>
    </row>
    <row r="1477" spans="8:10" x14ac:dyDescent="0.25">
      <c r="H1477" s="5"/>
      <c r="I1477" s="5"/>
      <c r="J1477" s="6"/>
    </row>
    <row r="1478" spans="8:10" x14ac:dyDescent="0.25">
      <c r="H1478" s="5"/>
      <c r="I1478" s="5"/>
      <c r="J1478" s="6"/>
    </row>
    <row r="1479" spans="8:10" x14ac:dyDescent="0.25">
      <c r="H1479" s="5"/>
      <c r="I1479" s="5"/>
      <c r="J1479" s="6"/>
    </row>
    <row r="1480" spans="8:10" x14ac:dyDescent="0.25">
      <c r="H1480" s="5"/>
      <c r="I1480" s="5"/>
      <c r="J1480" s="6"/>
    </row>
    <row r="1481" spans="8:10" x14ac:dyDescent="0.25">
      <c r="H1481" s="5"/>
      <c r="I1481" s="5"/>
      <c r="J1481" s="6"/>
    </row>
    <row r="1482" spans="8:10" x14ac:dyDescent="0.25">
      <c r="H1482" s="5"/>
      <c r="I1482" s="5"/>
      <c r="J1482" s="6"/>
    </row>
    <row r="1483" spans="8:10" x14ac:dyDescent="0.25">
      <c r="H1483" s="5"/>
      <c r="I1483" s="5"/>
      <c r="J1483" s="6"/>
    </row>
    <row r="1484" spans="8:10" x14ac:dyDescent="0.25">
      <c r="H1484" s="5"/>
      <c r="I1484" s="5"/>
      <c r="J1484" s="6"/>
    </row>
    <row r="1485" spans="8:10" x14ac:dyDescent="0.25">
      <c r="H1485" s="5"/>
      <c r="I1485" s="5"/>
      <c r="J1485" s="6"/>
    </row>
    <row r="1486" spans="8:10" x14ac:dyDescent="0.25">
      <c r="H1486" s="5"/>
      <c r="I1486" s="5"/>
      <c r="J1486" s="6"/>
    </row>
    <row r="1487" spans="8:10" x14ac:dyDescent="0.25">
      <c r="H1487" s="5"/>
      <c r="I1487" s="5"/>
      <c r="J1487" s="6"/>
    </row>
    <row r="1488" spans="8:10" x14ac:dyDescent="0.25">
      <c r="H1488" s="5"/>
      <c r="I1488" s="5"/>
      <c r="J1488" s="6"/>
    </row>
    <row r="1489" spans="8:10" x14ac:dyDescent="0.25">
      <c r="H1489" s="5"/>
      <c r="I1489" s="5"/>
      <c r="J1489" s="6"/>
    </row>
    <row r="1490" spans="8:10" x14ac:dyDescent="0.25">
      <c r="H1490" s="5"/>
      <c r="I1490" s="5"/>
      <c r="J1490" s="6"/>
    </row>
    <row r="1491" spans="8:10" x14ac:dyDescent="0.25">
      <c r="H1491" s="5"/>
      <c r="I1491" s="5"/>
      <c r="J1491" s="6"/>
    </row>
    <row r="1492" spans="8:10" x14ac:dyDescent="0.25">
      <c r="H1492" s="5"/>
      <c r="I1492" s="5"/>
      <c r="J1492" s="6"/>
    </row>
    <row r="1493" spans="8:10" x14ac:dyDescent="0.25">
      <c r="H1493" s="5"/>
      <c r="I1493" s="5"/>
      <c r="J1493" s="6"/>
    </row>
    <row r="1494" spans="8:10" x14ac:dyDescent="0.25">
      <c r="H1494" s="5"/>
      <c r="I1494" s="5"/>
      <c r="J1494" s="6"/>
    </row>
    <row r="1495" spans="8:10" x14ac:dyDescent="0.25">
      <c r="H1495" s="5"/>
      <c r="I1495" s="5"/>
      <c r="J1495" s="6"/>
    </row>
    <row r="1496" spans="8:10" x14ac:dyDescent="0.25">
      <c r="H1496" s="5"/>
      <c r="I1496" s="5"/>
      <c r="J1496" s="6"/>
    </row>
    <row r="1497" spans="8:10" x14ac:dyDescent="0.25">
      <c r="H1497" s="5"/>
      <c r="I1497" s="5"/>
      <c r="J1497" s="6"/>
    </row>
    <row r="1498" spans="8:10" x14ac:dyDescent="0.25">
      <c r="H1498" s="5"/>
      <c r="I1498" s="5"/>
      <c r="J1498" s="6"/>
    </row>
    <row r="1499" spans="8:10" x14ac:dyDescent="0.25">
      <c r="H1499" s="5"/>
      <c r="I1499" s="5"/>
      <c r="J1499" s="6"/>
    </row>
    <row r="1500" spans="8:10" x14ac:dyDescent="0.25">
      <c r="H1500" s="5"/>
      <c r="I1500" s="5"/>
      <c r="J1500" s="6"/>
    </row>
    <row r="1501" spans="8:10" x14ac:dyDescent="0.25">
      <c r="H1501" s="5"/>
      <c r="I1501" s="5"/>
      <c r="J1501" s="6"/>
    </row>
    <row r="1502" spans="8:10" x14ac:dyDescent="0.25">
      <c r="H1502" s="5"/>
      <c r="I1502" s="5"/>
      <c r="J1502" s="6"/>
    </row>
    <row r="1503" spans="8:10" x14ac:dyDescent="0.25">
      <c r="H1503" s="5"/>
      <c r="I1503" s="5"/>
      <c r="J1503" s="6"/>
    </row>
    <row r="1504" spans="8:10" x14ac:dyDescent="0.25">
      <c r="H1504" s="5"/>
      <c r="I1504" s="5"/>
      <c r="J1504" s="6"/>
    </row>
    <row r="1505" spans="8:10" x14ac:dyDescent="0.25">
      <c r="H1505" s="5"/>
      <c r="I1505" s="5"/>
      <c r="J1505" s="6"/>
    </row>
    <row r="1506" spans="8:10" x14ac:dyDescent="0.25">
      <c r="H1506" s="5"/>
      <c r="I1506" s="5"/>
      <c r="J1506" s="6"/>
    </row>
    <row r="1507" spans="8:10" x14ac:dyDescent="0.25">
      <c r="H1507" s="5"/>
      <c r="I1507" s="5"/>
      <c r="J1507" s="6"/>
    </row>
    <row r="1508" spans="8:10" x14ac:dyDescent="0.25">
      <c r="H1508" s="5"/>
      <c r="I1508" s="5"/>
      <c r="J1508" s="6"/>
    </row>
    <row r="1509" spans="8:10" x14ac:dyDescent="0.25">
      <c r="H1509" s="5"/>
      <c r="I1509" s="5"/>
      <c r="J1509" s="6"/>
    </row>
    <row r="1510" spans="8:10" x14ac:dyDescent="0.25">
      <c r="H1510" s="5"/>
      <c r="I1510" s="5"/>
      <c r="J1510" s="6"/>
    </row>
    <row r="1511" spans="8:10" x14ac:dyDescent="0.25">
      <c r="H1511" s="5"/>
      <c r="I1511" s="5"/>
      <c r="J1511" s="6"/>
    </row>
    <row r="1512" spans="8:10" x14ac:dyDescent="0.25">
      <c r="H1512" s="5"/>
      <c r="I1512" s="5"/>
      <c r="J1512" s="6"/>
    </row>
    <row r="1513" spans="8:10" x14ac:dyDescent="0.25">
      <c r="H1513" s="5"/>
      <c r="I1513" s="5"/>
      <c r="J1513" s="6"/>
    </row>
    <row r="1514" spans="8:10" x14ac:dyDescent="0.25">
      <c r="H1514" s="5"/>
      <c r="I1514" s="5"/>
      <c r="J1514" s="6"/>
    </row>
    <row r="1515" spans="8:10" x14ac:dyDescent="0.25">
      <c r="H1515" s="5"/>
      <c r="I1515" s="5"/>
      <c r="J1515" s="6"/>
    </row>
    <row r="1516" spans="8:10" x14ac:dyDescent="0.25">
      <c r="H1516" s="5"/>
      <c r="I1516" s="5"/>
      <c r="J1516" s="6"/>
    </row>
    <row r="1517" spans="8:10" x14ac:dyDescent="0.25">
      <c r="H1517" s="5"/>
      <c r="I1517" s="5"/>
      <c r="J1517" s="6"/>
    </row>
    <row r="1518" spans="8:10" x14ac:dyDescent="0.25">
      <c r="H1518" s="5"/>
      <c r="I1518" s="5"/>
      <c r="J1518" s="6"/>
    </row>
    <row r="1519" spans="8:10" x14ac:dyDescent="0.25">
      <c r="H1519" s="5"/>
      <c r="I1519" s="5"/>
      <c r="J1519" s="6"/>
    </row>
    <row r="1520" spans="8:10" x14ac:dyDescent="0.25">
      <c r="H1520" s="5"/>
      <c r="I1520" s="5"/>
      <c r="J1520" s="6"/>
    </row>
    <row r="1521" spans="8:10" x14ac:dyDescent="0.25">
      <c r="H1521" s="5"/>
      <c r="I1521" s="5"/>
      <c r="J1521" s="6"/>
    </row>
    <row r="1522" spans="8:10" x14ac:dyDescent="0.25">
      <c r="H1522" s="5"/>
      <c r="I1522" s="5"/>
      <c r="J1522" s="6"/>
    </row>
    <row r="1523" spans="8:10" x14ac:dyDescent="0.25">
      <c r="H1523" s="5"/>
      <c r="I1523" s="5"/>
      <c r="J1523" s="6"/>
    </row>
    <row r="1524" spans="8:10" x14ac:dyDescent="0.25">
      <c r="H1524" s="5"/>
      <c r="I1524" s="5"/>
      <c r="J1524" s="6"/>
    </row>
    <row r="1525" spans="8:10" x14ac:dyDescent="0.25">
      <c r="H1525" s="5"/>
      <c r="I1525" s="5"/>
      <c r="J1525" s="6"/>
    </row>
    <row r="1526" spans="8:10" x14ac:dyDescent="0.25">
      <c r="H1526" s="5"/>
      <c r="I1526" s="5"/>
      <c r="J1526" s="6"/>
    </row>
    <row r="1527" spans="8:10" x14ac:dyDescent="0.25">
      <c r="H1527" s="5"/>
      <c r="I1527" s="5"/>
      <c r="J1527" s="6"/>
    </row>
    <row r="1528" spans="8:10" x14ac:dyDescent="0.25">
      <c r="H1528" s="5"/>
      <c r="I1528" s="5"/>
      <c r="J1528" s="6"/>
    </row>
    <row r="1529" spans="8:10" x14ac:dyDescent="0.25">
      <c r="H1529" s="5"/>
      <c r="I1529" s="5"/>
      <c r="J1529" s="6"/>
    </row>
    <row r="1530" spans="8:10" x14ac:dyDescent="0.25">
      <c r="H1530" s="5"/>
      <c r="I1530" s="5"/>
      <c r="J1530" s="6"/>
    </row>
    <row r="1531" spans="8:10" x14ac:dyDescent="0.25">
      <c r="H1531" s="5"/>
      <c r="I1531" s="5"/>
      <c r="J1531" s="6"/>
    </row>
    <row r="1532" spans="8:10" x14ac:dyDescent="0.25">
      <c r="H1532" s="5"/>
      <c r="I1532" s="5"/>
      <c r="J1532" s="6"/>
    </row>
    <row r="1533" spans="8:10" x14ac:dyDescent="0.25">
      <c r="H1533" s="5"/>
      <c r="I1533" s="5"/>
      <c r="J1533" s="6"/>
    </row>
    <row r="1534" spans="8:10" x14ac:dyDescent="0.25">
      <c r="H1534" s="5"/>
      <c r="I1534" s="5"/>
      <c r="J1534" s="6"/>
    </row>
    <row r="1535" spans="8:10" x14ac:dyDescent="0.25">
      <c r="H1535" s="5"/>
      <c r="I1535" s="5"/>
      <c r="J1535" s="6"/>
    </row>
    <row r="1536" spans="8:10" x14ac:dyDescent="0.25">
      <c r="H1536" s="5"/>
      <c r="I1536" s="5"/>
      <c r="J1536" s="6"/>
    </row>
    <row r="1537" spans="8:10" x14ac:dyDescent="0.25">
      <c r="H1537" s="5"/>
      <c r="I1537" s="5"/>
      <c r="J1537" s="6"/>
    </row>
    <row r="1538" spans="8:10" x14ac:dyDescent="0.25">
      <c r="H1538" s="5"/>
      <c r="I1538" s="5"/>
      <c r="J1538" s="6"/>
    </row>
    <row r="1539" spans="8:10" x14ac:dyDescent="0.25">
      <c r="H1539" s="5"/>
      <c r="I1539" s="5"/>
      <c r="J1539" s="6"/>
    </row>
    <row r="1540" spans="8:10" x14ac:dyDescent="0.25">
      <c r="H1540" s="5"/>
      <c r="I1540" s="5"/>
      <c r="J1540" s="6"/>
    </row>
    <row r="1541" spans="8:10" x14ac:dyDescent="0.25">
      <c r="H1541" s="5"/>
      <c r="I1541" s="5"/>
      <c r="J1541" s="6"/>
    </row>
    <row r="1542" spans="8:10" x14ac:dyDescent="0.25">
      <c r="H1542" s="5"/>
      <c r="I1542" s="5"/>
      <c r="J1542" s="6"/>
    </row>
    <row r="1543" spans="8:10" x14ac:dyDescent="0.25">
      <c r="H1543" s="5"/>
      <c r="I1543" s="5"/>
      <c r="J1543" s="6"/>
    </row>
    <row r="1544" spans="8:10" x14ac:dyDescent="0.25">
      <c r="H1544" s="5"/>
      <c r="I1544" s="5"/>
      <c r="J1544" s="6"/>
    </row>
    <row r="1545" spans="8:10" x14ac:dyDescent="0.25">
      <c r="H1545" s="5"/>
      <c r="I1545" s="5"/>
      <c r="J1545" s="6"/>
    </row>
    <row r="1546" spans="8:10" x14ac:dyDescent="0.25">
      <c r="H1546" s="5"/>
      <c r="I1546" s="5"/>
      <c r="J1546" s="6"/>
    </row>
    <row r="1547" spans="8:10" x14ac:dyDescent="0.25">
      <c r="H1547" s="5"/>
      <c r="I1547" s="5"/>
      <c r="J1547" s="6"/>
    </row>
    <row r="1548" spans="8:10" x14ac:dyDescent="0.25">
      <c r="H1548" s="5"/>
      <c r="I1548" s="5"/>
      <c r="J1548" s="6"/>
    </row>
    <row r="1549" spans="8:10" x14ac:dyDescent="0.25">
      <c r="H1549" s="5"/>
      <c r="I1549" s="5"/>
      <c r="J1549" s="6"/>
    </row>
    <row r="1550" spans="8:10" x14ac:dyDescent="0.25">
      <c r="H1550" s="5"/>
      <c r="I1550" s="5"/>
      <c r="J1550" s="6"/>
    </row>
    <row r="1551" spans="8:10" x14ac:dyDescent="0.25">
      <c r="H1551" s="5"/>
      <c r="I1551" s="5"/>
      <c r="J1551" s="6"/>
    </row>
    <row r="1552" spans="8:10" x14ac:dyDescent="0.25">
      <c r="H1552" s="5"/>
      <c r="I1552" s="5"/>
      <c r="J1552" s="6"/>
    </row>
    <row r="1553" spans="8:10" x14ac:dyDescent="0.25">
      <c r="H1553" s="5"/>
      <c r="I1553" s="5"/>
      <c r="J1553" s="6"/>
    </row>
    <row r="1554" spans="8:10" x14ac:dyDescent="0.25">
      <c r="H1554" s="5"/>
      <c r="I1554" s="5"/>
      <c r="J1554" s="6"/>
    </row>
    <row r="1555" spans="8:10" x14ac:dyDescent="0.25">
      <c r="H1555" s="5"/>
      <c r="I1555" s="5"/>
      <c r="J1555" s="6"/>
    </row>
    <row r="1556" spans="8:10" x14ac:dyDescent="0.25">
      <c r="H1556" s="5"/>
      <c r="I1556" s="5"/>
      <c r="J1556" s="6"/>
    </row>
    <row r="1557" spans="8:10" x14ac:dyDescent="0.25">
      <c r="H1557" s="5"/>
      <c r="I1557" s="5"/>
      <c r="J1557" s="6"/>
    </row>
    <row r="1558" spans="8:10" x14ac:dyDescent="0.25">
      <c r="H1558" s="5"/>
      <c r="I1558" s="5"/>
      <c r="J1558" s="6"/>
    </row>
    <row r="1559" spans="8:10" x14ac:dyDescent="0.25">
      <c r="H1559" s="5"/>
      <c r="I1559" s="5"/>
      <c r="J1559" s="6"/>
    </row>
    <row r="1560" spans="8:10" x14ac:dyDescent="0.25">
      <c r="H1560" s="5"/>
      <c r="I1560" s="5"/>
      <c r="J1560" s="6"/>
    </row>
    <row r="1561" spans="8:10" x14ac:dyDescent="0.25">
      <c r="H1561" s="5"/>
      <c r="I1561" s="5"/>
      <c r="J1561" s="6"/>
    </row>
    <row r="1562" spans="8:10" x14ac:dyDescent="0.25">
      <c r="H1562" s="5"/>
      <c r="I1562" s="5"/>
      <c r="J1562" s="6"/>
    </row>
    <row r="1563" spans="8:10" x14ac:dyDescent="0.25">
      <c r="H1563" s="5"/>
      <c r="I1563" s="5"/>
      <c r="J1563" s="6"/>
    </row>
    <row r="1564" spans="8:10" x14ac:dyDescent="0.25">
      <c r="H1564" s="5"/>
      <c r="I1564" s="5"/>
      <c r="J1564" s="6"/>
    </row>
    <row r="1565" spans="8:10" x14ac:dyDescent="0.25">
      <c r="H1565" s="5"/>
      <c r="I1565" s="5"/>
      <c r="J1565" s="6"/>
    </row>
    <row r="1566" spans="8:10" x14ac:dyDescent="0.25">
      <c r="H1566" s="5"/>
      <c r="I1566" s="5"/>
      <c r="J1566" s="6"/>
    </row>
    <row r="1567" spans="8:10" x14ac:dyDescent="0.25">
      <c r="H1567" s="5"/>
      <c r="I1567" s="5"/>
      <c r="J1567" s="6"/>
    </row>
    <row r="1568" spans="8:10" x14ac:dyDescent="0.25">
      <c r="H1568" s="5"/>
      <c r="I1568" s="5"/>
      <c r="J1568" s="6"/>
    </row>
    <row r="1569" spans="8:10" x14ac:dyDescent="0.25">
      <c r="H1569" s="5"/>
      <c r="I1569" s="5"/>
      <c r="J1569" s="6"/>
    </row>
    <row r="1570" spans="8:10" x14ac:dyDescent="0.25">
      <c r="H1570" s="5"/>
      <c r="I1570" s="5"/>
      <c r="J1570" s="6"/>
    </row>
    <row r="1571" spans="8:10" x14ac:dyDescent="0.25">
      <c r="H1571" s="5"/>
      <c r="I1571" s="5"/>
      <c r="J1571" s="6"/>
    </row>
    <row r="1572" spans="8:10" x14ac:dyDescent="0.25">
      <c r="H1572" s="5"/>
      <c r="I1572" s="5"/>
      <c r="J1572" s="6"/>
    </row>
    <row r="1573" spans="8:10" x14ac:dyDescent="0.25">
      <c r="H1573" s="5"/>
      <c r="I1573" s="5"/>
      <c r="J1573" s="6"/>
    </row>
    <row r="1574" spans="8:10" x14ac:dyDescent="0.25">
      <c r="H1574" s="5"/>
      <c r="I1574" s="5"/>
      <c r="J1574" s="6"/>
    </row>
    <row r="1575" spans="8:10" x14ac:dyDescent="0.25">
      <c r="H1575" s="5"/>
      <c r="I1575" s="5"/>
      <c r="J1575" s="6"/>
    </row>
    <row r="1576" spans="8:10" x14ac:dyDescent="0.25">
      <c r="H1576" s="5"/>
      <c r="I1576" s="5"/>
      <c r="J1576" s="6"/>
    </row>
    <row r="1577" spans="8:10" x14ac:dyDescent="0.25">
      <c r="H1577" s="5"/>
      <c r="I1577" s="5"/>
      <c r="J1577" s="6"/>
    </row>
    <row r="1578" spans="8:10" x14ac:dyDescent="0.25">
      <c r="H1578" s="5"/>
      <c r="I1578" s="5"/>
      <c r="J1578" s="6"/>
    </row>
    <row r="1579" spans="8:10" x14ac:dyDescent="0.25">
      <c r="H1579" s="5"/>
      <c r="I1579" s="5"/>
      <c r="J1579" s="6"/>
    </row>
    <row r="1580" spans="8:10" x14ac:dyDescent="0.25">
      <c r="H1580" s="5"/>
      <c r="I1580" s="5"/>
      <c r="J1580" s="6"/>
    </row>
    <row r="1581" spans="8:10" x14ac:dyDescent="0.25">
      <c r="H1581" s="5"/>
      <c r="I1581" s="5"/>
      <c r="J1581" s="6"/>
    </row>
    <row r="1582" spans="8:10" x14ac:dyDescent="0.25">
      <c r="H1582" s="5"/>
      <c r="I1582" s="5"/>
      <c r="J1582" s="6"/>
    </row>
    <row r="1583" spans="8:10" x14ac:dyDescent="0.25">
      <c r="H1583" s="5"/>
      <c r="I1583" s="5"/>
      <c r="J1583" s="6"/>
    </row>
    <row r="1584" spans="8:10" x14ac:dyDescent="0.25">
      <c r="H1584" s="5"/>
      <c r="I1584" s="5"/>
      <c r="J1584" s="6"/>
    </row>
    <row r="1585" spans="8:10" x14ac:dyDescent="0.25">
      <c r="H1585" s="5"/>
      <c r="I1585" s="5"/>
      <c r="J1585" s="6"/>
    </row>
    <row r="1586" spans="8:10" x14ac:dyDescent="0.25">
      <c r="H1586" s="5"/>
      <c r="I1586" s="5"/>
      <c r="J1586" s="6"/>
    </row>
    <row r="1587" spans="8:10" x14ac:dyDescent="0.25">
      <c r="H1587" s="5"/>
      <c r="I1587" s="5"/>
      <c r="J1587" s="6"/>
    </row>
    <row r="1588" spans="8:10" x14ac:dyDescent="0.25">
      <c r="H1588" s="5"/>
      <c r="I1588" s="5"/>
      <c r="J1588" s="6"/>
    </row>
    <row r="1589" spans="8:10" x14ac:dyDescent="0.25">
      <c r="H1589" s="5"/>
      <c r="I1589" s="5"/>
      <c r="J1589" s="6"/>
    </row>
    <row r="1590" spans="8:10" x14ac:dyDescent="0.25">
      <c r="H1590" s="5"/>
      <c r="I1590" s="5"/>
      <c r="J1590" s="6"/>
    </row>
    <row r="1591" spans="8:10" x14ac:dyDescent="0.25">
      <c r="H1591" s="5"/>
      <c r="I1591" s="5"/>
      <c r="J1591" s="6"/>
    </row>
    <row r="1592" spans="8:10" x14ac:dyDescent="0.25">
      <c r="H1592" s="5"/>
      <c r="I1592" s="5"/>
      <c r="J1592" s="6"/>
    </row>
    <row r="1593" spans="8:10" x14ac:dyDescent="0.25">
      <c r="H1593" s="5"/>
      <c r="I1593" s="5"/>
      <c r="J1593" s="6"/>
    </row>
    <row r="1594" spans="8:10" x14ac:dyDescent="0.25">
      <c r="H1594" s="5"/>
      <c r="I1594" s="5"/>
      <c r="J1594" s="6"/>
    </row>
    <row r="1595" spans="8:10" x14ac:dyDescent="0.25">
      <c r="H1595" s="5"/>
      <c r="I1595" s="5"/>
      <c r="J1595" s="6"/>
    </row>
    <row r="1596" spans="8:10" x14ac:dyDescent="0.25">
      <c r="H1596" s="5"/>
      <c r="I1596" s="5"/>
      <c r="J1596" s="6"/>
    </row>
    <row r="1597" spans="8:10" x14ac:dyDescent="0.25">
      <c r="H1597" s="5"/>
      <c r="I1597" s="5"/>
      <c r="J1597" s="6"/>
    </row>
    <row r="1598" spans="8:10" x14ac:dyDescent="0.25">
      <c r="H1598" s="5"/>
      <c r="I1598" s="5"/>
      <c r="J1598" s="6"/>
    </row>
    <row r="1599" spans="8:10" x14ac:dyDescent="0.25">
      <c r="H1599" s="5"/>
      <c r="I1599" s="5"/>
      <c r="J1599" s="6"/>
    </row>
    <row r="1600" spans="8:10" x14ac:dyDescent="0.25">
      <c r="H1600" s="5"/>
      <c r="I1600" s="5"/>
      <c r="J1600" s="6"/>
    </row>
    <row r="1601" spans="8:10" x14ac:dyDescent="0.25">
      <c r="H1601" s="5"/>
      <c r="I1601" s="5"/>
      <c r="J1601" s="6"/>
    </row>
    <row r="1602" spans="8:10" x14ac:dyDescent="0.25">
      <c r="H1602" s="5"/>
      <c r="I1602" s="5"/>
      <c r="J1602" s="6"/>
    </row>
    <row r="1603" spans="8:10" x14ac:dyDescent="0.25">
      <c r="H1603" s="5"/>
      <c r="I1603" s="5"/>
      <c r="J1603" s="6"/>
    </row>
    <row r="1604" spans="8:10" x14ac:dyDescent="0.25">
      <c r="H1604" s="5"/>
      <c r="I1604" s="5"/>
      <c r="J1604" s="6"/>
    </row>
    <row r="1605" spans="8:10" x14ac:dyDescent="0.25">
      <c r="H1605" s="5"/>
      <c r="I1605" s="5"/>
      <c r="J1605" s="6"/>
    </row>
    <row r="1606" spans="8:10" x14ac:dyDescent="0.25">
      <c r="H1606" s="5"/>
      <c r="I1606" s="5"/>
      <c r="J1606" s="6"/>
    </row>
    <row r="1607" spans="8:10" x14ac:dyDescent="0.25">
      <c r="H1607" s="5"/>
      <c r="I1607" s="5"/>
      <c r="J1607" s="6"/>
    </row>
    <row r="1608" spans="8:10" x14ac:dyDescent="0.25">
      <c r="H1608" s="5"/>
      <c r="I1608" s="5"/>
      <c r="J1608" s="6"/>
    </row>
    <row r="1609" spans="8:10" x14ac:dyDescent="0.25">
      <c r="H1609" s="5"/>
      <c r="I1609" s="5"/>
      <c r="J1609" s="6"/>
    </row>
    <row r="1610" spans="8:10" x14ac:dyDescent="0.25">
      <c r="H1610" s="5"/>
      <c r="I1610" s="5"/>
      <c r="J1610" s="6"/>
    </row>
    <row r="1611" spans="8:10" x14ac:dyDescent="0.25">
      <c r="H1611" s="5"/>
      <c r="I1611" s="5"/>
      <c r="J1611" s="6"/>
    </row>
    <row r="1612" spans="8:10" x14ac:dyDescent="0.25">
      <c r="H1612" s="5"/>
      <c r="I1612" s="5"/>
      <c r="J1612" s="6"/>
    </row>
    <row r="1613" spans="8:10" x14ac:dyDescent="0.25">
      <c r="H1613" s="5"/>
      <c r="I1613" s="5"/>
      <c r="J1613" s="6"/>
    </row>
    <row r="1614" spans="8:10" x14ac:dyDescent="0.25">
      <c r="H1614" s="5"/>
      <c r="I1614" s="5"/>
      <c r="J1614" s="6"/>
    </row>
    <row r="1615" spans="8:10" x14ac:dyDescent="0.25">
      <c r="H1615" s="5"/>
      <c r="I1615" s="5"/>
      <c r="J1615" s="6"/>
    </row>
    <row r="1616" spans="8:10" x14ac:dyDescent="0.25">
      <c r="H1616" s="5"/>
      <c r="I1616" s="5"/>
      <c r="J1616" s="6"/>
    </row>
    <row r="1617" spans="8:10" x14ac:dyDescent="0.25">
      <c r="H1617" s="5"/>
      <c r="I1617" s="5"/>
      <c r="J1617" s="6"/>
    </row>
    <row r="1618" spans="8:10" x14ac:dyDescent="0.25">
      <c r="H1618" s="5"/>
      <c r="I1618" s="5"/>
      <c r="J1618" s="6"/>
    </row>
    <row r="1619" spans="8:10" x14ac:dyDescent="0.25">
      <c r="H1619" s="5"/>
      <c r="I1619" s="5"/>
      <c r="J1619" s="6"/>
    </row>
    <row r="1620" spans="8:10" x14ac:dyDescent="0.25">
      <c r="H1620" s="5"/>
      <c r="I1620" s="5"/>
      <c r="J1620" s="6"/>
    </row>
    <row r="1621" spans="8:10" x14ac:dyDescent="0.25">
      <c r="H1621" s="5"/>
      <c r="I1621" s="5"/>
      <c r="J1621" s="6"/>
    </row>
    <row r="1622" spans="8:10" x14ac:dyDescent="0.25">
      <c r="H1622" s="5"/>
      <c r="I1622" s="5"/>
      <c r="J1622" s="6"/>
    </row>
    <row r="1623" spans="8:10" x14ac:dyDescent="0.25">
      <c r="H1623" s="5"/>
      <c r="I1623" s="5"/>
      <c r="J1623" s="6"/>
    </row>
    <row r="1624" spans="8:10" x14ac:dyDescent="0.25">
      <c r="H1624" s="5"/>
      <c r="I1624" s="5"/>
      <c r="J1624" s="6"/>
    </row>
    <row r="1625" spans="8:10" x14ac:dyDescent="0.25">
      <c r="H1625" s="5"/>
      <c r="I1625" s="5"/>
      <c r="J1625" s="6"/>
    </row>
    <row r="1626" spans="8:10" x14ac:dyDescent="0.25">
      <c r="H1626" s="5"/>
      <c r="I1626" s="5"/>
      <c r="J1626" s="6"/>
    </row>
    <row r="1627" spans="8:10" x14ac:dyDescent="0.25">
      <c r="H1627" s="5"/>
      <c r="I1627" s="5"/>
      <c r="J1627" s="6"/>
    </row>
    <row r="1628" spans="8:10" x14ac:dyDescent="0.25">
      <c r="H1628" s="5"/>
      <c r="I1628" s="5"/>
      <c r="J1628" s="6"/>
    </row>
    <row r="1629" spans="8:10" x14ac:dyDescent="0.25">
      <c r="H1629" s="5"/>
      <c r="I1629" s="5"/>
      <c r="J1629" s="6"/>
    </row>
    <row r="1630" spans="8:10" x14ac:dyDescent="0.25">
      <c r="H1630" s="5"/>
      <c r="I1630" s="5"/>
      <c r="J1630" s="6"/>
    </row>
    <row r="1631" spans="8:10" x14ac:dyDescent="0.25">
      <c r="H1631" s="5"/>
      <c r="I1631" s="5"/>
      <c r="J1631" s="6"/>
    </row>
    <row r="1632" spans="8:10" x14ac:dyDescent="0.25">
      <c r="H1632" s="5"/>
      <c r="I1632" s="5"/>
      <c r="J1632" s="6"/>
    </row>
    <row r="1633" spans="8:10" x14ac:dyDescent="0.25">
      <c r="H1633" s="5"/>
      <c r="I1633" s="5"/>
      <c r="J1633" s="6"/>
    </row>
    <row r="1634" spans="8:10" x14ac:dyDescent="0.25">
      <c r="H1634" s="5"/>
      <c r="I1634" s="5"/>
      <c r="J1634" s="6"/>
    </row>
    <row r="1635" spans="8:10" x14ac:dyDescent="0.25">
      <c r="H1635" s="5"/>
      <c r="I1635" s="5"/>
      <c r="J1635" s="6"/>
    </row>
    <row r="1636" spans="8:10" x14ac:dyDescent="0.25">
      <c r="H1636" s="5"/>
      <c r="I1636" s="5"/>
      <c r="J1636" s="6"/>
    </row>
    <row r="1637" spans="8:10" x14ac:dyDescent="0.25">
      <c r="H1637" s="5"/>
      <c r="I1637" s="5"/>
      <c r="J1637" s="6"/>
    </row>
    <row r="1638" spans="8:10" x14ac:dyDescent="0.25">
      <c r="H1638" s="5"/>
      <c r="I1638" s="5"/>
      <c r="J1638" s="6"/>
    </row>
    <row r="1639" spans="8:10" x14ac:dyDescent="0.25">
      <c r="H1639" s="5"/>
      <c r="I1639" s="5"/>
      <c r="J1639" s="6"/>
    </row>
    <row r="1640" spans="8:10" x14ac:dyDescent="0.25">
      <c r="H1640" s="5"/>
      <c r="I1640" s="5"/>
      <c r="J1640" s="6"/>
    </row>
    <row r="1641" spans="8:10" x14ac:dyDescent="0.25">
      <c r="H1641" s="5"/>
      <c r="I1641" s="5"/>
      <c r="J1641" s="6"/>
    </row>
    <row r="1642" spans="8:10" x14ac:dyDescent="0.25">
      <c r="H1642" s="5"/>
      <c r="I1642" s="5"/>
      <c r="J1642" s="6"/>
    </row>
    <row r="1643" spans="8:10" x14ac:dyDescent="0.25">
      <c r="H1643" s="5"/>
      <c r="I1643" s="5"/>
      <c r="J1643" s="6"/>
    </row>
    <row r="1644" spans="8:10" x14ac:dyDescent="0.25">
      <c r="H1644" s="5"/>
      <c r="I1644" s="5"/>
      <c r="J1644" s="6"/>
    </row>
    <row r="1645" spans="8:10" x14ac:dyDescent="0.25">
      <c r="H1645" s="5"/>
      <c r="I1645" s="5"/>
      <c r="J1645" s="6"/>
    </row>
    <row r="1646" spans="8:10" x14ac:dyDescent="0.25">
      <c r="H1646" s="5"/>
      <c r="I1646" s="5"/>
      <c r="J1646" s="6"/>
    </row>
    <row r="1647" spans="8:10" x14ac:dyDescent="0.25">
      <c r="H1647" s="5"/>
      <c r="I1647" s="5"/>
      <c r="J1647" s="6"/>
    </row>
    <row r="1648" spans="8:10" x14ac:dyDescent="0.25">
      <c r="H1648" s="5"/>
      <c r="I1648" s="5"/>
      <c r="J1648" s="6"/>
    </row>
    <row r="1649" spans="8:10" x14ac:dyDescent="0.25">
      <c r="H1649" s="5"/>
      <c r="I1649" s="5"/>
      <c r="J1649" s="6"/>
    </row>
    <row r="1650" spans="8:10" x14ac:dyDescent="0.25">
      <c r="H1650" s="5"/>
      <c r="I1650" s="5"/>
      <c r="J1650" s="6"/>
    </row>
    <row r="1651" spans="8:10" x14ac:dyDescent="0.25">
      <c r="H1651" s="5"/>
      <c r="I1651" s="5"/>
      <c r="J1651" s="6"/>
    </row>
    <row r="1652" spans="8:10" x14ac:dyDescent="0.25">
      <c r="H1652" s="5"/>
      <c r="I1652" s="5"/>
      <c r="J1652" s="6"/>
    </row>
    <row r="1653" spans="8:10" x14ac:dyDescent="0.25">
      <c r="H1653" s="5"/>
      <c r="I1653" s="5"/>
      <c r="J1653" s="6"/>
    </row>
    <row r="1654" spans="8:10" x14ac:dyDescent="0.25">
      <c r="H1654" s="5"/>
      <c r="I1654" s="5"/>
      <c r="J1654" s="6"/>
    </row>
    <row r="1655" spans="8:10" x14ac:dyDescent="0.25">
      <c r="H1655" s="5"/>
      <c r="I1655" s="5"/>
      <c r="J1655" s="6"/>
    </row>
    <row r="1656" spans="8:10" x14ac:dyDescent="0.25">
      <c r="H1656" s="5"/>
      <c r="I1656" s="5"/>
      <c r="J1656" s="6"/>
    </row>
    <row r="1657" spans="8:10" x14ac:dyDescent="0.25">
      <c r="H1657" s="5"/>
      <c r="I1657" s="5"/>
      <c r="J1657" s="6"/>
    </row>
    <row r="1658" spans="8:10" x14ac:dyDescent="0.25">
      <c r="H1658" s="5"/>
      <c r="I1658" s="5"/>
      <c r="J1658" s="6"/>
    </row>
    <row r="1659" spans="8:10" x14ac:dyDescent="0.25">
      <c r="H1659" s="5"/>
      <c r="I1659" s="5"/>
      <c r="J1659" s="6"/>
    </row>
    <row r="1660" spans="8:10" x14ac:dyDescent="0.25">
      <c r="H1660" s="5"/>
      <c r="I1660" s="5"/>
      <c r="J1660" s="6"/>
    </row>
    <row r="1661" spans="8:10" x14ac:dyDescent="0.25">
      <c r="H1661" s="5"/>
      <c r="I1661" s="5"/>
      <c r="J1661" s="6"/>
    </row>
    <row r="1662" spans="8:10" x14ac:dyDescent="0.25">
      <c r="H1662" s="5"/>
      <c r="I1662" s="5"/>
      <c r="J1662" s="6"/>
    </row>
    <row r="1663" spans="8:10" x14ac:dyDescent="0.25">
      <c r="H1663" s="5"/>
      <c r="I1663" s="5"/>
      <c r="J1663" s="6"/>
    </row>
    <row r="1664" spans="8:10" x14ac:dyDescent="0.25">
      <c r="H1664" s="5"/>
      <c r="I1664" s="5"/>
      <c r="J1664" s="6"/>
    </row>
    <row r="1665" spans="8:10" x14ac:dyDescent="0.25">
      <c r="H1665" s="5"/>
      <c r="I1665" s="5"/>
      <c r="J1665" s="6"/>
    </row>
    <row r="1666" spans="8:10" x14ac:dyDescent="0.25">
      <c r="H1666" s="5"/>
      <c r="I1666" s="5"/>
      <c r="J1666" s="6"/>
    </row>
    <row r="1667" spans="8:10" x14ac:dyDescent="0.25">
      <c r="H1667" s="5"/>
      <c r="I1667" s="5"/>
      <c r="J1667" s="6"/>
    </row>
    <row r="1668" spans="8:10" x14ac:dyDescent="0.25">
      <c r="H1668" s="5"/>
      <c r="I1668" s="5"/>
      <c r="J1668" s="6"/>
    </row>
    <row r="1669" spans="8:10" x14ac:dyDescent="0.25">
      <c r="H1669" s="5"/>
      <c r="I1669" s="5"/>
      <c r="J1669" s="6"/>
    </row>
    <row r="1670" spans="8:10" x14ac:dyDescent="0.25">
      <c r="H1670" s="5"/>
      <c r="I1670" s="5"/>
      <c r="J1670" s="6"/>
    </row>
    <row r="1671" spans="8:10" x14ac:dyDescent="0.25">
      <c r="H1671" s="5"/>
      <c r="I1671" s="5"/>
      <c r="J1671" s="6"/>
    </row>
    <row r="1672" spans="8:10" x14ac:dyDescent="0.25">
      <c r="H1672" s="5"/>
      <c r="I1672" s="5"/>
      <c r="J1672" s="6"/>
    </row>
    <row r="1673" spans="8:10" x14ac:dyDescent="0.25">
      <c r="H1673" s="5"/>
      <c r="I1673" s="5"/>
      <c r="J1673" s="6"/>
    </row>
    <row r="1674" spans="8:10" x14ac:dyDescent="0.25">
      <c r="H1674" s="5"/>
      <c r="I1674" s="5"/>
      <c r="J1674" s="6"/>
    </row>
    <row r="1675" spans="8:10" x14ac:dyDescent="0.25">
      <c r="H1675" s="5"/>
      <c r="I1675" s="5"/>
      <c r="J1675" s="6"/>
    </row>
    <row r="1676" spans="8:10" x14ac:dyDescent="0.25">
      <c r="H1676" s="5"/>
      <c r="I1676" s="5"/>
      <c r="J1676" s="6"/>
    </row>
    <row r="1677" spans="8:10" x14ac:dyDescent="0.25">
      <c r="H1677" s="5"/>
      <c r="I1677" s="5"/>
      <c r="J1677" s="6"/>
    </row>
    <row r="1678" spans="8:10" x14ac:dyDescent="0.25">
      <c r="H1678" s="5"/>
      <c r="I1678" s="5"/>
      <c r="J1678" s="6"/>
    </row>
    <row r="1679" spans="8:10" x14ac:dyDescent="0.25">
      <c r="H1679" s="5"/>
      <c r="I1679" s="5"/>
      <c r="J1679" s="6"/>
    </row>
    <row r="1680" spans="8:10" x14ac:dyDescent="0.25">
      <c r="H1680" s="5"/>
      <c r="I1680" s="5"/>
      <c r="J1680" s="6"/>
    </row>
    <row r="1681" spans="8:10" x14ac:dyDescent="0.25">
      <c r="H1681" s="5"/>
      <c r="I1681" s="5"/>
      <c r="J1681" s="6"/>
    </row>
    <row r="1682" spans="8:10" x14ac:dyDescent="0.25">
      <c r="H1682" s="5"/>
      <c r="I1682" s="5"/>
      <c r="J1682" s="6"/>
    </row>
    <row r="1683" spans="8:10" x14ac:dyDescent="0.25">
      <c r="H1683" s="5"/>
      <c r="I1683" s="5"/>
      <c r="J1683" s="6"/>
    </row>
    <row r="1684" spans="8:10" x14ac:dyDescent="0.25">
      <c r="H1684" s="5"/>
      <c r="I1684" s="5"/>
      <c r="J1684" s="6"/>
    </row>
    <row r="1685" spans="8:10" x14ac:dyDescent="0.25">
      <c r="H1685" s="5"/>
      <c r="I1685" s="5"/>
      <c r="J1685" s="6"/>
    </row>
    <row r="1686" spans="8:10" x14ac:dyDescent="0.25">
      <c r="H1686" s="5"/>
      <c r="I1686" s="5"/>
      <c r="J1686" s="6"/>
    </row>
    <row r="1687" spans="8:10" x14ac:dyDescent="0.25">
      <c r="H1687" s="5"/>
      <c r="I1687" s="5"/>
      <c r="J1687" s="6"/>
    </row>
    <row r="1688" spans="8:10" x14ac:dyDescent="0.25">
      <c r="H1688" s="5"/>
      <c r="I1688" s="5"/>
      <c r="J1688" s="6"/>
    </row>
    <row r="1689" spans="8:10" x14ac:dyDescent="0.25">
      <c r="H1689" s="5"/>
      <c r="I1689" s="5"/>
      <c r="J1689" s="6"/>
    </row>
    <row r="1690" spans="8:10" x14ac:dyDescent="0.25">
      <c r="H1690" s="5"/>
      <c r="I1690" s="5"/>
      <c r="J1690" s="6"/>
    </row>
    <row r="1691" spans="8:10" x14ac:dyDescent="0.25">
      <c r="H1691" s="5"/>
      <c r="I1691" s="5"/>
      <c r="J1691" s="6"/>
    </row>
    <row r="1692" spans="8:10" x14ac:dyDescent="0.25">
      <c r="H1692" s="5"/>
      <c r="I1692" s="5"/>
      <c r="J1692" s="6"/>
    </row>
    <row r="1693" spans="8:10" x14ac:dyDescent="0.25">
      <c r="H1693" s="5"/>
      <c r="I1693" s="5"/>
      <c r="J1693" s="6"/>
    </row>
    <row r="1694" spans="8:10" x14ac:dyDescent="0.25">
      <c r="H1694" s="5"/>
      <c r="I1694" s="5"/>
      <c r="J1694" s="6"/>
    </row>
    <row r="1695" spans="8:10" x14ac:dyDescent="0.25">
      <c r="H1695" s="5"/>
      <c r="I1695" s="5"/>
      <c r="J1695" s="6"/>
    </row>
    <row r="1696" spans="8:10" x14ac:dyDescent="0.25">
      <c r="H1696" s="5"/>
      <c r="I1696" s="5"/>
      <c r="J1696" s="6"/>
    </row>
    <row r="1697" spans="8:10" x14ac:dyDescent="0.25">
      <c r="H1697" s="5"/>
      <c r="I1697" s="5"/>
      <c r="J1697" s="6"/>
    </row>
    <row r="1698" spans="8:10" x14ac:dyDescent="0.25">
      <c r="H1698" s="5"/>
      <c r="I1698" s="5"/>
      <c r="J1698" s="6"/>
    </row>
    <row r="1699" spans="8:10" x14ac:dyDescent="0.25">
      <c r="H1699" s="5"/>
      <c r="I1699" s="5"/>
      <c r="J1699" s="6"/>
    </row>
    <row r="1700" spans="8:10" x14ac:dyDescent="0.25">
      <c r="H1700" s="5"/>
      <c r="I1700" s="5"/>
      <c r="J1700" s="6"/>
    </row>
    <row r="1701" spans="8:10" x14ac:dyDescent="0.25">
      <c r="H1701" s="5"/>
      <c r="I1701" s="5"/>
      <c r="J1701" s="6"/>
    </row>
    <row r="1702" spans="8:10" x14ac:dyDescent="0.25">
      <c r="H1702" s="5"/>
      <c r="I1702" s="5"/>
      <c r="J1702" s="6"/>
    </row>
    <row r="1703" spans="8:10" x14ac:dyDescent="0.25">
      <c r="H1703" s="5"/>
      <c r="I1703" s="5"/>
      <c r="J1703" s="6"/>
    </row>
    <row r="1704" spans="8:10" x14ac:dyDescent="0.25">
      <c r="H1704" s="5"/>
      <c r="I1704" s="5"/>
      <c r="J1704" s="6"/>
    </row>
    <row r="1705" spans="8:10" x14ac:dyDescent="0.25">
      <c r="H1705" s="5"/>
      <c r="I1705" s="5"/>
      <c r="J1705" s="6"/>
    </row>
    <row r="1706" spans="8:10" x14ac:dyDescent="0.25">
      <c r="H1706" s="5"/>
      <c r="I1706" s="5"/>
      <c r="J1706" s="6"/>
    </row>
    <row r="1707" spans="8:10" x14ac:dyDescent="0.25">
      <c r="H1707" s="5"/>
      <c r="I1707" s="5"/>
      <c r="J1707" s="6"/>
    </row>
    <row r="1708" spans="8:10" x14ac:dyDescent="0.25">
      <c r="H1708" s="5"/>
      <c r="I1708" s="5"/>
      <c r="J1708" s="6"/>
    </row>
    <row r="1709" spans="8:10" x14ac:dyDescent="0.25">
      <c r="H1709" s="5"/>
      <c r="I1709" s="5"/>
      <c r="J1709" s="6"/>
    </row>
    <row r="1710" spans="8:10" x14ac:dyDescent="0.25">
      <c r="H1710" s="5"/>
      <c r="I1710" s="5"/>
      <c r="J1710" s="6"/>
    </row>
    <row r="1711" spans="8:10" x14ac:dyDescent="0.25">
      <c r="H1711" s="5"/>
      <c r="I1711" s="5"/>
      <c r="J1711" s="6"/>
    </row>
    <row r="1712" spans="8:10" x14ac:dyDescent="0.25">
      <c r="H1712" s="5"/>
      <c r="I1712" s="5"/>
      <c r="J1712" s="6"/>
    </row>
    <row r="1713" spans="8:10" x14ac:dyDescent="0.25">
      <c r="H1713" s="5"/>
      <c r="I1713" s="5"/>
      <c r="J1713" s="6"/>
    </row>
    <row r="1714" spans="8:10" x14ac:dyDescent="0.25">
      <c r="H1714" s="5"/>
      <c r="I1714" s="5"/>
      <c r="J1714" s="6"/>
    </row>
    <row r="1715" spans="8:10" x14ac:dyDescent="0.25">
      <c r="H1715" s="5"/>
      <c r="I1715" s="5"/>
      <c r="J1715" s="6"/>
    </row>
    <row r="1716" spans="8:10" x14ac:dyDescent="0.25">
      <c r="H1716" s="5"/>
      <c r="I1716" s="5"/>
      <c r="J1716" s="6"/>
    </row>
    <row r="1717" spans="8:10" x14ac:dyDescent="0.25">
      <c r="H1717" s="5"/>
      <c r="I1717" s="5"/>
      <c r="J1717" s="6"/>
    </row>
    <row r="1718" spans="8:10" x14ac:dyDescent="0.25">
      <c r="H1718" s="5"/>
      <c r="I1718" s="5"/>
      <c r="J1718" s="6"/>
    </row>
    <row r="1719" spans="8:10" x14ac:dyDescent="0.25">
      <c r="H1719" s="5"/>
      <c r="I1719" s="5"/>
      <c r="J1719" s="6"/>
    </row>
    <row r="1720" spans="8:10" x14ac:dyDescent="0.25">
      <c r="H1720" s="5"/>
      <c r="I1720" s="5"/>
      <c r="J1720" s="6"/>
    </row>
    <row r="1721" spans="8:10" x14ac:dyDescent="0.25">
      <c r="H1721" s="5"/>
      <c r="I1721" s="5"/>
      <c r="J1721" s="6"/>
    </row>
    <row r="1722" spans="8:10" x14ac:dyDescent="0.25">
      <c r="H1722" s="5"/>
      <c r="I1722" s="5"/>
      <c r="J1722" s="6"/>
    </row>
    <row r="1723" spans="8:10" x14ac:dyDescent="0.25">
      <c r="H1723" s="5"/>
      <c r="I1723" s="5"/>
      <c r="J1723" s="6"/>
    </row>
    <row r="1724" spans="8:10" x14ac:dyDescent="0.25">
      <c r="H1724" s="5"/>
      <c r="I1724" s="5"/>
      <c r="J1724" s="6"/>
    </row>
    <row r="1725" spans="8:10" x14ac:dyDescent="0.25">
      <c r="H1725" s="5"/>
      <c r="I1725" s="5"/>
      <c r="J1725" s="6"/>
    </row>
    <row r="1726" spans="8:10" x14ac:dyDescent="0.25">
      <c r="H1726" s="5"/>
      <c r="I1726" s="5"/>
      <c r="J1726" s="6"/>
    </row>
    <row r="1727" spans="8:10" x14ac:dyDescent="0.25">
      <c r="H1727" s="5"/>
      <c r="I1727" s="5"/>
      <c r="J1727" s="6"/>
    </row>
    <row r="1728" spans="8:10" x14ac:dyDescent="0.25">
      <c r="H1728" s="5"/>
      <c r="I1728" s="5"/>
      <c r="J1728" s="6"/>
    </row>
    <row r="1729" spans="8:10" x14ac:dyDescent="0.25">
      <c r="H1729" s="5"/>
      <c r="I1729" s="5"/>
      <c r="J1729" s="6"/>
    </row>
    <row r="1730" spans="8:10" x14ac:dyDescent="0.25">
      <c r="H1730" s="5"/>
      <c r="I1730" s="5"/>
      <c r="J1730" s="6"/>
    </row>
    <row r="1731" spans="8:10" x14ac:dyDescent="0.25">
      <c r="H1731" s="5"/>
      <c r="I1731" s="5"/>
      <c r="J1731" s="6"/>
    </row>
    <row r="1732" spans="8:10" x14ac:dyDescent="0.25">
      <c r="H1732" s="5"/>
      <c r="I1732" s="5"/>
      <c r="J1732" s="6"/>
    </row>
    <row r="1733" spans="8:10" x14ac:dyDescent="0.25">
      <c r="H1733" s="5"/>
      <c r="I1733" s="5"/>
      <c r="J1733" s="6"/>
    </row>
    <row r="1734" spans="8:10" x14ac:dyDescent="0.25">
      <c r="H1734" s="5"/>
      <c r="I1734" s="5"/>
      <c r="J1734" s="6"/>
    </row>
    <row r="1735" spans="8:10" x14ac:dyDescent="0.25">
      <c r="H1735" s="5"/>
      <c r="I1735" s="5"/>
      <c r="J1735" s="6"/>
    </row>
    <row r="1736" spans="8:10" x14ac:dyDescent="0.25">
      <c r="H1736" s="5"/>
      <c r="I1736" s="5"/>
      <c r="J1736" s="6"/>
    </row>
    <row r="1737" spans="8:10" x14ac:dyDescent="0.25">
      <c r="H1737" s="5"/>
      <c r="I1737" s="5"/>
      <c r="J1737" s="6"/>
    </row>
    <row r="1738" spans="8:10" x14ac:dyDescent="0.25">
      <c r="H1738" s="5"/>
      <c r="I1738" s="5"/>
      <c r="J1738" s="6"/>
    </row>
    <row r="1739" spans="8:10" x14ac:dyDescent="0.25">
      <c r="H1739" s="5"/>
      <c r="I1739" s="5"/>
      <c r="J1739" s="6"/>
    </row>
    <row r="1740" spans="8:10" x14ac:dyDescent="0.25">
      <c r="H1740" s="5"/>
      <c r="I1740" s="5"/>
      <c r="J1740" s="6"/>
    </row>
    <row r="1741" spans="8:10" x14ac:dyDescent="0.25">
      <c r="H1741" s="5"/>
      <c r="I1741" s="5"/>
      <c r="J1741" s="6"/>
    </row>
    <row r="1742" spans="8:10" x14ac:dyDescent="0.25">
      <c r="H1742" s="5"/>
      <c r="I1742" s="5"/>
      <c r="J1742" s="6"/>
    </row>
    <row r="1743" spans="8:10" x14ac:dyDescent="0.25">
      <c r="H1743" s="5"/>
      <c r="I1743" s="5"/>
      <c r="J1743" s="6"/>
    </row>
    <row r="1744" spans="8:10" x14ac:dyDescent="0.25">
      <c r="H1744" s="5"/>
      <c r="I1744" s="5"/>
      <c r="J1744" s="6"/>
    </row>
    <row r="1745" spans="8:10" x14ac:dyDescent="0.25">
      <c r="H1745" s="5"/>
      <c r="I1745" s="5"/>
      <c r="J1745" s="6"/>
    </row>
    <row r="1746" spans="8:10" x14ac:dyDescent="0.25">
      <c r="H1746" s="5"/>
      <c r="I1746" s="5"/>
      <c r="J1746" s="6"/>
    </row>
    <row r="1747" spans="8:10" x14ac:dyDescent="0.25">
      <c r="H1747" s="5"/>
      <c r="I1747" s="5"/>
      <c r="J1747" s="6"/>
    </row>
    <row r="1748" spans="8:10" x14ac:dyDescent="0.25">
      <c r="H1748" s="5"/>
      <c r="I1748" s="5"/>
      <c r="J1748" s="6"/>
    </row>
    <row r="1749" spans="8:10" x14ac:dyDescent="0.25">
      <c r="H1749" s="5"/>
      <c r="I1749" s="5"/>
      <c r="J1749" s="6"/>
    </row>
    <row r="1750" spans="8:10" x14ac:dyDescent="0.25">
      <c r="H1750" s="5"/>
      <c r="I1750" s="5"/>
      <c r="J1750" s="6"/>
    </row>
    <row r="1751" spans="8:10" x14ac:dyDescent="0.25">
      <c r="H1751" s="5"/>
      <c r="I1751" s="5"/>
      <c r="J1751" s="6"/>
    </row>
    <row r="1752" spans="8:10" x14ac:dyDescent="0.25">
      <c r="H1752" s="5"/>
      <c r="I1752" s="5"/>
      <c r="J1752" s="6"/>
    </row>
    <row r="1753" spans="8:10" x14ac:dyDescent="0.25">
      <c r="H1753" s="5"/>
      <c r="I1753" s="5"/>
      <c r="J1753" s="6"/>
    </row>
    <row r="1754" spans="8:10" x14ac:dyDescent="0.25">
      <c r="H1754" s="5"/>
      <c r="I1754" s="5"/>
      <c r="J1754" s="6"/>
    </row>
    <row r="1755" spans="8:10" x14ac:dyDescent="0.25">
      <c r="H1755" s="5"/>
      <c r="I1755" s="5"/>
      <c r="J1755" s="6"/>
    </row>
    <row r="1756" spans="8:10" x14ac:dyDescent="0.25">
      <c r="H1756" s="5"/>
      <c r="I1756" s="5"/>
      <c r="J1756" s="6"/>
    </row>
    <row r="1757" spans="8:10" x14ac:dyDescent="0.25">
      <c r="H1757" s="5"/>
      <c r="I1757" s="5"/>
      <c r="J1757" s="6"/>
    </row>
    <row r="1758" spans="8:10" x14ac:dyDescent="0.25">
      <c r="H1758" s="5"/>
      <c r="I1758" s="5"/>
      <c r="J1758" s="6"/>
    </row>
    <row r="1759" spans="8:10" x14ac:dyDescent="0.25">
      <c r="H1759" s="5"/>
      <c r="I1759" s="5"/>
      <c r="J1759" s="6"/>
    </row>
    <row r="1760" spans="8:10" x14ac:dyDescent="0.25">
      <c r="H1760" s="5"/>
      <c r="I1760" s="5"/>
      <c r="J1760" s="6"/>
    </row>
    <row r="1761" spans="8:10" x14ac:dyDescent="0.25">
      <c r="H1761" s="5"/>
      <c r="I1761" s="5"/>
      <c r="J1761" s="6"/>
    </row>
    <row r="1762" spans="8:10" x14ac:dyDescent="0.25">
      <c r="H1762" s="5"/>
      <c r="I1762" s="5"/>
      <c r="J1762" s="6"/>
    </row>
    <row r="1763" spans="8:10" x14ac:dyDescent="0.25">
      <c r="H1763" s="5"/>
      <c r="I1763" s="5"/>
      <c r="J1763" s="6"/>
    </row>
    <row r="1764" spans="8:10" x14ac:dyDescent="0.25">
      <c r="H1764" s="5"/>
      <c r="I1764" s="5"/>
      <c r="J1764" s="6"/>
    </row>
    <row r="1765" spans="8:10" x14ac:dyDescent="0.25">
      <c r="H1765" s="5"/>
      <c r="I1765" s="5"/>
      <c r="J1765" s="6"/>
    </row>
    <row r="1766" spans="8:10" x14ac:dyDescent="0.25">
      <c r="H1766" s="5"/>
      <c r="I1766" s="5"/>
      <c r="J1766" s="6"/>
    </row>
    <row r="1767" spans="8:10" x14ac:dyDescent="0.25">
      <c r="H1767" s="5"/>
      <c r="I1767" s="5"/>
      <c r="J1767" s="6"/>
    </row>
    <row r="1768" spans="8:10" x14ac:dyDescent="0.25">
      <c r="H1768" s="5"/>
      <c r="I1768" s="5"/>
      <c r="J1768" s="6"/>
    </row>
    <row r="1769" spans="8:10" x14ac:dyDescent="0.25">
      <c r="H1769" s="5"/>
      <c r="I1769" s="5"/>
      <c r="J1769" s="6"/>
    </row>
    <row r="1770" spans="8:10" x14ac:dyDescent="0.25">
      <c r="H1770" s="5"/>
      <c r="I1770" s="5"/>
      <c r="J1770" s="6"/>
    </row>
    <row r="1771" spans="8:10" x14ac:dyDescent="0.25">
      <c r="H1771" s="5"/>
      <c r="I1771" s="5"/>
      <c r="J1771" s="6"/>
    </row>
    <row r="1772" spans="8:10" x14ac:dyDescent="0.25">
      <c r="H1772" s="5"/>
      <c r="I1772" s="5"/>
      <c r="J1772" s="6"/>
    </row>
    <row r="1773" spans="8:10" x14ac:dyDescent="0.25">
      <c r="H1773" s="5"/>
      <c r="I1773" s="5"/>
      <c r="J1773" s="6"/>
    </row>
    <row r="1774" spans="8:10" x14ac:dyDescent="0.25">
      <c r="H1774" s="5"/>
      <c r="I1774" s="5"/>
      <c r="J1774" s="6"/>
    </row>
    <row r="1775" spans="8:10" x14ac:dyDescent="0.25">
      <c r="H1775" s="5"/>
      <c r="I1775" s="5"/>
      <c r="J1775" s="6"/>
    </row>
    <row r="1776" spans="8:10" x14ac:dyDescent="0.25">
      <c r="H1776" s="5"/>
      <c r="I1776" s="5"/>
      <c r="J1776" s="6"/>
    </row>
    <row r="1777" spans="8:10" x14ac:dyDescent="0.25">
      <c r="H1777" s="5"/>
      <c r="I1777" s="5"/>
      <c r="J1777" s="6"/>
    </row>
    <row r="1778" spans="8:10" x14ac:dyDescent="0.25">
      <c r="H1778" s="5"/>
      <c r="I1778" s="5"/>
      <c r="J1778" s="6"/>
    </row>
    <row r="1779" spans="8:10" x14ac:dyDescent="0.25">
      <c r="H1779" s="5"/>
      <c r="I1779" s="5"/>
      <c r="J1779" s="6"/>
    </row>
    <row r="1780" spans="8:10" x14ac:dyDescent="0.25">
      <c r="H1780" s="5"/>
      <c r="I1780" s="5"/>
      <c r="J1780" s="6"/>
    </row>
    <row r="1781" spans="8:10" x14ac:dyDescent="0.25">
      <c r="H1781" s="5"/>
      <c r="I1781" s="5"/>
      <c r="J1781" s="6"/>
    </row>
    <row r="1782" spans="8:10" x14ac:dyDescent="0.25">
      <c r="H1782" s="5"/>
      <c r="I1782" s="5"/>
      <c r="J1782" s="6"/>
    </row>
    <row r="1783" spans="8:10" x14ac:dyDescent="0.25">
      <c r="H1783" s="5"/>
      <c r="I1783" s="5"/>
      <c r="J1783" s="6"/>
    </row>
    <row r="1784" spans="8:10" x14ac:dyDescent="0.25">
      <c r="H1784" s="5"/>
      <c r="I1784" s="5"/>
      <c r="J1784" s="6"/>
    </row>
    <row r="1785" spans="8:10" x14ac:dyDescent="0.25">
      <c r="H1785" s="5"/>
      <c r="I1785" s="5"/>
      <c r="J1785" s="6"/>
    </row>
    <row r="1786" spans="8:10" x14ac:dyDescent="0.25">
      <c r="H1786" s="5"/>
      <c r="I1786" s="5"/>
      <c r="J1786" s="6"/>
    </row>
    <row r="1787" spans="8:10" x14ac:dyDescent="0.25">
      <c r="H1787" s="5"/>
      <c r="I1787" s="5"/>
      <c r="J1787" s="6"/>
    </row>
    <row r="1788" spans="8:10" x14ac:dyDescent="0.25">
      <c r="H1788" s="5"/>
      <c r="I1788" s="5"/>
      <c r="J1788" s="6"/>
    </row>
    <row r="1789" spans="8:10" x14ac:dyDescent="0.25">
      <c r="H1789" s="5"/>
      <c r="I1789" s="5"/>
      <c r="J1789" s="6"/>
    </row>
    <row r="1790" spans="8:10" x14ac:dyDescent="0.25">
      <c r="H1790" s="5"/>
      <c r="I1790" s="5"/>
      <c r="J1790" s="6"/>
    </row>
    <row r="1791" spans="8:10" x14ac:dyDescent="0.25">
      <c r="H1791" s="5"/>
      <c r="I1791" s="5"/>
      <c r="J1791" s="6"/>
    </row>
    <row r="1792" spans="8:10" x14ac:dyDescent="0.25">
      <c r="H1792" s="5"/>
      <c r="I1792" s="5"/>
      <c r="J1792" s="6"/>
    </row>
    <row r="1793" spans="8:10" x14ac:dyDescent="0.25">
      <c r="H1793" s="5"/>
      <c r="I1793" s="5"/>
      <c r="J1793" s="6"/>
    </row>
    <row r="1794" spans="8:10" x14ac:dyDescent="0.25">
      <c r="H1794" s="5"/>
      <c r="I1794" s="5"/>
      <c r="J1794" s="6"/>
    </row>
    <row r="1795" spans="8:10" x14ac:dyDescent="0.25">
      <c r="H1795" s="5"/>
      <c r="I1795" s="5"/>
      <c r="J1795" s="6"/>
    </row>
    <row r="1796" spans="8:10" x14ac:dyDescent="0.25">
      <c r="H1796" s="5"/>
      <c r="I1796" s="5"/>
      <c r="J1796" s="6"/>
    </row>
    <row r="1797" spans="8:10" x14ac:dyDescent="0.25">
      <c r="H1797" s="5"/>
      <c r="I1797" s="5"/>
      <c r="J1797" s="6"/>
    </row>
    <row r="1798" spans="8:10" x14ac:dyDescent="0.25">
      <c r="H1798" s="5"/>
      <c r="I1798" s="5"/>
      <c r="J1798" s="6"/>
    </row>
    <row r="1799" spans="8:10" x14ac:dyDescent="0.25">
      <c r="H1799" s="5"/>
      <c r="I1799" s="5"/>
      <c r="J1799" s="6"/>
    </row>
    <row r="1800" spans="8:10" x14ac:dyDescent="0.25">
      <c r="H1800" s="5"/>
      <c r="I1800" s="5"/>
      <c r="J1800" s="6"/>
    </row>
    <row r="1801" spans="8:10" x14ac:dyDescent="0.25">
      <c r="H1801" s="5"/>
      <c r="I1801" s="5"/>
      <c r="J1801" s="6"/>
    </row>
    <row r="1802" spans="8:10" x14ac:dyDescent="0.25">
      <c r="H1802" s="5"/>
      <c r="I1802" s="5"/>
      <c r="J1802" s="6"/>
    </row>
    <row r="1803" spans="8:10" x14ac:dyDescent="0.25">
      <c r="H1803" s="5"/>
      <c r="I1803" s="5"/>
      <c r="J1803" s="6"/>
    </row>
    <row r="1804" spans="8:10" x14ac:dyDescent="0.25">
      <c r="H1804" s="5"/>
      <c r="I1804" s="5"/>
      <c r="J1804" s="6"/>
    </row>
    <row r="1805" spans="8:10" x14ac:dyDescent="0.25">
      <c r="H1805" s="5"/>
      <c r="I1805" s="5"/>
      <c r="J1805" s="6"/>
    </row>
    <row r="1806" spans="8:10" x14ac:dyDescent="0.25">
      <c r="H1806" s="5"/>
      <c r="I1806" s="5"/>
      <c r="J1806" s="6"/>
    </row>
    <row r="1807" spans="8:10" x14ac:dyDescent="0.25">
      <c r="H1807" s="5"/>
      <c r="I1807" s="5"/>
      <c r="J1807" s="6"/>
    </row>
    <row r="1808" spans="8:10" x14ac:dyDescent="0.25">
      <c r="H1808" s="5"/>
      <c r="I1808" s="5"/>
      <c r="J1808" s="6"/>
    </row>
    <row r="1809" spans="8:10" x14ac:dyDescent="0.25">
      <c r="H1809" s="5"/>
      <c r="I1809" s="5"/>
      <c r="J1809" s="6"/>
    </row>
    <row r="1810" spans="8:10" x14ac:dyDescent="0.25">
      <c r="H1810" s="5"/>
      <c r="I1810" s="5"/>
      <c r="J1810" s="6"/>
    </row>
    <row r="1811" spans="8:10" x14ac:dyDescent="0.25">
      <c r="H1811" s="5"/>
      <c r="I1811" s="5"/>
      <c r="J1811" s="6"/>
    </row>
    <row r="1812" spans="8:10" x14ac:dyDescent="0.25">
      <c r="H1812" s="5"/>
      <c r="I1812" s="5"/>
      <c r="J1812" s="6"/>
    </row>
    <row r="1813" spans="8:10" x14ac:dyDescent="0.25">
      <c r="H1813" s="5"/>
      <c r="I1813" s="5"/>
      <c r="J1813" s="6"/>
    </row>
    <row r="1814" spans="8:10" x14ac:dyDescent="0.25">
      <c r="H1814" s="5"/>
      <c r="I1814" s="5"/>
      <c r="J1814" s="6"/>
    </row>
    <row r="1815" spans="8:10" x14ac:dyDescent="0.25">
      <c r="H1815" s="5"/>
      <c r="I1815" s="5"/>
      <c r="J1815" s="6"/>
    </row>
    <row r="1816" spans="8:10" x14ac:dyDescent="0.25">
      <c r="H1816" s="5"/>
      <c r="I1816" s="5"/>
      <c r="J1816" s="6"/>
    </row>
    <row r="1817" spans="8:10" x14ac:dyDescent="0.25">
      <c r="H1817" s="5"/>
      <c r="I1817" s="5"/>
      <c r="J1817" s="6"/>
    </row>
    <row r="1818" spans="8:10" x14ac:dyDescent="0.25">
      <c r="H1818" s="5"/>
      <c r="I1818" s="5"/>
      <c r="J1818" s="6"/>
    </row>
    <row r="1819" spans="8:10" x14ac:dyDescent="0.25">
      <c r="H1819" s="5"/>
      <c r="I1819" s="5"/>
      <c r="J1819" s="6"/>
    </row>
    <row r="1820" spans="8:10" x14ac:dyDescent="0.25">
      <c r="H1820" s="5"/>
      <c r="I1820" s="5"/>
      <c r="J1820" s="6"/>
    </row>
    <row r="1821" spans="8:10" x14ac:dyDescent="0.25">
      <c r="H1821" s="5"/>
      <c r="I1821" s="5"/>
      <c r="J1821" s="6"/>
    </row>
    <row r="1822" spans="8:10" x14ac:dyDescent="0.25">
      <c r="H1822" s="5"/>
      <c r="I1822" s="5"/>
      <c r="J1822" s="6"/>
    </row>
    <row r="1823" spans="8:10" x14ac:dyDescent="0.25">
      <c r="H1823" s="5"/>
      <c r="I1823" s="5"/>
      <c r="J1823" s="6"/>
    </row>
    <row r="1824" spans="8:10" x14ac:dyDescent="0.25">
      <c r="H1824" s="5"/>
      <c r="I1824" s="5"/>
      <c r="J1824" s="6"/>
    </row>
    <row r="1825" spans="8:10" x14ac:dyDescent="0.25">
      <c r="H1825" s="5"/>
      <c r="I1825" s="5"/>
      <c r="J1825" s="6"/>
    </row>
    <row r="1826" spans="8:10" x14ac:dyDescent="0.25">
      <c r="H1826" s="5"/>
      <c r="I1826" s="5"/>
      <c r="J1826" s="6"/>
    </row>
    <row r="1827" spans="8:10" x14ac:dyDescent="0.25">
      <c r="H1827" s="5"/>
      <c r="I1827" s="5"/>
      <c r="J1827" s="6"/>
    </row>
    <row r="1828" spans="8:10" x14ac:dyDescent="0.25">
      <c r="H1828" s="5"/>
      <c r="I1828" s="5"/>
      <c r="J1828" s="6"/>
    </row>
    <row r="1829" spans="8:10" x14ac:dyDescent="0.25">
      <c r="H1829" s="5"/>
      <c r="I1829" s="5"/>
      <c r="J1829" s="6"/>
    </row>
    <row r="1830" spans="8:10" x14ac:dyDescent="0.25">
      <c r="H1830" s="5"/>
      <c r="I1830" s="5"/>
      <c r="J1830" s="6"/>
    </row>
    <row r="1831" spans="8:10" x14ac:dyDescent="0.25">
      <c r="H1831" s="5"/>
      <c r="I1831" s="5"/>
      <c r="J1831" s="6"/>
    </row>
    <row r="1832" spans="8:10" x14ac:dyDescent="0.25">
      <c r="H1832" s="5"/>
      <c r="I1832" s="5"/>
      <c r="J1832" s="6"/>
    </row>
    <row r="1833" spans="8:10" x14ac:dyDescent="0.25">
      <c r="H1833" s="5"/>
      <c r="I1833" s="5"/>
      <c r="J1833" s="6"/>
    </row>
    <row r="1834" spans="8:10" x14ac:dyDescent="0.25">
      <c r="H1834" s="5"/>
      <c r="I1834" s="5"/>
      <c r="J1834" s="6"/>
    </row>
    <row r="1835" spans="8:10" x14ac:dyDescent="0.25">
      <c r="H1835" s="5"/>
      <c r="I1835" s="5"/>
      <c r="J1835" s="6"/>
    </row>
    <row r="1836" spans="8:10" x14ac:dyDescent="0.25">
      <c r="H1836" s="5"/>
      <c r="I1836" s="5"/>
      <c r="J1836" s="6"/>
    </row>
    <row r="1837" spans="8:10" x14ac:dyDescent="0.25">
      <c r="H1837" s="5"/>
      <c r="I1837" s="5"/>
      <c r="J1837" s="6"/>
    </row>
    <row r="1838" spans="8:10" x14ac:dyDescent="0.25">
      <c r="H1838" s="5"/>
      <c r="I1838" s="5"/>
      <c r="J1838" s="6"/>
    </row>
    <row r="1839" spans="8:10" x14ac:dyDescent="0.25">
      <c r="H1839" s="5"/>
      <c r="I1839" s="5"/>
      <c r="J1839" s="6"/>
    </row>
    <row r="1840" spans="8:10" x14ac:dyDescent="0.25">
      <c r="H1840" s="5"/>
      <c r="I1840" s="5"/>
      <c r="J1840" s="6"/>
    </row>
    <row r="1841" spans="8:10" x14ac:dyDescent="0.25">
      <c r="H1841" s="5"/>
      <c r="I1841" s="5"/>
      <c r="J1841" s="6"/>
    </row>
    <row r="1842" spans="8:10" x14ac:dyDescent="0.25">
      <c r="H1842" s="5"/>
      <c r="I1842" s="5"/>
      <c r="J1842" s="6"/>
    </row>
    <row r="1843" spans="8:10" x14ac:dyDescent="0.25">
      <c r="H1843" s="5"/>
      <c r="I1843" s="5"/>
      <c r="J1843" s="6"/>
    </row>
    <row r="1844" spans="8:10" x14ac:dyDescent="0.25">
      <c r="H1844" s="5"/>
      <c r="I1844" s="5"/>
      <c r="J1844" s="6"/>
    </row>
    <row r="1845" spans="8:10" x14ac:dyDescent="0.25">
      <c r="H1845" s="5"/>
      <c r="I1845" s="5"/>
      <c r="J1845" s="6"/>
    </row>
    <row r="1846" spans="8:10" x14ac:dyDescent="0.25">
      <c r="H1846" s="5"/>
      <c r="I1846" s="5"/>
      <c r="J1846" s="6"/>
    </row>
    <row r="1847" spans="8:10" x14ac:dyDescent="0.25">
      <c r="H1847" s="5"/>
      <c r="I1847" s="5"/>
      <c r="J1847" s="6"/>
    </row>
    <row r="1848" spans="8:10" x14ac:dyDescent="0.25">
      <c r="H1848" s="5"/>
      <c r="I1848" s="5"/>
      <c r="J1848" s="6"/>
    </row>
    <row r="1849" spans="8:10" x14ac:dyDescent="0.25">
      <c r="H1849" s="5"/>
      <c r="I1849" s="5"/>
      <c r="J1849" s="6"/>
    </row>
    <row r="1850" spans="8:10" x14ac:dyDescent="0.25">
      <c r="H1850" s="5"/>
      <c r="I1850" s="5"/>
      <c r="J1850" s="6"/>
    </row>
    <row r="1851" spans="8:10" x14ac:dyDescent="0.25">
      <c r="H1851" s="5"/>
      <c r="I1851" s="5"/>
      <c r="J1851" s="6"/>
    </row>
    <row r="1852" spans="8:10" x14ac:dyDescent="0.25">
      <c r="H1852" s="5"/>
      <c r="I1852" s="5"/>
      <c r="J1852" s="6"/>
    </row>
    <row r="1853" spans="8:10" x14ac:dyDescent="0.25">
      <c r="H1853" s="5"/>
      <c r="I1853" s="5"/>
      <c r="J1853" s="6"/>
    </row>
    <row r="1854" spans="8:10" x14ac:dyDescent="0.25">
      <c r="H1854" s="5"/>
      <c r="I1854" s="5"/>
      <c r="J1854" s="6"/>
    </row>
    <row r="1855" spans="8:10" x14ac:dyDescent="0.25">
      <c r="H1855" s="5"/>
      <c r="I1855" s="5"/>
      <c r="J1855" s="6"/>
    </row>
    <row r="1856" spans="8:10" x14ac:dyDescent="0.25">
      <c r="H1856" s="5"/>
      <c r="I1856" s="5"/>
      <c r="J1856" s="6"/>
    </row>
    <row r="1857" spans="8:10" x14ac:dyDescent="0.25">
      <c r="H1857" s="5"/>
      <c r="I1857" s="5"/>
      <c r="J1857" s="6"/>
    </row>
    <row r="1858" spans="8:10" x14ac:dyDescent="0.25">
      <c r="H1858" s="5"/>
      <c r="I1858" s="5"/>
      <c r="J1858" s="6"/>
    </row>
    <row r="1859" spans="8:10" x14ac:dyDescent="0.25">
      <c r="H1859" s="5"/>
      <c r="I1859" s="5"/>
      <c r="J1859" s="6"/>
    </row>
    <row r="1860" spans="8:10" x14ac:dyDescent="0.25">
      <c r="H1860" s="5"/>
      <c r="I1860" s="5"/>
      <c r="J1860" s="6"/>
    </row>
    <row r="1861" spans="8:10" x14ac:dyDescent="0.25">
      <c r="H1861" s="5"/>
      <c r="I1861" s="5"/>
      <c r="J1861" s="6"/>
    </row>
    <row r="1862" spans="8:10" x14ac:dyDescent="0.25">
      <c r="H1862" s="5"/>
      <c r="I1862" s="5"/>
      <c r="J1862" s="6"/>
    </row>
    <row r="1863" spans="8:10" x14ac:dyDescent="0.25">
      <c r="H1863" s="5"/>
      <c r="I1863" s="5"/>
      <c r="J1863" s="6"/>
    </row>
    <row r="1864" spans="8:10" x14ac:dyDescent="0.25">
      <c r="H1864" s="5"/>
      <c r="I1864" s="5"/>
      <c r="J1864" s="6"/>
    </row>
    <row r="1865" spans="8:10" x14ac:dyDescent="0.25">
      <c r="H1865" s="5"/>
      <c r="I1865" s="5"/>
      <c r="J1865" s="6"/>
    </row>
    <row r="1866" spans="8:10" x14ac:dyDescent="0.25">
      <c r="H1866" s="5"/>
      <c r="I1866" s="5"/>
      <c r="J1866" s="6"/>
    </row>
    <row r="1867" spans="8:10" x14ac:dyDescent="0.25">
      <c r="H1867" s="5"/>
      <c r="I1867" s="5"/>
      <c r="J1867" s="6"/>
    </row>
    <row r="1868" spans="8:10" x14ac:dyDescent="0.25">
      <c r="H1868" s="5"/>
      <c r="I1868" s="5"/>
      <c r="J1868" s="6"/>
    </row>
    <row r="1869" spans="8:10" x14ac:dyDescent="0.25">
      <c r="H1869" s="5"/>
      <c r="I1869" s="5"/>
      <c r="J1869" s="6"/>
    </row>
    <row r="1870" spans="8:10" x14ac:dyDescent="0.25">
      <c r="H1870" s="5"/>
      <c r="I1870" s="5"/>
      <c r="J1870" s="6"/>
    </row>
    <row r="1871" spans="8:10" x14ac:dyDescent="0.25">
      <c r="H1871" s="5"/>
      <c r="I1871" s="5"/>
      <c r="J1871" s="6"/>
    </row>
    <row r="1872" spans="8:10" x14ac:dyDescent="0.25">
      <c r="H1872" s="5"/>
      <c r="I1872" s="5"/>
      <c r="J1872" s="6"/>
    </row>
    <row r="1873" spans="8:10" x14ac:dyDescent="0.25">
      <c r="H1873" s="5"/>
      <c r="I1873" s="5"/>
      <c r="J1873" s="6"/>
    </row>
    <row r="1874" spans="8:10" x14ac:dyDescent="0.25">
      <c r="H1874" s="5"/>
      <c r="I1874" s="5"/>
      <c r="J1874" s="6"/>
    </row>
    <row r="1875" spans="8:10" x14ac:dyDescent="0.25">
      <c r="H1875" s="5"/>
      <c r="I1875" s="5"/>
      <c r="J1875" s="6"/>
    </row>
    <row r="1876" spans="8:10" x14ac:dyDescent="0.25">
      <c r="H1876" s="5"/>
      <c r="I1876" s="5"/>
      <c r="J1876" s="6"/>
    </row>
    <row r="1877" spans="8:10" x14ac:dyDescent="0.25">
      <c r="H1877" s="5"/>
      <c r="I1877" s="5"/>
      <c r="J1877" s="6"/>
    </row>
    <row r="1878" spans="8:10" x14ac:dyDescent="0.25">
      <c r="H1878" s="5"/>
      <c r="I1878" s="5"/>
      <c r="J1878" s="6"/>
    </row>
    <row r="1879" spans="8:10" x14ac:dyDescent="0.25">
      <c r="H1879" s="5"/>
      <c r="I1879" s="5"/>
      <c r="J1879" s="6"/>
    </row>
    <row r="1880" spans="8:10" x14ac:dyDescent="0.25">
      <c r="H1880" s="5"/>
      <c r="I1880" s="5"/>
      <c r="J1880" s="6"/>
    </row>
    <row r="1881" spans="8:10" x14ac:dyDescent="0.25">
      <c r="H1881" s="5"/>
      <c r="I1881" s="5"/>
      <c r="J1881" s="6"/>
    </row>
    <row r="1882" spans="8:10" x14ac:dyDescent="0.25">
      <c r="H1882" s="5"/>
      <c r="I1882" s="5"/>
      <c r="J1882" s="6"/>
    </row>
    <row r="1883" spans="8:10" x14ac:dyDescent="0.25">
      <c r="H1883" s="5"/>
      <c r="I1883" s="5"/>
      <c r="J1883" s="6"/>
    </row>
    <row r="1884" spans="8:10" x14ac:dyDescent="0.25">
      <c r="H1884" s="5"/>
      <c r="I1884" s="5"/>
      <c r="J1884" s="6"/>
    </row>
    <row r="1885" spans="8:10" x14ac:dyDescent="0.25">
      <c r="H1885" s="5"/>
      <c r="I1885" s="5"/>
      <c r="J1885" s="6"/>
    </row>
    <row r="1886" spans="8:10" x14ac:dyDescent="0.25">
      <c r="H1886" s="5"/>
      <c r="I1886" s="5"/>
      <c r="J1886" s="6"/>
    </row>
    <row r="1887" spans="8:10" x14ac:dyDescent="0.25">
      <c r="H1887" s="5"/>
      <c r="I1887" s="5"/>
      <c r="J1887" s="6"/>
    </row>
    <row r="1888" spans="8:10" x14ac:dyDescent="0.25">
      <c r="H1888" s="5"/>
      <c r="I1888" s="5"/>
      <c r="J1888" s="6"/>
    </row>
    <row r="1889" spans="8:10" x14ac:dyDescent="0.25">
      <c r="H1889" s="5"/>
      <c r="I1889" s="5"/>
      <c r="J1889" s="6"/>
    </row>
    <row r="1890" spans="8:10" x14ac:dyDescent="0.25">
      <c r="H1890" s="5"/>
      <c r="I1890" s="5"/>
      <c r="J1890" s="6"/>
    </row>
    <row r="1891" spans="8:10" x14ac:dyDescent="0.25">
      <c r="H1891" s="5"/>
      <c r="I1891" s="5"/>
      <c r="J1891" s="6"/>
    </row>
    <row r="1892" spans="8:10" x14ac:dyDescent="0.25">
      <c r="H1892" s="5"/>
      <c r="I1892" s="5"/>
      <c r="J1892" s="6"/>
    </row>
    <row r="1893" spans="8:10" x14ac:dyDescent="0.25">
      <c r="H1893" s="5"/>
      <c r="I1893" s="5"/>
      <c r="J1893" s="6"/>
    </row>
    <row r="1894" spans="8:10" x14ac:dyDescent="0.25">
      <c r="H1894" s="5"/>
      <c r="I1894" s="5"/>
      <c r="J1894" s="6"/>
    </row>
    <row r="1895" spans="8:10" x14ac:dyDescent="0.25">
      <c r="H1895" s="5"/>
      <c r="I1895" s="5"/>
      <c r="J1895" s="6"/>
    </row>
    <row r="1896" spans="8:10" x14ac:dyDescent="0.25">
      <c r="H1896" s="5"/>
      <c r="I1896" s="5"/>
      <c r="J1896" s="6"/>
    </row>
    <row r="1897" spans="8:10" x14ac:dyDescent="0.25">
      <c r="H1897" s="5"/>
      <c r="I1897" s="5"/>
      <c r="J1897" s="6"/>
    </row>
    <row r="1898" spans="8:10" x14ac:dyDescent="0.25">
      <c r="H1898" s="5"/>
      <c r="I1898" s="5"/>
      <c r="J1898" s="6"/>
    </row>
    <row r="1899" spans="8:10" x14ac:dyDescent="0.25">
      <c r="H1899" s="5"/>
      <c r="I1899" s="5"/>
      <c r="J1899" s="6"/>
    </row>
    <row r="1900" spans="8:10" x14ac:dyDescent="0.25">
      <c r="H1900" s="5"/>
      <c r="I1900" s="5"/>
      <c r="J1900" s="6"/>
    </row>
    <row r="1901" spans="8:10" x14ac:dyDescent="0.25">
      <c r="H1901" s="5"/>
      <c r="I1901" s="5"/>
      <c r="J1901" s="6"/>
    </row>
    <row r="1902" spans="8:10" x14ac:dyDescent="0.25">
      <c r="H1902" s="5"/>
      <c r="I1902" s="5"/>
      <c r="J1902" s="6"/>
    </row>
    <row r="1903" spans="8:10" x14ac:dyDescent="0.25">
      <c r="H1903" s="5"/>
      <c r="I1903" s="5"/>
      <c r="J1903" s="6"/>
    </row>
    <row r="1904" spans="8:10" x14ac:dyDescent="0.25">
      <c r="H1904" s="5"/>
      <c r="I1904" s="5"/>
      <c r="J1904" s="6"/>
    </row>
    <row r="1905" spans="8:10" x14ac:dyDescent="0.25">
      <c r="H1905" s="5"/>
      <c r="I1905" s="5"/>
      <c r="J1905" s="6"/>
    </row>
    <row r="1906" spans="8:10" x14ac:dyDescent="0.25">
      <c r="H1906" s="5"/>
      <c r="I1906" s="5"/>
      <c r="J1906" s="6"/>
    </row>
    <row r="1907" spans="8:10" x14ac:dyDescent="0.25">
      <c r="H1907" s="5"/>
      <c r="I1907" s="5"/>
      <c r="J1907" s="6"/>
    </row>
    <row r="1908" spans="8:10" x14ac:dyDescent="0.25">
      <c r="H1908" s="5"/>
      <c r="I1908" s="5"/>
      <c r="J1908" s="6"/>
    </row>
    <row r="1909" spans="8:10" x14ac:dyDescent="0.25">
      <c r="H1909" s="5"/>
      <c r="I1909" s="5"/>
      <c r="J1909" s="6"/>
    </row>
    <row r="1910" spans="8:10" x14ac:dyDescent="0.25">
      <c r="H1910" s="5"/>
      <c r="I1910" s="5"/>
      <c r="J1910" s="6"/>
    </row>
    <row r="1911" spans="8:10" x14ac:dyDescent="0.25">
      <c r="H1911" s="5"/>
      <c r="I1911" s="5"/>
      <c r="J1911" s="6"/>
    </row>
    <row r="1912" spans="8:10" x14ac:dyDescent="0.25">
      <c r="H1912" s="5"/>
      <c r="I1912" s="5"/>
      <c r="J1912" s="6"/>
    </row>
    <row r="1913" spans="8:10" x14ac:dyDescent="0.25">
      <c r="H1913" s="5"/>
      <c r="I1913" s="5"/>
      <c r="J1913" s="6"/>
    </row>
    <row r="1914" spans="8:10" x14ac:dyDescent="0.25">
      <c r="H1914" s="5"/>
      <c r="I1914" s="5"/>
      <c r="J1914" s="6"/>
    </row>
    <row r="1915" spans="8:10" x14ac:dyDescent="0.25">
      <c r="H1915" s="5"/>
      <c r="I1915" s="5"/>
      <c r="J1915" s="6"/>
    </row>
    <row r="1916" spans="8:10" x14ac:dyDescent="0.25">
      <c r="H1916" s="5"/>
      <c r="I1916" s="5"/>
      <c r="J1916" s="6"/>
    </row>
    <row r="1917" spans="8:10" x14ac:dyDescent="0.25">
      <c r="H1917" s="5"/>
      <c r="I1917" s="5"/>
      <c r="J1917" s="6"/>
    </row>
    <row r="1918" spans="8:10" x14ac:dyDescent="0.25">
      <c r="H1918" s="5"/>
      <c r="I1918" s="5"/>
      <c r="J1918" s="6"/>
    </row>
    <row r="1919" spans="8:10" x14ac:dyDescent="0.25">
      <c r="H1919" s="5"/>
      <c r="I1919" s="5"/>
      <c r="J1919" s="6"/>
    </row>
    <row r="1920" spans="8:10" x14ac:dyDescent="0.25">
      <c r="H1920" s="5"/>
      <c r="I1920" s="5"/>
      <c r="J1920" s="6"/>
    </row>
    <row r="1921" spans="8:10" x14ac:dyDescent="0.25">
      <c r="H1921" s="5"/>
      <c r="I1921" s="5"/>
      <c r="J1921" s="6"/>
    </row>
    <row r="1922" spans="8:10" x14ac:dyDescent="0.25">
      <c r="H1922" s="5"/>
      <c r="I1922" s="5"/>
      <c r="J1922" s="6"/>
    </row>
    <row r="1923" spans="8:10" x14ac:dyDescent="0.25">
      <c r="H1923" s="5"/>
      <c r="I1923" s="5"/>
      <c r="J1923" s="6"/>
    </row>
    <row r="1924" spans="8:10" x14ac:dyDescent="0.25">
      <c r="H1924" s="5"/>
      <c r="I1924" s="5"/>
      <c r="J1924" s="6"/>
    </row>
    <row r="1925" spans="8:10" x14ac:dyDescent="0.25">
      <c r="H1925" s="5"/>
      <c r="I1925" s="5"/>
      <c r="J1925" s="6"/>
    </row>
    <row r="1926" spans="8:10" x14ac:dyDescent="0.25">
      <c r="H1926" s="5"/>
      <c r="I1926" s="5"/>
      <c r="J1926" s="6"/>
    </row>
    <row r="1927" spans="8:10" x14ac:dyDescent="0.25">
      <c r="H1927" s="5"/>
      <c r="I1927" s="5"/>
      <c r="J1927" s="6"/>
    </row>
    <row r="1928" spans="8:10" x14ac:dyDescent="0.25">
      <c r="H1928" s="5"/>
      <c r="I1928" s="5"/>
      <c r="J1928" s="6"/>
    </row>
    <row r="1929" spans="8:10" x14ac:dyDescent="0.25">
      <c r="H1929" s="5"/>
      <c r="I1929" s="5"/>
      <c r="J1929" s="6"/>
    </row>
    <row r="1930" spans="8:10" x14ac:dyDescent="0.25">
      <c r="H1930" s="5"/>
      <c r="I1930" s="5"/>
      <c r="J1930" s="6"/>
    </row>
    <row r="1931" spans="8:10" x14ac:dyDescent="0.25">
      <c r="H1931" s="5"/>
      <c r="I1931" s="5"/>
      <c r="J1931" s="6"/>
    </row>
    <row r="1932" spans="8:10" x14ac:dyDescent="0.25">
      <c r="H1932" s="5"/>
      <c r="I1932" s="5"/>
      <c r="J1932" s="6"/>
    </row>
    <row r="1933" spans="8:10" x14ac:dyDescent="0.25">
      <c r="H1933" s="5"/>
      <c r="I1933" s="5"/>
      <c r="J1933" s="6"/>
    </row>
    <row r="1934" spans="8:10" x14ac:dyDescent="0.25">
      <c r="H1934" s="5"/>
      <c r="I1934" s="5"/>
      <c r="J1934" s="6"/>
    </row>
    <row r="1935" spans="8:10" x14ac:dyDescent="0.25">
      <c r="H1935" s="5"/>
      <c r="I1935" s="5"/>
      <c r="J1935" s="6"/>
    </row>
    <row r="1936" spans="8:10" x14ac:dyDescent="0.25">
      <c r="H1936" s="5"/>
      <c r="I1936" s="5"/>
      <c r="J1936" s="6"/>
    </row>
    <row r="1937" spans="8:10" x14ac:dyDescent="0.25">
      <c r="H1937" s="5"/>
      <c r="I1937" s="5"/>
      <c r="J1937" s="6"/>
    </row>
    <row r="1938" spans="8:10" x14ac:dyDescent="0.25">
      <c r="H1938" s="5"/>
      <c r="I1938" s="5"/>
      <c r="J1938" s="6"/>
    </row>
    <row r="1939" spans="8:10" x14ac:dyDescent="0.25">
      <c r="H1939" s="5"/>
      <c r="I1939" s="5"/>
      <c r="J1939" s="6"/>
    </row>
    <row r="1940" spans="8:10" x14ac:dyDescent="0.25">
      <c r="H1940" s="5"/>
      <c r="I1940" s="5"/>
      <c r="J1940" s="6"/>
    </row>
    <row r="1941" spans="8:10" x14ac:dyDescent="0.25">
      <c r="H1941" s="5"/>
      <c r="I1941" s="5"/>
      <c r="J1941" s="6"/>
    </row>
    <row r="1942" spans="8:10" x14ac:dyDescent="0.25">
      <c r="H1942" s="5"/>
      <c r="I1942" s="5"/>
      <c r="J1942" s="6"/>
    </row>
    <row r="1943" spans="8:10" x14ac:dyDescent="0.25">
      <c r="H1943" s="5"/>
      <c r="I1943" s="5"/>
      <c r="J1943" s="6"/>
    </row>
    <row r="1944" spans="8:10" x14ac:dyDescent="0.25">
      <c r="H1944" s="5"/>
      <c r="I1944" s="5"/>
      <c r="J1944" s="6"/>
    </row>
    <row r="1945" spans="8:10" x14ac:dyDescent="0.25">
      <c r="H1945" s="5"/>
      <c r="I1945" s="5"/>
      <c r="J1945" s="6"/>
    </row>
    <row r="1946" spans="8:10" x14ac:dyDescent="0.25">
      <c r="H1946" s="5"/>
      <c r="I1946" s="5"/>
      <c r="J1946" s="6"/>
    </row>
    <row r="1947" spans="8:10" x14ac:dyDescent="0.25">
      <c r="H1947" s="5"/>
      <c r="I1947" s="5"/>
      <c r="J1947" s="6"/>
    </row>
    <row r="1948" spans="8:10" x14ac:dyDescent="0.25">
      <c r="H1948" s="5"/>
      <c r="I1948" s="5"/>
      <c r="J1948" s="6"/>
    </row>
    <row r="1949" spans="8:10" x14ac:dyDescent="0.25">
      <c r="H1949" s="5"/>
      <c r="I1949" s="5"/>
      <c r="J1949" s="6"/>
    </row>
    <row r="1950" spans="8:10" x14ac:dyDescent="0.25">
      <c r="H1950" s="5"/>
      <c r="I1950" s="5"/>
      <c r="J1950" s="6"/>
    </row>
    <row r="1951" spans="8:10" x14ac:dyDescent="0.25">
      <c r="H1951" s="5"/>
      <c r="I1951" s="5"/>
      <c r="J1951" s="6"/>
    </row>
    <row r="1952" spans="8:10" x14ac:dyDescent="0.25">
      <c r="H1952" s="5"/>
      <c r="I1952" s="5"/>
      <c r="J1952" s="6"/>
    </row>
    <row r="1953" spans="8:10" x14ac:dyDescent="0.25">
      <c r="H1953" s="5"/>
      <c r="I1953" s="5"/>
      <c r="J1953" s="6"/>
    </row>
    <row r="1954" spans="8:10" x14ac:dyDescent="0.25">
      <c r="H1954" s="5"/>
      <c r="I1954" s="5"/>
      <c r="J1954" s="6"/>
    </row>
    <row r="1955" spans="8:10" x14ac:dyDescent="0.25">
      <c r="H1955" s="5"/>
      <c r="I1955" s="5"/>
      <c r="J1955" s="6"/>
    </row>
    <row r="1956" spans="8:10" x14ac:dyDescent="0.25">
      <c r="H1956" s="5"/>
      <c r="I1956" s="5"/>
      <c r="J1956" s="6"/>
    </row>
    <row r="1957" spans="8:10" x14ac:dyDescent="0.25">
      <c r="H1957" s="5"/>
      <c r="I1957" s="5"/>
      <c r="J1957" s="6"/>
    </row>
    <row r="1958" spans="8:10" x14ac:dyDescent="0.25">
      <c r="H1958" s="5"/>
      <c r="I1958" s="5"/>
      <c r="J1958" s="6"/>
    </row>
    <row r="1959" spans="8:10" x14ac:dyDescent="0.25">
      <c r="H1959" s="5"/>
      <c r="I1959" s="5"/>
      <c r="J1959" s="6"/>
    </row>
    <row r="1960" spans="8:10" x14ac:dyDescent="0.25">
      <c r="H1960" s="5"/>
      <c r="I1960" s="5"/>
      <c r="J1960" s="6"/>
    </row>
    <row r="1961" spans="8:10" x14ac:dyDescent="0.25">
      <c r="H1961" s="5"/>
      <c r="I1961" s="5"/>
      <c r="J1961" s="6"/>
    </row>
    <row r="1962" spans="8:10" x14ac:dyDescent="0.25">
      <c r="H1962" s="5"/>
      <c r="I1962" s="5"/>
      <c r="J1962" s="6"/>
    </row>
    <row r="1963" spans="8:10" x14ac:dyDescent="0.25">
      <c r="H1963" s="5"/>
      <c r="I1963" s="5"/>
      <c r="J1963" s="6"/>
    </row>
    <row r="1964" spans="8:10" x14ac:dyDescent="0.25">
      <c r="H1964" s="5"/>
      <c r="I1964" s="5"/>
      <c r="J1964" s="6"/>
    </row>
    <row r="1965" spans="8:10" x14ac:dyDescent="0.25">
      <c r="H1965" s="5"/>
      <c r="I1965" s="5"/>
      <c r="J1965" s="6"/>
    </row>
    <row r="1966" spans="8:10" x14ac:dyDescent="0.25">
      <c r="H1966" s="5"/>
      <c r="I1966" s="5"/>
      <c r="J1966" s="6"/>
    </row>
    <row r="1967" spans="8:10" x14ac:dyDescent="0.25">
      <c r="H1967" s="5"/>
      <c r="I1967" s="5"/>
      <c r="J1967" s="6"/>
    </row>
    <row r="1968" spans="8:10" x14ac:dyDescent="0.25">
      <c r="H1968" s="5"/>
      <c r="I1968" s="5"/>
      <c r="J1968" s="6"/>
    </row>
    <row r="1969" spans="8:10" x14ac:dyDescent="0.25">
      <c r="H1969" s="5"/>
      <c r="I1969" s="5"/>
      <c r="J1969" s="6"/>
    </row>
    <row r="1970" spans="8:10" x14ac:dyDescent="0.25">
      <c r="H1970" s="5"/>
      <c r="I1970" s="5"/>
      <c r="J1970" s="6"/>
    </row>
    <row r="1971" spans="8:10" x14ac:dyDescent="0.25">
      <c r="H1971" s="5"/>
      <c r="I1971" s="5"/>
      <c r="J1971" s="6"/>
    </row>
    <row r="1972" spans="8:10" x14ac:dyDescent="0.25">
      <c r="H1972" s="5"/>
      <c r="I1972" s="5"/>
      <c r="J1972" s="6"/>
    </row>
    <row r="1973" spans="8:10" x14ac:dyDescent="0.25">
      <c r="H1973" s="5"/>
      <c r="I1973" s="5"/>
      <c r="J1973" s="6"/>
    </row>
    <row r="1974" spans="8:10" x14ac:dyDescent="0.25">
      <c r="H1974" s="5"/>
      <c r="I1974" s="5"/>
      <c r="J1974" s="6"/>
    </row>
    <row r="1975" spans="8:10" x14ac:dyDescent="0.25">
      <c r="H1975" s="5"/>
      <c r="I1975" s="5"/>
      <c r="J1975" s="6"/>
    </row>
    <row r="1976" spans="8:10" x14ac:dyDescent="0.25">
      <c r="H1976" s="5"/>
      <c r="I1976" s="5"/>
      <c r="J1976" s="6"/>
    </row>
    <row r="1977" spans="8:10" x14ac:dyDescent="0.25">
      <c r="H1977" s="5"/>
      <c r="I1977" s="5"/>
      <c r="J1977" s="6"/>
    </row>
    <row r="1978" spans="8:10" x14ac:dyDescent="0.25">
      <c r="H1978" s="5"/>
      <c r="I1978" s="5"/>
      <c r="J1978" s="6"/>
    </row>
    <row r="1979" spans="8:10" x14ac:dyDescent="0.25">
      <c r="H1979" s="5"/>
      <c r="I1979" s="5"/>
      <c r="J1979" s="6"/>
    </row>
    <row r="1980" spans="8:10" x14ac:dyDescent="0.25">
      <c r="H1980" s="5"/>
      <c r="I1980" s="5"/>
      <c r="J1980" s="6"/>
    </row>
    <row r="1981" spans="8:10" x14ac:dyDescent="0.25">
      <c r="H1981" s="5"/>
      <c r="I1981" s="5"/>
      <c r="J1981" s="6"/>
    </row>
    <row r="1982" spans="8:10" x14ac:dyDescent="0.25">
      <c r="H1982" s="5"/>
      <c r="I1982" s="5"/>
      <c r="J1982" s="6"/>
    </row>
    <row r="1983" spans="8:10" x14ac:dyDescent="0.25">
      <c r="H1983" s="5"/>
      <c r="I1983" s="5"/>
      <c r="J1983" s="6"/>
    </row>
    <row r="1984" spans="8:10" x14ac:dyDescent="0.25">
      <c r="H1984" s="5"/>
      <c r="I1984" s="5"/>
      <c r="J1984" s="6"/>
    </row>
    <row r="1985" spans="8:10" x14ac:dyDescent="0.25">
      <c r="H1985" s="5"/>
      <c r="I1985" s="5"/>
      <c r="J1985" s="6"/>
    </row>
    <row r="1986" spans="8:10" x14ac:dyDescent="0.25">
      <c r="H1986" s="5"/>
      <c r="I1986" s="5"/>
      <c r="J1986" s="6"/>
    </row>
    <row r="1987" spans="8:10" x14ac:dyDescent="0.25">
      <c r="H1987" s="5"/>
      <c r="I1987" s="5"/>
      <c r="J1987" s="6"/>
    </row>
    <row r="1988" spans="8:10" x14ac:dyDescent="0.25">
      <c r="H1988" s="5"/>
      <c r="I1988" s="5"/>
      <c r="J1988" s="6"/>
    </row>
    <row r="1989" spans="8:10" x14ac:dyDescent="0.25">
      <c r="H1989" s="5"/>
      <c r="I1989" s="5"/>
      <c r="J1989" s="6"/>
    </row>
    <row r="1990" spans="8:10" x14ac:dyDescent="0.25">
      <c r="H1990" s="5"/>
      <c r="I1990" s="5"/>
      <c r="J1990" s="6"/>
    </row>
    <row r="1991" spans="8:10" x14ac:dyDescent="0.25">
      <c r="H1991" s="5"/>
      <c r="I1991" s="5"/>
      <c r="J1991" s="6"/>
    </row>
    <row r="1992" spans="8:10" x14ac:dyDescent="0.25">
      <c r="H1992" s="5"/>
      <c r="I1992" s="5"/>
      <c r="J1992" s="6"/>
    </row>
    <row r="1993" spans="8:10" x14ac:dyDescent="0.25">
      <c r="H1993" s="5"/>
      <c r="I1993" s="5"/>
      <c r="J1993" s="6"/>
    </row>
    <row r="1994" spans="8:10" x14ac:dyDescent="0.25">
      <c r="H1994" s="5"/>
      <c r="I1994" s="5"/>
      <c r="J1994" s="6"/>
    </row>
    <row r="1995" spans="8:10" x14ac:dyDescent="0.25">
      <c r="H1995" s="5"/>
      <c r="I1995" s="5"/>
      <c r="J1995" s="6"/>
    </row>
    <row r="1996" spans="8:10" x14ac:dyDescent="0.25">
      <c r="H1996" s="5"/>
      <c r="I1996" s="5"/>
      <c r="J1996" s="6"/>
    </row>
    <row r="1997" spans="8:10" x14ac:dyDescent="0.25">
      <c r="H1997" s="5"/>
      <c r="I1997" s="5"/>
      <c r="J1997" s="6"/>
    </row>
    <row r="1998" spans="8:10" x14ac:dyDescent="0.25">
      <c r="H1998" s="5"/>
      <c r="I1998" s="5"/>
      <c r="J1998" s="6"/>
    </row>
    <row r="1999" spans="8:10" x14ac:dyDescent="0.25">
      <c r="H1999" s="5"/>
      <c r="I1999" s="5"/>
      <c r="J1999" s="6"/>
    </row>
    <row r="2000" spans="8:10" x14ac:dyDescent="0.25">
      <c r="H2000" s="5"/>
      <c r="I2000" s="5"/>
      <c r="J2000" s="6"/>
    </row>
    <row r="2001" spans="8:10" x14ac:dyDescent="0.25">
      <c r="H2001" s="5"/>
      <c r="I2001" s="5"/>
      <c r="J2001" s="6"/>
    </row>
    <row r="2002" spans="8:10" x14ac:dyDescent="0.25">
      <c r="H2002" s="5"/>
      <c r="I2002" s="5"/>
      <c r="J2002" s="6"/>
    </row>
    <row r="2003" spans="8:10" x14ac:dyDescent="0.25">
      <c r="H2003" s="5"/>
      <c r="I2003" s="5"/>
      <c r="J2003" s="6"/>
    </row>
    <row r="2004" spans="8:10" x14ac:dyDescent="0.25">
      <c r="H2004" s="5"/>
      <c r="I2004" s="5"/>
      <c r="J2004" s="6"/>
    </row>
    <row r="2005" spans="8:10" x14ac:dyDescent="0.25">
      <c r="H2005" s="5"/>
      <c r="I2005" s="5"/>
      <c r="J2005" s="6"/>
    </row>
    <row r="2006" spans="8:10" x14ac:dyDescent="0.25">
      <c r="H2006" s="5"/>
      <c r="I2006" s="5"/>
      <c r="J2006" s="6"/>
    </row>
    <row r="2007" spans="8:10" x14ac:dyDescent="0.25">
      <c r="H2007" s="5"/>
      <c r="I2007" s="5"/>
      <c r="J2007" s="6"/>
    </row>
    <row r="2008" spans="8:10" x14ac:dyDescent="0.25">
      <c r="H2008" s="5"/>
      <c r="I2008" s="5"/>
      <c r="J2008" s="6"/>
    </row>
    <row r="2009" spans="8:10" x14ac:dyDescent="0.25">
      <c r="H2009" s="5"/>
      <c r="I2009" s="5"/>
      <c r="J2009" s="6"/>
    </row>
    <row r="2010" spans="8:10" x14ac:dyDescent="0.25">
      <c r="H2010" s="5"/>
      <c r="I2010" s="5"/>
      <c r="J2010" s="6"/>
    </row>
    <row r="2011" spans="8:10" x14ac:dyDescent="0.25">
      <c r="H2011" s="5"/>
      <c r="I2011" s="5"/>
      <c r="J2011" s="6"/>
    </row>
    <row r="2012" spans="8:10" x14ac:dyDescent="0.25">
      <c r="H2012" s="5"/>
      <c r="I2012" s="5"/>
      <c r="J2012" s="6"/>
    </row>
    <row r="2013" spans="8:10" x14ac:dyDescent="0.25">
      <c r="H2013" s="5"/>
      <c r="I2013" s="5"/>
      <c r="J2013" s="6"/>
    </row>
    <row r="2014" spans="8:10" x14ac:dyDescent="0.25">
      <c r="H2014" s="5"/>
      <c r="I2014" s="5"/>
      <c r="J2014" s="6"/>
    </row>
    <row r="2015" spans="8:10" x14ac:dyDescent="0.25">
      <c r="H2015" s="5"/>
      <c r="I2015" s="5"/>
      <c r="J2015" s="6"/>
    </row>
    <row r="2016" spans="8:10" x14ac:dyDescent="0.25">
      <c r="H2016" s="5"/>
      <c r="I2016" s="5"/>
      <c r="J2016" s="6"/>
    </row>
    <row r="2017" spans="8:10" x14ac:dyDescent="0.25">
      <c r="H2017" s="5"/>
      <c r="I2017" s="5"/>
      <c r="J2017" s="6"/>
    </row>
    <row r="2018" spans="8:10" x14ac:dyDescent="0.25">
      <c r="H2018" s="5"/>
      <c r="I2018" s="5"/>
      <c r="J2018" s="6"/>
    </row>
    <row r="2019" spans="8:10" x14ac:dyDescent="0.25">
      <c r="H2019" s="5"/>
      <c r="I2019" s="5"/>
      <c r="J2019" s="6"/>
    </row>
    <row r="2020" spans="8:10" x14ac:dyDescent="0.25">
      <c r="H2020" s="5"/>
      <c r="I2020" s="5"/>
      <c r="J2020" s="6"/>
    </row>
    <row r="2021" spans="8:10" x14ac:dyDescent="0.25">
      <c r="H2021" s="5"/>
      <c r="I2021" s="5"/>
      <c r="J2021" s="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858</v>
      </c>
      <c r="B1" s="7" t="s">
        <v>859</v>
      </c>
      <c r="C1" s="7" t="s">
        <v>839</v>
      </c>
    </row>
    <row r="2" spans="1:3" x14ac:dyDescent="0.25">
      <c r="A2" t="s">
        <v>487</v>
      </c>
      <c r="B2" t="s">
        <v>490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487</v>
      </c>
      <c r="B3" t="s">
        <v>489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487</v>
      </c>
      <c r="B4" t="s">
        <v>492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25">
      <c r="A5" t="s">
        <v>487</v>
      </c>
      <c r="B5" t="s">
        <v>491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25">
      <c r="A6" t="s">
        <v>487</v>
      </c>
      <c r="B6" t="s">
        <v>493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487</v>
      </c>
      <c r="B7" t="s">
        <v>860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487</v>
      </c>
      <c r="B8" t="s">
        <v>494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487</v>
      </c>
      <c r="B9" t="s">
        <v>861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487</v>
      </c>
      <c r="B10" t="s">
        <v>495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487</v>
      </c>
      <c r="B11" t="s">
        <v>862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487</v>
      </c>
      <c r="B12" t="s">
        <v>496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487</v>
      </c>
      <c r="B13" t="s">
        <v>863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487</v>
      </c>
      <c r="B14" t="s">
        <v>497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487</v>
      </c>
      <c r="B15" t="s">
        <v>864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487</v>
      </c>
      <c r="B16" t="s">
        <v>498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487</v>
      </c>
      <c r="B17" t="s">
        <v>865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487</v>
      </c>
      <c r="B18" t="s">
        <v>499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487</v>
      </c>
      <c r="B19" t="s">
        <v>866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Robbie Orvis</cp:lastModifiedBy>
  <dcterms:created xsi:type="dcterms:W3CDTF">2019-09-06T15:21:18Z</dcterms:created>
  <dcterms:modified xsi:type="dcterms:W3CDTF">2020-10-13T15:10:40Z</dcterms:modified>
</cp:coreProperties>
</file>