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CA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207</v>
      </c>
      <c r="C4" t="inlineStr">
        <is>
          <t>Alameda Municipal Power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CA</t>
        </is>
      </c>
      <c r="H4" t="inlineStr">
        <is>
          <t>Municipal</t>
        </is>
      </c>
      <c r="I4" t="inlineStr">
        <is>
          <t>CISO</t>
        </is>
      </c>
      <c r="J4" t="n">
        <v>32111.2</v>
      </c>
      <c r="K4" t="n">
        <v>139744</v>
      </c>
      <c r="L4" t="n">
        <v>33174</v>
      </c>
      <c r="M4" t="n">
        <v>43430.5</v>
      </c>
      <c r="N4" t="n">
        <v>216203</v>
      </c>
      <c r="O4" t="n">
        <v>4052</v>
      </c>
      <c r="P4" t="inlineStr">
        <is>
          <t>.</t>
        </is>
      </c>
      <c r="Q4" t="inlineStr">
        <is>
          <t>.</t>
        </is>
      </c>
      <c r="R4" t="inlineStr">
        <is>
          <t>.</t>
        </is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75541.7</v>
      </c>
      <c r="W4" t="n">
        <v>355947</v>
      </c>
      <c r="X4" t="n">
        <v>37226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590</v>
      </c>
      <c r="C5" t="inlineStr">
        <is>
          <t>City of Anaheim - (CA)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CA</t>
        </is>
      </c>
      <c r="H5" t="inlineStr">
        <is>
          <t>Municipal</t>
        </is>
      </c>
      <c r="I5" t="inlineStr">
        <is>
          <t>CISO</t>
        </is>
      </c>
      <c r="J5" t="n">
        <v>101425</v>
      </c>
      <c r="K5" t="n">
        <v>592710</v>
      </c>
      <c r="L5" t="n">
        <v>105839</v>
      </c>
      <c r="M5" t="n">
        <v>128635</v>
      </c>
      <c r="N5" t="n">
        <v>725751</v>
      </c>
      <c r="O5" t="n">
        <v>17557</v>
      </c>
      <c r="P5" t="n">
        <v>127256</v>
      </c>
      <c r="Q5" t="n">
        <v>819612</v>
      </c>
      <c r="R5" t="n">
        <v>269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357316</v>
      </c>
      <c r="W5" t="n">
        <v>2138073</v>
      </c>
      <c r="X5" t="n">
        <v>123665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796</v>
      </c>
      <c r="C6" t="inlineStr">
        <is>
          <t>Arizona Electric Pwr Coop Inc</t>
        </is>
      </c>
      <c r="D6" t="inlineStr">
        <is>
          <t>B</t>
        </is>
      </c>
      <c r="E6" t="inlineStr">
        <is>
          <t>Energy</t>
        </is>
      </c>
      <c r="F6" t="inlineStr">
        <is>
          <t>O</t>
        </is>
      </c>
      <c r="G6" t="inlineStr">
        <is>
          <t>CA</t>
        </is>
      </c>
      <c r="H6" t="inlineStr">
        <is>
          <t>Cooperative</t>
        </is>
      </c>
      <c r="I6" t="inlineStr">
        <is>
          <t>CISO</t>
        </is>
      </c>
      <c r="J6" t="inlineStr">
        <is>
          <t>.</t>
        </is>
      </c>
      <c r="K6" t="inlineStr">
        <is>
          <t>.</t>
        </is>
      </c>
      <c r="L6" t="inlineStr">
        <is>
          <t>.</t>
        </is>
      </c>
      <c r="M6" t="n">
        <v>18.2</v>
      </c>
      <c r="N6" t="n">
        <v>809</v>
      </c>
      <c r="O6" t="n">
        <v>1</v>
      </c>
      <c r="P6" t="inlineStr">
        <is>
          <t>.</t>
        </is>
      </c>
      <c r="Q6" t="inlineStr">
        <is>
          <t>.</t>
        </is>
      </c>
      <c r="R6" t="inlineStr">
        <is>
          <t>.</t>
        </is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18.2</v>
      </c>
      <c r="W6" t="n">
        <v>809</v>
      </c>
      <c r="X6" t="n">
        <v>1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1050</v>
      </c>
      <c r="C7" t="inlineStr">
        <is>
          <t>City of Azusa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CA</t>
        </is>
      </c>
      <c r="H7" t="inlineStr">
        <is>
          <t>Municipal</t>
        </is>
      </c>
      <c r="I7" t="inlineStr">
        <is>
          <t>CISO</t>
        </is>
      </c>
      <c r="J7" t="n">
        <v>17011</v>
      </c>
      <c r="K7" t="n">
        <v>89136</v>
      </c>
      <c r="L7" t="n">
        <v>15599</v>
      </c>
      <c r="M7" t="n">
        <v>15699</v>
      </c>
      <c r="N7" t="n">
        <v>83492</v>
      </c>
      <c r="O7" t="n">
        <v>1957</v>
      </c>
      <c r="P7" t="n">
        <v>10455</v>
      </c>
      <c r="Q7" t="n">
        <v>61391</v>
      </c>
      <c r="R7" t="n">
        <v>27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43165</v>
      </c>
      <c r="W7" t="n">
        <v>234019</v>
      </c>
      <c r="X7" t="n">
        <v>17583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2507</v>
      </c>
      <c r="C8" t="inlineStr">
        <is>
          <t>City of Burbank Water and Power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CA</t>
        </is>
      </c>
      <c r="H8" t="inlineStr">
        <is>
          <t>Municipal</t>
        </is>
      </c>
      <c r="I8" t="inlineStr">
        <is>
          <t>LDWP</t>
        </is>
      </c>
      <c r="J8" t="n">
        <v>49794</v>
      </c>
      <c r="K8" t="n">
        <v>258668</v>
      </c>
      <c r="L8" t="n">
        <v>46157</v>
      </c>
      <c r="M8" t="n">
        <v>123658</v>
      </c>
      <c r="N8" t="n">
        <v>683972</v>
      </c>
      <c r="O8" t="n">
        <v>6998</v>
      </c>
      <c r="P8" t="inlineStr">
        <is>
          <t>.</t>
        </is>
      </c>
      <c r="Q8" t="inlineStr">
        <is>
          <t>.</t>
        </is>
      </c>
      <c r="R8" t="inlineStr">
        <is>
          <t>.</t>
        </is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173452</v>
      </c>
      <c r="W8" t="n">
        <v>942640</v>
      </c>
      <c r="X8" t="n">
        <v>53155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2830</v>
      </c>
      <c r="C9" t="inlineStr">
        <is>
          <t>Calpine Power America LLC</t>
        </is>
      </c>
      <c r="D9" t="inlineStr">
        <is>
          <t>B</t>
        </is>
      </c>
      <c r="E9" t="inlineStr">
        <is>
          <t>Energy</t>
        </is>
      </c>
      <c r="F9" t="inlineStr">
        <is>
          <t>O</t>
        </is>
      </c>
      <c r="G9" t="inlineStr">
        <is>
          <t>CA</t>
        </is>
      </c>
      <c r="H9" t="inlineStr">
        <is>
          <t>Retail Power Marketer</t>
        </is>
      </c>
      <c r="I9" t="inlineStr">
        <is>
          <t>CISO</t>
        </is>
      </c>
      <c r="J9" t="inlineStr">
        <is>
          <t>.</t>
        </is>
      </c>
      <c r="K9" t="inlineStr">
        <is>
          <t>.</t>
        </is>
      </c>
      <c r="L9" t="inlineStr">
        <is>
          <t>.</t>
        </is>
      </c>
      <c r="M9" t="n">
        <v>60746</v>
      </c>
      <c r="N9" t="n">
        <v>1286540</v>
      </c>
      <c r="O9" t="n">
        <v>4</v>
      </c>
      <c r="P9" t="inlineStr">
        <is>
          <t>.</t>
        </is>
      </c>
      <c r="Q9" t="inlineStr">
        <is>
          <t>.</t>
        </is>
      </c>
      <c r="R9" t="inlineStr">
        <is>
          <t>.</t>
        </is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60746</v>
      </c>
      <c r="W9" t="n">
        <v>1286540</v>
      </c>
      <c r="X9" t="n">
        <v>4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4003</v>
      </c>
      <c r="C10" t="inlineStr">
        <is>
          <t>City of Colton - (CA)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CA</t>
        </is>
      </c>
      <c r="H10" t="inlineStr">
        <is>
          <t>Municipal</t>
        </is>
      </c>
      <c r="I10" t="inlineStr">
        <is>
          <t>CISO</t>
        </is>
      </c>
      <c r="J10" t="n">
        <v>27963.8</v>
      </c>
      <c r="K10" t="n">
        <v>112530</v>
      </c>
      <c r="L10" t="n">
        <v>17472</v>
      </c>
      <c r="M10" t="n">
        <v>27568.1</v>
      </c>
      <c r="N10" t="n">
        <v>68352</v>
      </c>
      <c r="O10" t="n">
        <v>2313</v>
      </c>
      <c r="P10" t="n">
        <v>27500.6</v>
      </c>
      <c r="Q10" t="n">
        <v>153120</v>
      </c>
      <c r="R10" t="n">
        <v>279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83032.5</v>
      </c>
      <c r="W10" t="n">
        <v>334002</v>
      </c>
      <c r="X10" t="n">
        <v>20064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4390</v>
      </c>
      <c r="C11" t="inlineStr">
        <is>
          <t>City of Corona - (CA)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CA</t>
        </is>
      </c>
      <c r="H11" t="inlineStr">
        <is>
          <t>Municipal</t>
        </is>
      </c>
      <c r="I11" t="inlineStr">
        <is>
          <t>CISO</t>
        </is>
      </c>
      <c r="J11" t="n">
        <v>1283.6</v>
      </c>
      <c r="K11" t="n">
        <v>8282</v>
      </c>
      <c r="L11" t="n">
        <v>1285</v>
      </c>
      <c r="M11" t="n">
        <v>6479.2</v>
      </c>
      <c r="N11" t="n">
        <v>45845</v>
      </c>
      <c r="O11" t="n">
        <v>548</v>
      </c>
      <c r="P11" t="n">
        <v>3232.9</v>
      </c>
      <c r="Q11" t="n">
        <v>27932</v>
      </c>
      <c r="R11" t="n">
        <v>9</v>
      </c>
      <c r="S11" t="n">
        <v>0</v>
      </c>
      <c r="T11" t="n">
        <v>0</v>
      </c>
      <c r="U11" t="n">
        <v>0</v>
      </c>
      <c r="V11" t="n">
        <v>10995.7</v>
      </c>
      <c r="W11" t="n">
        <v>82059</v>
      </c>
      <c r="X11" t="n">
        <v>1842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4390</v>
      </c>
      <c r="C12" t="inlineStr">
        <is>
          <t>City of Corona - (CA)</t>
        </is>
      </c>
      <c r="D12" t="inlineStr">
        <is>
          <t>B</t>
        </is>
      </c>
      <c r="E12" t="inlineStr">
        <is>
          <t>Energy</t>
        </is>
      </c>
      <c r="F12" t="inlineStr">
        <is>
          <t>O</t>
        </is>
      </c>
      <c r="G12" t="inlineStr">
        <is>
          <t>CA</t>
        </is>
      </c>
      <c r="H12" t="inlineStr">
        <is>
          <t>Municipal</t>
        </is>
      </c>
      <c r="I12" t="inlineStr">
        <is>
          <t>CISO</t>
        </is>
      </c>
      <c r="J12" t="n">
        <v>0</v>
      </c>
      <c r="K12" t="n">
        <v>0</v>
      </c>
      <c r="L12" t="n">
        <v>0</v>
      </c>
      <c r="M12" t="n">
        <v>1475.2</v>
      </c>
      <c r="N12" t="n">
        <v>18855</v>
      </c>
      <c r="O12" t="n">
        <v>926</v>
      </c>
      <c r="P12" t="n">
        <v>2602.6</v>
      </c>
      <c r="Q12" t="n">
        <v>34488</v>
      </c>
      <c r="R12" t="n">
        <v>5</v>
      </c>
      <c r="S12" t="n">
        <v>0</v>
      </c>
      <c r="T12" t="n">
        <v>0</v>
      </c>
      <c r="U12" t="n">
        <v>0</v>
      </c>
      <c r="V12" t="n">
        <v>4077.8</v>
      </c>
      <c r="W12" t="n">
        <v>53343</v>
      </c>
      <c r="X12" t="n">
        <v>931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4410</v>
      </c>
      <c r="C13" t="inlineStr">
        <is>
          <t>Shell Energy North America (US), L.P.</t>
        </is>
      </c>
      <c r="D13" t="inlineStr">
        <is>
          <t>B</t>
        </is>
      </c>
      <c r="E13" t="inlineStr">
        <is>
          <t>Energy</t>
        </is>
      </c>
      <c r="F13" t="inlineStr">
        <is>
          <t>O</t>
        </is>
      </c>
      <c r="G13" t="inlineStr">
        <is>
          <t>CA</t>
        </is>
      </c>
      <c r="H13" t="inlineStr">
        <is>
          <t>Retail Power Marketer</t>
        </is>
      </c>
      <c r="I13" t="inlineStr">
        <is>
          <t>CISO</t>
        </is>
      </c>
      <c r="J13" t="n">
        <v>0</v>
      </c>
      <c r="K13" t="n">
        <v>0</v>
      </c>
      <c r="L13" t="n">
        <v>0</v>
      </c>
      <c r="M13" t="n">
        <v>491800.6</v>
      </c>
      <c r="N13" t="n">
        <v>3963447</v>
      </c>
      <c r="O13" t="n">
        <v>10852</v>
      </c>
      <c r="P13" t="n">
        <v>156076.6</v>
      </c>
      <c r="Q13" t="n">
        <v>1477769</v>
      </c>
      <c r="R13" t="n">
        <v>318</v>
      </c>
      <c r="S13" t="n">
        <v>0</v>
      </c>
      <c r="T13" t="n">
        <v>0</v>
      </c>
      <c r="U13" t="n">
        <v>0</v>
      </c>
      <c r="V13" t="n">
        <v>647877.2</v>
      </c>
      <c r="W13" t="n">
        <v>5441216</v>
      </c>
      <c r="X13" t="n">
        <v>11170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5969</v>
      </c>
      <c r="C14" t="inlineStr">
        <is>
          <t>City of Escondido - (CA)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CA</t>
        </is>
      </c>
      <c r="H14" t="inlineStr">
        <is>
          <t>Municipal</t>
        </is>
      </c>
      <c r="I14" t="inlineStr">
        <is>
          <t>CISO</t>
        </is>
      </c>
      <c r="J14" t="inlineStr">
        <is>
          <t>.</t>
        </is>
      </c>
      <c r="K14" t="inlineStr">
        <is>
          <t>.</t>
        </is>
      </c>
      <c r="L14" t="inlineStr">
        <is>
          <t>.</t>
        </is>
      </c>
      <c r="M14" t="n">
        <v>215</v>
      </c>
      <c r="N14" t="n">
        <v>4155</v>
      </c>
      <c r="O14" t="n">
        <v>1</v>
      </c>
      <c r="P14" t="inlineStr">
        <is>
          <t>.</t>
        </is>
      </c>
      <c r="Q14" t="inlineStr">
        <is>
          <t>.</t>
        </is>
      </c>
      <c r="R14" t="inlineStr">
        <is>
          <t>.</t>
        </is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215</v>
      </c>
      <c r="W14" t="n">
        <v>4155</v>
      </c>
      <c r="X14" t="n">
        <v>1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7294</v>
      </c>
      <c r="C15" t="inlineStr">
        <is>
          <t>City of Glendale - (CA)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CA</t>
        </is>
      </c>
      <c r="H15" t="inlineStr">
        <is>
          <t>Municipal</t>
        </is>
      </c>
      <c r="I15" t="inlineStr">
        <is>
          <t>LDWP</t>
        </is>
      </c>
      <c r="J15" t="n">
        <v>129473.9</v>
      </c>
      <c r="K15" t="n">
        <v>382936</v>
      </c>
      <c r="L15" t="n">
        <v>77563</v>
      </c>
      <c r="M15" t="n">
        <v>143675.8</v>
      </c>
      <c r="N15" t="n">
        <v>576711</v>
      </c>
      <c r="O15" t="n">
        <v>13395</v>
      </c>
      <c r="P15" t="n">
        <v>5104.2</v>
      </c>
      <c r="Q15" t="n">
        <v>22759</v>
      </c>
      <c r="R15" t="n">
        <v>32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278253.9</v>
      </c>
      <c r="W15" t="n">
        <v>982406</v>
      </c>
      <c r="X15" t="n">
        <v>90990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9216</v>
      </c>
      <c r="C16" t="inlineStr">
        <is>
          <t>Imperial Irrigation District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CA</t>
        </is>
      </c>
      <c r="H16" t="inlineStr">
        <is>
          <t>Political Subdivision</t>
        </is>
      </c>
      <c r="I16" t="inlineStr">
        <is>
          <t>IID</t>
        </is>
      </c>
      <c r="J16" t="n">
        <v>353871</v>
      </c>
      <c r="K16" t="n">
        <v>1975507</v>
      </c>
      <c r="L16" t="n">
        <v>142078</v>
      </c>
      <c r="M16" t="n">
        <v>288059</v>
      </c>
      <c r="N16" t="n">
        <v>1581503</v>
      </c>
      <c r="O16" t="n">
        <v>21915</v>
      </c>
      <c r="P16" t="n">
        <v>18371</v>
      </c>
      <c r="Q16" t="n">
        <v>88354</v>
      </c>
      <c r="R16" t="n">
        <v>809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660301</v>
      </c>
      <c r="W16" t="n">
        <v>3645364</v>
      </c>
      <c r="X16" t="n">
        <v>164802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10325</v>
      </c>
      <c r="C17" t="inlineStr">
        <is>
          <t>Kings River Conservation Dist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CA</t>
        </is>
      </c>
      <c r="H17" t="inlineStr">
        <is>
          <t>Political Subdivision</t>
        </is>
      </c>
      <c r="I17" t="inlineStr">
        <is>
          <t>CISO</t>
        </is>
      </c>
      <c r="J17" t="inlineStr">
        <is>
          <t>.</t>
        </is>
      </c>
      <c r="K17" t="inlineStr">
        <is>
          <t>.</t>
        </is>
      </c>
      <c r="L17" t="inlineStr">
        <is>
          <t>.</t>
        </is>
      </c>
      <c r="M17" t="n">
        <v>3623.4</v>
      </c>
      <c r="N17" t="n">
        <v>450755</v>
      </c>
      <c r="O17" t="n">
        <v>1</v>
      </c>
      <c r="P17" t="inlineStr">
        <is>
          <t>.</t>
        </is>
      </c>
      <c r="Q17" t="inlineStr">
        <is>
          <t>.</t>
        </is>
      </c>
      <c r="R17" t="inlineStr">
        <is>
          <t>.</t>
        </is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3623.4</v>
      </c>
      <c r="W17" t="n">
        <v>450755</v>
      </c>
      <c r="X17" t="n">
        <v>1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11124</v>
      </c>
      <c r="C18" t="inlineStr">
        <is>
          <t>City of Lodi - (CA)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CA</t>
        </is>
      </c>
      <c r="H18" t="inlineStr">
        <is>
          <t>Municipal</t>
        </is>
      </c>
      <c r="I18" t="inlineStr">
        <is>
          <t>CISO</t>
        </is>
      </c>
      <c r="J18" t="n">
        <v>38996</v>
      </c>
      <c r="K18" t="n">
        <v>173515</v>
      </c>
      <c r="L18" t="n">
        <v>23751</v>
      </c>
      <c r="M18" t="n">
        <v>33076.3</v>
      </c>
      <c r="N18" t="n">
        <v>167813</v>
      </c>
      <c r="O18" t="n">
        <v>2165</v>
      </c>
      <c r="P18" t="n">
        <v>18178.9</v>
      </c>
      <c r="Q18" t="n">
        <v>117724</v>
      </c>
      <c r="R18" t="n">
        <v>23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90251.2</v>
      </c>
      <c r="W18" t="n">
        <v>459052</v>
      </c>
      <c r="X18" t="n">
        <v>25939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11208</v>
      </c>
      <c r="C19" t="inlineStr">
        <is>
          <t>Los Angeles Department of Water &amp; Power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CA</t>
        </is>
      </c>
      <c r="H19" t="inlineStr">
        <is>
          <t>Municipal</t>
        </is>
      </c>
      <c r="I19" t="inlineStr">
        <is>
          <t>LDWP</t>
        </is>
      </c>
      <c r="J19" t="n">
        <v>1956785</v>
      </c>
      <c r="K19" t="n">
        <v>8208619</v>
      </c>
      <c r="L19" t="n">
        <v>1410191</v>
      </c>
      <c r="M19" t="n">
        <v>2629825</v>
      </c>
      <c r="N19" t="n">
        <v>11978429</v>
      </c>
      <c r="O19" t="n">
        <v>91304</v>
      </c>
      <c r="P19" t="n">
        <v>216919</v>
      </c>
      <c r="Q19" t="n">
        <v>1049637</v>
      </c>
      <c r="R19" t="n">
        <v>9498</v>
      </c>
      <c r="S19" t="n">
        <v>23687.1</v>
      </c>
      <c r="T19" t="n">
        <v>110390</v>
      </c>
      <c r="U19" t="n">
        <v>2</v>
      </c>
      <c r="V19" t="n">
        <v>4827216.1</v>
      </c>
      <c r="W19" t="n">
        <v>21347075</v>
      </c>
      <c r="X19" t="n">
        <v>1510995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12312</v>
      </c>
      <c r="C20" t="inlineStr">
        <is>
          <t>Merced Irrigation District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CA</t>
        </is>
      </c>
      <c r="H20" t="inlineStr">
        <is>
          <t>Political Subdivision</t>
        </is>
      </c>
      <c r="I20" t="inlineStr">
        <is>
          <t>CISO</t>
        </is>
      </c>
      <c r="J20" t="n">
        <v>21222.7</v>
      </c>
      <c r="K20" t="n">
        <v>87505</v>
      </c>
      <c r="L20" t="n">
        <v>11366</v>
      </c>
      <c r="M20" t="n">
        <v>50705.7</v>
      </c>
      <c r="N20" t="n">
        <v>262208</v>
      </c>
      <c r="O20" t="n">
        <v>1678</v>
      </c>
      <c r="P20" t="n">
        <v>26091.7</v>
      </c>
      <c r="Q20" t="n">
        <v>167623</v>
      </c>
      <c r="R20" t="n">
        <v>96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98020.10000000001</v>
      </c>
      <c r="W20" t="n">
        <v>517336</v>
      </c>
      <c r="X20" t="n">
        <v>13140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12745</v>
      </c>
      <c r="C21" t="inlineStr">
        <is>
          <t>Modesto Irrigation District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CA</t>
        </is>
      </c>
      <c r="H21" t="inlineStr">
        <is>
          <t>Political Subdivision</t>
        </is>
      </c>
      <c r="I21" t="inlineStr">
        <is>
          <t>BANC</t>
        </is>
      </c>
      <c r="J21" t="n">
        <v>218924.8</v>
      </c>
      <c r="K21" t="n">
        <v>1005119</v>
      </c>
      <c r="L21" t="n">
        <v>103650</v>
      </c>
      <c r="M21" t="n">
        <v>146788</v>
      </c>
      <c r="N21" t="n">
        <v>855244</v>
      </c>
      <c r="O21" t="n">
        <v>29728</v>
      </c>
      <c r="P21" t="n">
        <v>99166.8</v>
      </c>
      <c r="Q21" t="n">
        <v>808929</v>
      </c>
      <c r="R21" t="n">
        <v>139</v>
      </c>
      <c r="S21" t="n">
        <v>0</v>
      </c>
      <c r="T21" t="n">
        <v>0</v>
      </c>
      <c r="U21" t="n">
        <v>0</v>
      </c>
      <c r="V21" t="n">
        <v>464879.6</v>
      </c>
      <c r="W21" t="n">
        <v>2669292</v>
      </c>
      <c r="X21" t="n">
        <v>133517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13374</v>
      </c>
      <c r="C22" t="inlineStr">
        <is>
          <t>Constellation NewEnergy, Inc</t>
        </is>
      </c>
      <c r="D22" t="inlineStr">
        <is>
          <t>B</t>
        </is>
      </c>
      <c r="E22" t="inlineStr">
        <is>
          <t>Energy</t>
        </is>
      </c>
      <c r="F22" t="inlineStr">
        <is>
          <t>O</t>
        </is>
      </c>
      <c r="G22" t="inlineStr">
        <is>
          <t>CA</t>
        </is>
      </c>
      <c r="H22" t="inlineStr">
        <is>
          <t>Retail Power Marketer</t>
        </is>
      </c>
      <c r="I22" t="inlineStr">
        <is>
          <t>CISO</t>
        </is>
      </c>
      <c r="J22" t="n">
        <v>0</v>
      </c>
      <c r="K22" t="n">
        <v>0</v>
      </c>
      <c r="L22" t="n">
        <v>0</v>
      </c>
      <c r="M22" t="n">
        <v>664518</v>
      </c>
      <c r="N22" t="n">
        <v>5184583</v>
      </c>
      <c r="O22" t="n">
        <v>11073</v>
      </c>
      <c r="P22" t="n">
        <v>66607.60000000001</v>
      </c>
      <c r="Q22" t="n">
        <v>493014</v>
      </c>
      <c r="R22" t="n">
        <v>86</v>
      </c>
      <c r="S22" t="n">
        <v>0</v>
      </c>
      <c r="T22" t="n">
        <v>0</v>
      </c>
      <c r="U22" t="n">
        <v>0</v>
      </c>
      <c r="V22" t="n">
        <v>731125.6</v>
      </c>
      <c r="W22" t="n">
        <v>5677597</v>
      </c>
      <c r="X22" t="n">
        <v>11159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14328</v>
      </c>
      <c r="C23" t="inlineStr">
        <is>
          <t>Pacific Gas &amp; Electric Co.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CA</t>
        </is>
      </c>
      <c r="H23" t="inlineStr">
        <is>
          <t>Investor Owned</t>
        </is>
      </c>
      <c r="I23" t="inlineStr">
        <is>
          <t>CISO</t>
        </is>
      </c>
      <c r="J23" t="n">
        <v>4412805</v>
      </c>
      <c r="K23" t="n">
        <v>11138420</v>
      </c>
      <c r="L23" t="n">
        <v>1856780</v>
      </c>
      <c r="M23" t="n">
        <v>3219777</v>
      </c>
      <c r="N23" t="n">
        <v>8159051</v>
      </c>
      <c r="O23" t="n">
        <v>213729</v>
      </c>
      <c r="P23" t="n">
        <v>2597539</v>
      </c>
      <c r="Q23" t="n">
        <v>7835738</v>
      </c>
      <c r="R23" t="n">
        <v>76343</v>
      </c>
      <c r="S23" t="n">
        <v>0</v>
      </c>
      <c r="T23" t="n">
        <v>0</v>
      </c>
      <c r="U23" t="n">
        <v>0</v>
      </c>
      <c r="V23" t="n">
        <v>10230121</v>
      </c>
      <c r="W23" t="n">
        <v>27133209</v>
      </c>
      <c r="X23" t="n">
        <v>2146852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14328</v>
      </c>
      <c r="C24" t="inlineStr">
        <is>
          <t>Pacific Gas &amp; Electric Co.</t>
        </is>
      </c>
      <c r="D24" t="inlineStr">
        <is>
          <t>C</t>
        </is>
      </c>
      <c r="E24" t="inlineStr">
        <is>
          <t>Delivery</t>
        </is>
      </c>
      <c r="F24" t="inlineStr">
        <is>
          <t>O</t>
        </is>
      </c>
      <c r="G24" t="inlineStr">
        <is>
          <t>CA</t>
        </is>
      </c>
      <c r="H24" t="inlineStr">
        <is>
          <t>Investor Owned</t>
        </is>
      </c>
      <c r="I24" t="inlineStr">
        <is>
          <t>CISO</t>
        </is>
      </c>
      <c r="J24" t="n">
        <v>3825771</v>
      </c>
      <c r="K24" t="n">
        <v>14848793</v>
      </c>
      <c r="L24" t="n">
        <v>3190681</v>
      </c>
      <c r="M24" t="n">
        <v>4222914</v>
      </c>
      <c r="N24" t="n">
        <v>20638351</v>
      </c>
      <c r="O24" t="n">
        <v>372078</v>
      </c>
      <c r="P24" t="n">
        <v>1425098</v>
      </c>
      <c r="Q24" t="n">
        <v>11211901</v>
      </c>
      <c r="R24" t="n">
        <v>15792</v>
      </c>
      <c r="S24" t="n">
        <v>17435.1</v>
      </c>
      <c r="T24" t="n">
        <v>370714</v>
      </c>
      <c r="U24" t="n">
        <v>1</v>
      </c>
      <c r="V24" t="n">
        <v>9491218.1</v>
      </c>
      <c r="W24" t="n">
        <v>47069759</v>
      </c>
      <c r="X24" t="n">
        <v>3578552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14354</v>
      </c>
      <c r="C25" t="inlineStr">
        <is>
          <t>PacifiCorp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CA</t>
        </is>
      </c>
      <c r="H25" t="inlineStr">
        <is>
          <t>Investor Owned</t>
        </is>
      </c>
      <c r="I25" t="inlineStr">
        <is>
          <t>PACW</t>
        </is>
      </c>
      <c r="J25" t="n">
        <v>77033.5</v>
      </c>
      <c r="K25" t="n">
        <v>373288</v>
      </c>
      <c r="L25" t="n">
        <v>36273</v>
      </c>
      <c r="M25" t="n">
        <v>45632.8</v>
      </c>
      <c r="N25" t="n">
        <v>239124</v>
      </c>
      <c r="O25" t="n">
        <v>7604</v>
      </c>
      <c r="P25" t="n">
        <v>21291.4</v>
      </c>
      <c r="Q25" t="n">
        <v>134944</v>
      </c>
      <c r="R25" t="n">
        <v>1939</v>
      </c>
      <c r="S25" t="n">
        <v>0</v>
      </c>
      <c r="T25" t="n">
        <v>0</v>
      </c>
      <c r="U25" t="n">
        <v>0</v>
      </c>
      <c r="V25" t="n">
        <v>143957.7</v>
      </c>
      <c r="W25" t="n">
        <v>747356</v>
      </c>
      <c r="X25" t="n">
        <v>45816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14401</v>
      </c>
      <c r="C26" t="inlineStr">
        <is>
          <t>City of Palo Alto - (CA)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CA</t>
        </is>
      </c>
      <c r="H26" t="inlineStr">
        <is>
          <t>Municipal</t>
        </is>
      </c>
      <c r="I26" t="inlineStr">
        <is>
          <t>CISO</t>
        </is>
      </c>
      <c r="J26" t="n">
        <v>32625</v>
      </c>
      <c r="K26" t="n">
        <v>157856</v>
      </c>
      <c r="L26" t="n">
        <v>26249</v>
      </c>
      <c r="M26" t="n">
        <v>105108</v>
      </c>
      <c r="N26" t="n">
        <v>619338</v>
      </c>
      <c r="O26" t="n">
        <v>3526</v>
      </c>
      <c r="P26" t="n">
        <v>21843</v>
      </c>
      <c r="Q26" t="n">
        <v>115063</v>
      </c>
      <c r="R26" t="n">
        <v>58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159576</v>
      </c>
      <c r="W26" t="n">
        <v>892257</v>
      </c>
      <c r="X26" t="n">
        <v>29833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14534</v>
      </c>
      <c r="C27" t="inlineStr">
        <is>
          <t>City of Pasadena - (CA)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CA</t>
        </is>
      </c>
      <c r="H27" t="inlineStr">
        <is>
          <t>Municipal</t>
        </is>
      </c>
      <c r="I27" t="inlineStr">
        <is>
          <t>CISO</t>
        </is>
      </c>
      <c r="J27" t="n">
        <v>86833</v>
      </c>
      <c r="K27" t="n">
        <v>334268</v>
      </c>
      <c r="L27" t="n">
        <v>58551</v>
      </c>
      <c r="M27" t="n">
        <v>156460.1</v>
      </c>
      <c r="N27" t="n">
        <v>667164</v>
      </c>
      <c r="O27" t="n">
        <v>8507</v>
      </c>
      <c r="P27" t="n">
        <v>0</v>
      </c>
      <c r="Q27" t="n">
        <v>0</v>
      </c>
      <c r="R27" t="n">
        <v>0</v>
      </c>
      <c r="S27" t="n">
        <v>1847.1</v>
      </c>
      <c r="T27" t="n">
        <v>8074</v>
      </c>
      <c r="U27" t="n">
        <v>1</v>
      </c>
      <c r="V27" t="n">
        <v>245140.2</v>
      </c>
      <c r="W27" t="n">
        <v>1009506</v>
      </c>
      <c r="X27" t="n">
        <v>67059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14999</v>
      </c>
      <c r="C28" t="inlineStr">
        <is>
          <t>Pilot Power Group, LLC</t>
        </is>
      </c>
      <c r="D28" t="inlineStr">
        <is>
          <t>B</t>
        </is>
      </c>
      <c r="E28" t="inlineStr">
        <is>
          <t>Energy</t>
        </is>
      </c>
      <c r="F28" t="inlineStr">
        <is>
          <t>O</t>
        </is>
      </c>
      <c r="G28" t="inlineStr">
        <is>
          <t>CA</t>
        </is>
      </c>
      <c r="H28" t="inlineStr">
        <is>
          <t>Retail Power Marketer</t>
        </is>
      </c>
      <c r="I28" t="inlineStr">
        <is>
          <t>CISO</t>
        </is>
      </c>
      <c r="J28" t="n">
        <v>4047</v>
      </c>
      <c r="K28" t="n">
        <v>24530</v>
      </c>
      <c r="L28" t="n">
        <v>3892</v>
      </c>
      <c r="M28" t="n">
        <v>49060</v>
      </c>
      <c r="N28" t="n">
        <v>470207</v>
      </c>
      <c r="O28" t="n">
        <v>1529</v>
      </c>
      <c r="P28" t="n">
        <v>58257</v>
      </c>
      <c r="Q28" t="n">
        <v>620006</v>
      </c>
      <c r="R28" t="n">
        <v>138</v>
      </c>
      <c r="S28" t="n">
        <v>0</v>
      </c>
      <c r="T28" t="n">
        <v>0</v>
      </c>
      <c r="U28" t="n">
        <v>0</v>
      </c>
      <c r="V28" t="n">
        <v>111364</v>
      </c>
      <c r="W28" t="n">
        <v>1114743</v>
      </c>
      <c r="X28" t="n">
        <v>5559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15783</v>
      </c>
      <c r="C29" t="inlineStr">
        <is>
          <t>City of Redding - (CA)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CA</t>
        </is>
      </c>
      <c r="H29" t="inlineStr">
        <is>
          <t>Municipal</t>
        </is>
      </c>
      <c r="I29" t="inlineStr">
        <is>
          <t>BANC</t>
        </is>
      </c>
      <c r="J29" t="n">
        <v>69425</v>
      </c>
      <c r="K29" t="n">
        <v>388866</v>
      </c>
      <c r="L29" t="n">
        <v>38170</v>
      </c>
      <c r="M29" t="n">
        <v>64934</v>
      </c>
      <c r="N29" t="n">
        <v>363092</v>
      </c>
      <c r="O29" t="n">
        <v>5977</v>
      </c>
      <c r="P29" t="n">
        <v>2531</v>
      </c>
      <c r="Q29" t="n">
        <v>12638</v>
      </c>
      <c r="R29" t="n">
        <v>318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136890</v>
      </c>
      <c r="W29" t="n">
        <v>764596</v>
      </c>
      <c r="X29" t="n">
        <v>44465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16088</v>
      </c>
      <c r="C30" t="inlineStr">
        <is>
          <t>City of Riverside - (CA)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CA</t>
        </is>
      </c>
      <c r="H30" t="inlineStr">
        <is>
          <t>Municipal</t>
        </is>
      </c>
      <c r="I30" t="inlineStr">
        <is>
          <t>CISO</t>
        </is>
      </c>
      <c r="J30" t="n">
        <v>155114</v>
      </c>
      <c r="K30" t="n">
        <v>767945</v>
      </c>
      <c r="L30" t="n">
        <v>100450</v>
      </c>
      <c r="M30" t="n">
        <v>85084</v>
      </c>
      <c r="N30" t="n">
        <v>445358</v>
      </c>
      <c r="O30" t="n">
        <v>12243</v>
      </c>
      <c r="P30" t="n">
        <v>136098</v>
      </c>
      <c r="Q30" t="n">
        <v>928560</v>
      </c>
      <c r="R30" t="n">
        <v>680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376296</v>
      </c>
      <c r="W30" t="n">
        <v>2141863</v>
      </c>
      <c r="X30" t="n">
        <v>113373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16295</v>
      </c>
      <c r="C31" t="inlineStr">
        <is>
          <t>City of Roseville - (CA)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CA</t>
        </is>
      </c>
      <c r="H31" t="inlineStr">
        <is>
          <t>Municipal</t>
        </is>
      </c>
      <c r="I31" t="inlineStr">
        <is>
          <t>BANC</t>
        </is>
      </c>
      <c r="J31" t="n">
        <v>101628</v>
      </c>
      <c r="K31" t="n">
        <v>544702</v>
      </c>
      <c r="L31" t="n">
        <v>63052</v>
      </c>
      <c r="M31" t="n">
        <v>74650.8</v>
      </c>
      <c r="N31" t="n">
        <v>446943</v>
      </c>
      <c r="O31" t="n">
        <v>7394</v>
      </c>
      <c r="P31" t="n">
        <v>24554.8</v>
      </c>
      <c r="Q31" t="n">
        <v>190320</v>
      </c>
      <c r="R31" t="n">
        <v>29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200833.6</v>
      </c>
      <c r="W31" t="n">
        <v>1181965</v>
      </c>
      <c r="X31" t="n">
        <v>70475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16534</v>
      </c>
      <c r="C32" t="inlineStr">
        <is>
          <t>Sacramento Municipal Util Dist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CA</t>
        </is>
      </c>
      <c r="H32" t="inlineStr">
        <is>
          <t>Political Subdivision</t>
        </is>
      </c>
      <c r="I32" t="inlineStr">
        <is>
          <t>BANC</t>
        </is>
      </c>
      <c r="J32" t="n">
        <v>892673.1</v>
      </c>
      <c r="K32" t="n">
        <v>4995051</v>
      </c>
      <c r="L32" t="n">
        <v>592557</v>
      </c>
      <c r="M32" t="n">
        <v>676029.4</v>
      </c>
      <c r="N32" t="n">
        <v>4150764</v>
      </c>
      <c r="O32" t="n">
        <v>71160</v>
      </c>
      <c r="P32" t="n">
        <v>208942.2</v>
      </c>
      <c r="Q32" t="n">
        <v>1549024</v>
      </c>
      <c r="R32" t="n">
        <v>2517</v>
      </c>
      <c r="S32" t="n">
        <v>4080.8</v>
      </c>
      <c r="T32" t="n">
        <v>26362</v>
      </c>
      <c r="U32" t="n">
        <v>1</v>
      </c>
      <c r="V32" t="n">
        <v>1781725.5</v>
      </c>
      <c r="W32" t="n">
        <v>10721201</v>
      </c>
      <c r="X32" t="n">
        <v>666235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16609</v>
      </c>
      <c r="C33" t="inlineStr">
        <is>
          <t>San Diego Gas &amp; Electric Co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CA</t>
        </is>
      </c>
      <c r="H33" t="inlineStr">
        <is>
          <t>Investor Owned</t>
        </is>
      </c>
      <c r="I33" t="inlineStr">
        <is>
          <t>CISO</t>
        </is>
      </c>
      <c r="J33" t="n">
        <v>588006.5</v>
      </c>
      <c r="K33" t="n">
        <v>1347817</v>
      </c>
      <c r="L33" t="n">
        <v>307982</v>
      </c>
      <c r="M33" t="n">
        <v>439773.5</v>
      </c>
      <c r="N33" t="n">
        <v>1237280</v>
      </c>
      <c r="O33" t="n">
        <v>34342</v>
      </c>
      <c r="P33" t="n">
        <v>143087.5</v>
      </c>
      <c r="Q33" t="n">
        <v>545010</v>
      </c>
      <c r="R33" t="n">
        <v>1110</v>
      </c>
      <c r="S33" t="n">
        <v>15929</v>
      </c>
      <c r="T33" t="n">
        <v>77013</v>
      </c>
      <c r="U33" t="n">
        <v>5</v>
      </c>
      <c r="V33" t="n">
        <v>1186796.5</v>
      </c>
      <c r="W33" t="n">
        <v>3207120</v>
      </c>
      <c r="X33" t="n">
        <v>343439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16609</v>
      </c>
      <c r="C34" t="inlineStr">
        <is>
          <t>San Diego Gas &amp; Electric Co</t>
        </is>
      </c>
      <c r="D34" t="inlineStr">
        <is>
          <t>C</t>
        </is>
      </c>
      <c r="E34" t="inlineStr">
        <is>
          <t>Delivery</t>
        </is>
      </c>
      <c r="F34" t="inlineStr">
        <is>
          <t>O</t>
        </is>
      </c>
      <c r="G34" t="inlineStr">
        <is>
          <t>CA</t>
        </is>
      </c>
      <c r="H34" t="inlineStr">
        <is>
          <t>Investor Owned</t>
        </is>
      </c>
      <c r="I34" t="inlineStr">
        <is>
          <t>CISO</t>
        </is>
      </c>
      <c r="J34" t="n">
        <v>973689.1</v>
      </c>
      <c r="K34" t="n">
        <v>3462171</v>
      </c>
      <c r="L34" t="n">
        <v>1056379</v>
      </c>
      <c r="M34" t="n">
        <v>1063442.7</v>
      </c>
      <c r="N34" t="n">
        <v>6179866</v>
      </c>
      <c r="O34" t="n">
        <v>122616</v>
      </c>
      <c r="P34" t="n">
        <v>492823.6</v>
      </c>
      <c r="Q34" t="n">
        <v>3842016</v>
      </c>
      <c r="R34" t="n">
        <v>3534</v>
      </c>
      <c r="S34" t="n">
        <v>0</v>
      </c>
      <c r="T34" t="n">
        <v>0</v>
      </c>
      <c r="U34" t="n">
        <v>0</v>
      </c>
      <c r="V34" t="n">
        <v>2529955.4</v>
      </c>
      <c r="W34" t="n">
        <v>13484053</v>
      </c>
      <c r="X34" t="n">
        <v>1182529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16612</v>
      </c>
      <c r="C35" t="inlineStr">
        <is>
          <t>City &amp; County of San Francisco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CA</t>
        </is>
      </c>
      <c r="H35" t="inlineStr">
        <is>
          <t>Municipal</t>
        </is>
      </c>
      <c r="I35" t="inlineStr">
        <is>
          <t>CISO</t>
        </is>
      </c>
      <c r="J35" t="n">
        <v>10213.6</v>
      </c>
      <c r="K35" t="n">
        <v>42476</v>
      </c>
      <c r="L35" t="n">
        <v>2618</v>
      </c>
      <c r="M35" t="n">
        <v>137259.1</v>
      </c>
      <c r="N35" t="n">
        <v>743836</v>
      </c>
      <c r="O35" t="n">
        <v>291</v>
      </c>
      <c r="P35" t="n">
        <v>16466.8</v>
      </c>
      <c r="Q35" t="n">
        <v>69575</v>
      </c>
      <c r="R35" t="n">
        <v>31</v>
      </c>
      <c r="S35" t="n">
        <v>19069.1</v>
      </c>
      <c r="T35" t="n">
        <v>97793</v>
      </c>
      <c r="U35" t="n">
        <v>1</v>
      </c>
      <c r="V35" t="n">
        <v>183008.6</v>
      </c>
      <c r="W35" t="n">
        <v>953680</v>
      </c>
      <c r="X35" t="n">
        <v>2941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16655</v>
      </c>
      <c r="C36" t="inlineStr">
        <is>
          <t>City of Santa Clara - (CA)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CA</t>
        </is>
      </c>
      <c r="H36" t="inlineStr">
        <is>
          <t>Municipal</t>
        </is>
      </c>
      <c r="I36" t="inlineStr">
        <is>
          <t>CISO</t>
        </is>
      </c>
      <c r="J36" t="n">
        <v>43895.9</v>
      </c>
      <c r="K36" t="n">
        <v>260068</v>
      </c>
      <c r="L36" t="n">
        <v>50949</v>
      </c>
      <c r="M36" t="n">
        <v>28715</v>
      </c>
      <c r="N36" t="n">
        <v>130095</v>
      </c>
      <c r="O36" t="n">
        <v>7153</v>
      </c>
      <c r="P36" t="n">
        <v>651648.2</v>
      </c>
      <c r="Q36" t="n">
        <v>4309793</v>
      </c>
      <c r="R36" t="n">
        <v>1286</v>
      </c>
      <c r="S36" t="n">
        <v>218.1</v>
      </c>
      <c r="T36" t="n">
        <v>828</v>
      </c>
      <c r="U36" t="n">
        <v>1</v>
      </c>
      <c r="V36" t="n">
        <v>724477.2</v>
      </c>
      <c r="W36" t="n">
        <v>4700784</v>
      </c>
      <c r="X36" t="n">
        <v>59389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16840</v>
      </c>
      <c r="C37" t="inlineStr">
        <is>
          <t>Calpine Energy Solutions, LLC</t>
        </is>
      </c>
      <c r="D37" t="inlineStr">
        <is>
          <t>B</t>
        </is>
      </c>
      <c r="E37" t="inlineStr">
        <is>
          <t>Energy</t>
        </is>
      </c>
      <c r="F37" t="inlineStr">
        <is>
          <t>O</t>
        </is>
      </c>
      <c r="G37" t="inlineStr">
        <is>
          <t>CA</t>
        </is>
      </c>
      <c r="H37" t="inlineStr">
        <is>
          <t>Retail Power Marketer</t>
        </is>
      </c>
      <c r="I37" t="inlineStr">
        <is>
          <t>CISO</t>
        </is>
      </c>
      <c r="J37" t="n">
        <v>0</v>
      </c>
      <c r="K37" t="n">
        <v>0</v>
      </c>
      <c r="L37" t="n">
        <v>0</v>
      </c>
      <c r="M37" t="n">
        <v>700426.7</v>
      </c>
      <c r="N37" t="n">
        <v>6114896</v>
      </c>
      <c r="O37" t="n">
        <v>155</v>
      </c>
      <c r="P37" t="n">
        <v>124470.6</v>
      </c>
      <c r="Q37" t="n">
        <v>1166918</v>
      </c>
      <c r="R37" t="n">
        <v>26</v>
      </c>
      <c r="S37" t="n">
        <v>0</v>
      </c>
      <c r="T37" t="n">
        <v>0</v>
      </c>
      <c r="U37" t="n">
        <v>0</v>
      </c>
      <c r="V37" t="n">
        <v>824897.3</v>
      </c>
      <c r="W37" t="n">
        <v>7281814</v>
      </c>
      <c r="X37" t="n">
        <v>181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17609</v>
      </c>
      <c r="C38" t="inlineStr">
        <is>
          <t>Southern California Edison Co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CA</t>
        </is>
      </c>
      <c r="H38" t="inlineStr">
        <is>
          <t>Investor Owned</t>
        </is>
      </c>
      <c r="I38" t="inlineStr">
        <is>
          <t>CISO</t>
        </is>
      </c>
      <c r="J38" t="n">
        <v>6336639</v>
      </c>
      <c r="K38" t="n">
        <v>19540551</v>
      </c>
      <c r="L38" t="n">
        <v>3219520</v>
      </c>
      <c r="M38" t="n">
        <v>6588907</v>
      </c>
      <c r="N38" t="n">
        <v>28534149</v>
      </c>
      <c r="O38" t="n">
        <v>449347</v>
      </c>
      <c r="P38" t="n">
        <v>673107</v>
      </c>
      <c r="Q38" t="n">
        <v>3271801</v>
      </c>
      <c r="R38" t="n">
        <v>20138</v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13598653</v>
      </c>
      <c r="W38" t="n">
        <v>51346501</v>
      </c>
      <c r="X38" t="n">
        <v>3689005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17609</v>
      </c>
      <c r="C39" t="inlineStr">
        <is>
          <t>Southern California Edison Co</t>
        </is>
      </c>
      <c r="D39" t="inlineStr">
        <is>
          <t>C</t>
        </is>
      </c>
      <c r="E39" t="inlineStr">
        <is>
          <t>Delivery</t>
        </is>
      </c>
      <c r="F39" t="inlineStr">
        <is>
          <t>O</t>
        </is>
      </c>
      <c r="G39" t="inlineStr">
        <is>
          <t>CA</t>
        </is>
      </c>
      <c r="H39" t="inlineStr">
        <is>
          <t>Investor Owned</t>
        </is>
      </c>
      <c r="I39" t="inlineStr">
        <is>
          <t>CISO</t>
        </is>
      </c>
      <c r="J39" t="n">
        <v>1409134</v>
      </c>
      <c r="K39" t="n">
        <v>7873761</v>
      </c>
      <c r="L39" t="n">
        <v>1374895</v>
      </c>
      <c r="M39" t="n">
        <v>2222852</v>
      </c>
      <c r="N39" t="n">
        <v>19677545</v>
      </c>
      <c r="O39" t="n">
        <v>230525</v>
      </c>
      <c r="P39" t="n">
        <v>110691</v>
      </c>
      <c r="Q39" t="n">
        <v>1512842</v>
      </c>
      <c r="R39" t="n">
        <v>2936</v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3742677</v>
      </c>
      <c r="W39" t="n">
        <v>29064148</v>
      </c>
      <c r="X39" t="n">
        <v>1608356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17612</v>
      </c>
      <c r="C40" t="inlineStr">
        <is>
          <t>Bear Valley Electric Service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CA</t>
        </is>
      </c>
      <c r="H40" t="inlineStr">
        <is>
          <t>Investor Owned</t>
        </is>
      </c>
      <c r="I40" t="inlineStr">
        <is>
          <t>CISO</t>
        </is>
      </c>
      <c r="J40" t="n">
        <v>26596.1</v>
      </c>
      <c r="K40" t="n">
        <v>86717</v>
      </c>
      <c r="L40" t="n">
        <v>23327</v>
      </c>
      <c r="M40" t="n">
        <v>9982</v>
      </c>
      <c r="N40" t="n">
        <v>33935</v>
      </c>
      <c r="O40" t="n">
        <v>1485</v>
      </c>
      <c r="P40" t="n">
        <v>3689</v>
      </c>
      <c r="Q40" t="n">
        <v>17623</v>
      </c>
      <c r="R40" t="n">
        <v>7</v>
      </c>
      <c r="S40" t="n">
        <v>0</v>
      </c>
      <c r="T40" t="n">
        <v>0</v>
      </c>
      <c r="U40" t="n">
        <v>0</v>
      </c>
      <c r="V40" t="n">
        <v>40267.1</v>
      </c>
      <c r="W40" t="n">
        <v>138275</v>
      </c>
      <c r="X40" t="n">
        <v>24819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17896</v>
      </c>
      <c r="C41" t="inlineStr">
        <is>
          <t>City of Shasta Lake - (CA)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CA</t>
        </is>
      </c>
      <c r="H41" t="inlineStr">
        <is>
          <t>Municipal</t>
        </is>
      </c>
      <c r="I41" t="inlineStr">
        <is>
          <t>BANC</t>
        </is>
      </c>
      <c r="J41" t="n">
        <v>8193.799999999999</v>
      </c>
      <c r="K41" t="n">
        <v>42533</v>
      </c>
      <c r="L41" t="n">
        <v>4268</v>
      </c>
      <c r="M41" t="n">
        <v>2300</v>
      </c>
      <c r="N41" t="n">
        <v>11756</v>
      </c>
      <c r="O41" t="n">
        <v>315</v>
      </c>
      <c r="P41" t="n">
        <v>23466.5</v>
      </c>
      <c r="Q41" t="n">
        <v>140150</v>
      </c>
      <c r="R41" t="n">
        <v>14</v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33960.3</v>
      </c>
      <c r="W41" t="n">
        <v>194439</v>
      </c>
      <c r="X41" t="n">
        <v>4597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18193</v>
      </c>
      <c r="C42" t="inlineStr">
        <is>
          <t>Direct Energy Business</t>
        </is>
      </c>
      <c r="D42" t="inlineStr">
        <is>
          <t>B</t>
        </is>
      </c>
      <c r="E42" t="inlineStr">
        <is>
          <t>Energy</t>
        </is>
      </c>
      <c r="F42" t="inlineStr">
        <is>
          <t>O</t>
        </is>
      </c>
      <c r="G42" t="inlineStr">
        <is>
          <t>CA</t>
        </is>
      </c>
      <c r="H42" t="inlineStr">
        <is>
          <t>Retail Power Marketer</t>
        </is>
      </c>
      <c r="I42" t="inlineStr">
        <is>
          <t>CISO</t>
        </is>
      </c>
      <c r="J42" t="n">
        <v>0</v>
      </c>
      <c r="K42" t="n">
        <v>0</v>
      </c>
      <c r="L42" t="n">
        <v>0</v>
      </c>
      <c r="M42" t="n">
        <v>53564.2</v>
      </c>
      <c r="N42" t="n">
        <v>472530</v>
      </c>
      <c r="O42" t="n">
        <v>721</v>
      </c>
      <c r="P42" t="n">
        <v>303710</v>
      </c>
      <c r="Q42" t="n">
        <v>2451356</v>
      </c>
      <c r="R42" t="n">
        <v>268</v>
      </c>
      <c r="S42" t="n">
        <v>0</v>
      </c>
      <c r="T42" t="n">
        <v>0</v>
      </c>
      <c r="U42" t="n">
        <v>0</v>
      </c>
      <c r="V42" t="n">
        <v>357274.2</v>
      </c>
      <c r="W42" t="n">
        <v>2923886</v>
      </c>
      <c r="X42" t="n">
        <v>989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18260</v>
      </c>
      <c r="C43" t="inlineStr">
        <is>
          <t>Surprise Valley Electrification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CA</t>
        </is>
      </c>
      <c r="H43" t="inlineStr">
        <is>
          <t>Cooperative</t>
        </is>
      </c>
      <c r="I43" t="inlineStr">
        <is>
          <t>PACW</t>
        </is>
      </c>
      <c r="J43" t="n">
        <v>4357.5</v>
      </c>
      <c r="K43" t="n">
        <v>33171</v>
      </c>
      <c r="L43" t="n">
        <v>2785</v>
      </c>
      <c r="M43" t="n">
        <v>1406.3</v>
      </c>
      <c r="N43" t="n">
        <v>10252</v>
      </c>
      <c r="O43" t="n">
        <v>994</v>
      </c>
      <c r="P43" t="n">
        <v>7136.2</v>
      </c>
      <c r="Q43" t="n">
        <v>59888</v>
      </c>
      <c r="R43" t="n">
        <v>948</v>
      </c>
      <c r="S43" t="n">
        <v>0</v>
      </c>
      <c r="T43" t="n">
        <v>0</v>
      </c>
      <c r="U43" t="n">
        <v>0</v>
      </c>
      <c r="V43" t="n">
        <v>12900</v>
      </c>
      <c r="W43" t="n">
        <v>103311</v>
      </c>
      <c r="X43" t="n">
        <v>4727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19281</v>
      </c>
      <c r="C44" t="inlineStr">
        <is>
          <t>Turlock Irrigation District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CA</t>
        </is>
      </c>
      <c r="H44" t="inlineStr">
        <is>
          <t>Political Subdivision</t>
        </is>
      </c>
      <c r="I44" t="inlineStr">
        <is>
          <t>TIDC</t>
        </is>
      </c>
      <c r="J44" t="n">
        <v>136142</v>
      </c>
      <c r="K44" t="n">
        <v>833392</v>
      </c>
      <c r="L44" t="n">
        <v>80575</v>
      </c>
      <c r="M44" t="n">
        <v>74285</v>
      </c>
      <c r="N44" t="n">
        <v>547752</v>
      </c>
      <c r="O44" t="n">
        <v>8945</v>
      </c>
      <c r="P44" t="n">
        <v>109861</v>
      </c>
      <c r="Q44" t="n">
        <v>863283</v>
      </c>
      <c r="R44" t="n">
        <v>6226</v>
      </c>
      <c r="S44" t="inlineStr">
        <is>
          <t>.</t>
        </is>
      </c>
      <c r="T44" t="inlineStr">
        <is>
          <t>.</t>
        </is>
      </c>
      <c r="U44" t="inlineStr">
        <is>
          <t>.</t>
        </is>
      </c>
      <c r="V44" t="n">
        <v>320288</v>
      </c>
      <c r="W44" t="n">
        <v>2244427</v>
      </c>
      <c r="X44" t="n">
        <v>95746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19798</v>
      </c>
      <c r="C45" t="inlineStr">
        <is>
          <t>City of Vernon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CA</t>
        </is>
      </c>
      <c r="H45" t="inlineStr">
        <is>
          <t>Municipal</t>
        </is>
      </c>
      <c r="I45" t="inlineStr">
        <is>
          <t>CISO</t>
        </is>
      </c>
      <c r="J45" t="n">
        <v>48.9</v>
      </c>
      <c r="K45" t="n">
        <v>336</v>
      </c>
      <c r="L45" t="n">
        <v>73</v>
      </c>
      <c r="M45" t="n">
        <v>88339.7</v>
      </c>
      <c r="N45" t="n">
        <v>395921</v>
      </c>
      <c r="O45" t="n">
        <v>1222</v>
      </c>
      <c r="P45" t="n">
        <v>105950.5</v>
      </c>
      <c r="Q45" t="n">
        <v>638818</v>
      </c>
      <c r="R45" t="n">
        <v>449</v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194339.1</v>
      </c>
      <c r="W45" t="n">
        <v>1035075</v>
      </c>
      <c r="X45" t="n">
        <v>1744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19840</v>
      </c>
      <c r="C46" t="inlineStr">
        <is>
          <t>Valley Electric Assn, Inc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CA</t>
        </is>
      </c>
      <c r="H46" t="inlineStr">
        <is>
          <t>Cooperative</t>
        </is>
      </c>
      <c r="I46" t="inlineStr">
        <is>
          <t>NEVP</t>
        </is>
      </c>
      <c r="J46" t="n">
        <v>19.1</v>
      </c>
      <c r="K46" t="n">
        <v>100</v>
      </c>
      <c r="L46" t="n">
        <v>12</v>
      </c>
      <c r="M46" t="n">
        <v>1.8</v>
      </c>
      <c r="N46" t="n">
        <v>4</v>
      </c>
      <c r="O46" t="n">
        <v>2</v>
      </c>
      <c r="P46" t="n">
        <v>1053.7</v>
      </c>
      <c r="Q46" t="n">
        <v>9010</v>
      </c>
      <c r="R46" t="n">
        <v>30</v>
      </c>
      <c r="S46" t="n">
        <v>0</v>
      </c>
      <c r="T46" t="n">
        <v>0</v>
      </c>
      <c r="U46" t="n">
        <v>0</v>
      </c>
      <c r="V46" t="n">
        <v>1074.6</v>
      </c>
      <c r="W46" t="n">
        <v>9114</v>
      </c>
      <c r="X46" t="n">
        <v>44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21093</v>
      </c>
      <c r="C47" t="inlineStr">
        <is>
          <t>3 Phases Renewables Inc</t>
        </is>
      </c>
      <c r="D47" t="inlineStr">
        <is>
          <t>B</t>
        </is>
      </c>
      <c r="E47" t="inlineStr">
        <is>
          <t>Energy</t>
        </is>
      </c>
      <c r="F47" t="inlineStr">
        <is>
          <t>O</t>
        </is>
      </c>
      <c r="G47" t="inlineStr">
        <is>
          <t>CA</t>
        </is>
      </c>
      <c r="H47" t="inlineStr">
        <is>
          <t>Retail Power Marketer</t>
        </is>
      </c>
      <c r="I47" t="inlineStr">
        <is>
          <t>CISO</t>
        </is>
      </c>
      <c r="J47" t="n">
        <v>45</v>
      </c>
      <c r="K47" t="n">
        <v>335</v>
      </c>
      <c r="L47" t="n">
        <v>55</v>
      </c>
      <c r="M47" t="n">
        <v>22174</v>
      </c>
      <c r="N47" t="n">
        <v>447497</v>
      </c>
      <c r="O47" t="n">
        <v>517</v>
      </c>
      <c r="P47" t="n">
        <v>2674</v>
      </c>
      <c r="Q47" t="n">
        <v>50831</v>
      </c>
      <c r="R47" t="n">
        <v>50</v>
      </c>
      <c r="S47" t="n">
        <v>0</v>
      </c>
      <c r="T47" t="n">
        <v>0</v>
      </c>
      <c r="U47" t="n">
        <v>0</v>
      </c>
      <c r="V47" t="n">
        <v>24893</v>
      </c>
      <c r="W47" t="n">
        <v>498663</v>
      </c>
      <c r="X47" t="n">
        <v>622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27000</v>
      </c>
      <c r="C48" t="inlineStr">
        <is>
          <t>WAPA-- Western Area Power Administration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CA</t>
        </is>
      </c>
      <c r="H48" t="inlineStr">
        <is>
          <t>Federal</t>
        </is>
      </c>
      <c r="I48" t="inlineStr">
        <is>
          <t>WALC</t>
        </is>
      </c>
      <c r="J48" t="n">
        <v>0</v>
      </c>
      <c r="K48" t="n">
        <v>0</v>
      </c>
      <c r="L48" t="n">
        <v>0</v>
      </c>
      <c r="M48" t="n">
        <v>81481.5</v>
      </c>
      <c r="N48" t="n">
        <v>1767561</v>
      </c>
      <c r="O48" t="n">
        <v>46</v>
      </c>
      <c r="P48" t="n">
        <v>53847.7</v>
      </c>
      <c r="Q48" t="n">
        <v>1856379</v>
      </c>
      <c r="R48" t="n">
        <v>48</v>
      </c>
      <c r="S48" t="n">
        <v>259</v>
      </c>
      <c r="T48" t="n">
        <v>23926</v>
      </c>
      <c r="U48" t="n">
        <v>1</v>
      </c>
      <c r="V48" t="n">
        <v>135588.2</v>
      </c>
      <c r="W48" t="n">
        <v>3647866</v>
      </c>
      <c r="X48" t="n">
        <v>95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40613</v>
      </c>
      <c r="C49" t="inlineStr">
        <is>
          <t>Northern California Power Agny</t>
        </is>
      </c>
      <c r="D49" t="inlineStr">
        <is>
          <t>B</t>
        </is>
      </c>
      <c r="E49" t="inlineStr">
        <is>
          <t>Energy</t>
        </is>
      </c>
      <c r="F49" t="inlineStr">
        <is>
          <t>O</t>
        </is>
      </c>
      <c r="G49" t="inlineStr">
        <is>
          <t>CA</t>
        </is>
      </c>
      <c r="H49" t="inlineStr">
        <is>
          <t>Political Subdivision</t>
        </is>
      </c>
      <c r="I49" t="inlineStr">
        <is>
          <t>CISO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36126</v>
      </c>
      <c r="T49" t="n">
        <v>360898</v>
      </c>
      <c r="U49" t="n">
        <v>1</v>
      </c>
      <c r="V49" t="n">
        <v>36126</v>
      </c>
      <c r="W49" t="n">
        <v>360898</v>
      </c>
      <c r="X49" t="n">
        <v>1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55787</v>
      </c>
      <c r="C50" t="inlineStr">
        <is>
          <t>City of Moreno Valley - (CA)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CA</t>
        </is>
      </c>
      <c r="H50" t="inlineStr">
        <is>
          <t>Municipal</t>
        </is>
      </c>
      <c r="I50" t="inlineStr">
        <is>
          <t>CISO</t>
        </is>
      </c>
      <c r="J50" t="n">
        <v>18450</v>
      </c>
      <c r="K50" t="n">
        <v>46278</v>
      </c>
      <c r="L50" t="n">
        <v>7936</v>
      </c>
      <c r="M50" t="n">
        <v>41508</v>
      </c>
      <c r="N50" t="n">
        <v>164012</v>
      </c>
      <c r="O50" t="n">
        <v>998</v>
      </c>
      <c r="P50" t="n">
        <v>3621</v>
      </c>
      <c r="Q50" t="n">
        <v>15208</v>
      </c>
      <c r="R50" t="n">
        <v>10</v>
      </c>
      <c r="S50" t="n">
        <v>0</v>
      </c>
      <c r="T50" t="inlineStr">
        <is>
          <t>.</t>
        </is>
      </c>
      <c r="U50" t="inlineStr">
        <is>
          <t>.</t>
        </is>
      </c>
      <c r="V50" t="n">
        <v>63579</v>
      </c>
      <c r="W50" t="n">
        <v>225498</v>
      </c>
      <c r="X50" t="n">
        <v>8944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56692</v>
      </c>
      <c r="C51" t="inlineStr">
        <is>
          <t>Marin Clean Energy</t>
        </is>
      </c>
      <c r="D51" t="inlineStr">
        <is>
          <t>B</t>
        </is>
      </c>
      <c r="E51" t="inlineStr">
        <is>
          <t>Energy</t>
        </is>
      </c>
      <c r="F51" t="inlineStr">
        <is>
          <t>O</t>
        </is>
      </c>
      <c r="G51" t="inlineStr">
        <is>
          <t>CA</t>
        </is>
      </c>
      <c r="H51" t="inlineStr">
        <is>
          <t>Community Choice Aggregator</t>
        </is>
      </c>
      <c r="I51" t="inlineStr">
        <is>
          <t>CISO</t>
        </is>
      </c>
      <c r="J51" t="n">
        <v>432119.7</v>
      </c>
      <c r="K51" t="n">
        <v>2862154</v>
      </c>
      <c r="L51" t="n">
        <v>524852</v>
      </c>
      <c r="M51" t="n">
        <v>382336.1</v>
      </c>
      <c r="N51" t="n">
        <v>2636056</v>
      </c>
      <c r="O51" t="n">
        <v>60310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814455.8</v>
      </c>
      <c r="W51" t="n">
        <v>5498210</v>
      </c>
      <c r="X51" t="n">
        <v>585162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57313</v>
      </c>
      <c r="C52" t="inlineStr">
        <is>
          <t>Tesla Inc.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CA</t>
        </is>
      </c>
      <c r="H52" t="inlineStr">
        <is>
          <t>Behind the Meter</t>
        </is>
      </c>
      <c r="I52" t="inlineStr">
        <is>
          <t>CISO</t>
        </is>
      </c>
      <c r="J52" t="n">
        <v>161812.3</v>
      </c>
      <c r="K52" t="n">
        <v>842222</v>
      </c>
      <c r="L52" t="n">
        <v>126771</v>
      </c>
      <c r="M52" t="n">
        <v>44312.8</v>
      </c>
      <c r="N52" t="n">
        <v>307563</v>
      </c>
      <c r="O52" t="n">
        <v>6264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206125.1</v>
      </c>
      <c r="W52" t="n">
        <v>1149785</v>
      </c>
      <c r="X52" t="n">
        <v>133035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57313</v>
      </c>
      <c r="C53" t="inlineStr">
        <is>
          <t>Tesla Inc.</t>
        </is>
      </c>
      <c r="D53" t="inlineStr">
        <is>
          <t>A</t>
        </is>
      </c>
      <c r="E53" t="inlineStr">
        <is>
          <t>Bundled</t>
        </is>
      </c>
      <c r="F53" t="inlineStr">
        <is>
          <t>O</t>
        </is>
      </c>
      <c r="G53" t="inlineStr">
        <is>
          <t>CA</t>
        </is>
      </c>
      <c r="H53" t="inlineStr">
        <is>
          <t>Behind the Meter</t>
        </is>
      </c>
      <c r="I53" t="inlineStr">
        <is>
          <t>IID</t>
        </is>
      </c>
      <c r="J53" t="n">
        <v>1925</v>
      </c>
      <c r="K53" t="n">
        <v>14353</v>
      </c>
      <c r="L53" t="n">
        <v>1356</v>
      </c>
      <c r="M53" t="n">
        <v>82.59999999999999</v>
      </c>
      <c r="N53" t="n">
        <v>779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2007.6</v>
      </c>
      <c r="W53" t="n">
        <v>15132</v>
      </c>
      <c r="X53" t="n">
        <v>1357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57313</v>
      </c>
      <c r="C54" t="inlineStr">
        <is>
          <t>Tesla Inc.</t>
        </is>
      </c>
      <c r="D54" t="inlineStr">
        <is>
          <t>A</t>
        </is>
      </c>
      <c r="E54" t="inlineStr">
        <is>
          <t>Bundled</t>
        </is>
      </c>
      <c r="F54" t="inlineStr">
        <is>
          <t>O</t>
        </is>
      </c>
      <c r="G54" t="inlineStr">
        <is>
          <t>CA</t>
        </is>
      </c>
      <c r="H54" t="inlineStr">
        <is>
          <t>Behind the Meter</t>
        </is>
      </c>
      <c r="I54" t="inlineStr">
        <is>
          <t>LDWP</t>
        </is>
      </c>
      <c r="J54" t="n">
        <v>8438.1</v>
      </c>
      <c r="K54" t="n">
        <v>50723</v>
      </c>
      <c r="L54" t="n">
        <v>8959</v>
      </c>
      <c r="M54" t="n">
        <v>96.40000000000001</v>
      </c>
      <c r="N54" t="n">
        <v>1147</v>
      </c>
      <c r="O54" t="n">
        <v>71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8534.5</v>
      </c>
      <c r="W54" t="n">
        <v>51870</v>
      </c>
      <c r="X54" t="n">
        <v>9030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57313</v>
      </c>
      <c r="C55" t="inlineStr">
        <is>
          <t>Tesla Inc.</t>
        </is>
      </c>
      <c r="D55" t="inlineStr">
        <is>
          <t>A</t>
        </is>
      </c>
      <c r="E55" t="inlineStr">
        <is>
          <t>Bundled</t>
        </is>
      </c>
      <c r="F55" t="inlineStr">
        <is>
          <t>O</t>
        </is>
      </c>
      <c r="G55" t="inlineStr">
        <is>
          <t>CA</t>
        </is>
      </c>
      <c r="H55" t="inlineStr">
        <is>
          <t>Behind the Meter</t>
        </is>
      </c>
      <c r="I55" t="inlineStr">
        <is>
          <t>PACW</t>
        </is>
      </c>
      <c r="J55" t="n">
        <v>2.4</v>
      </c>
      <c r="K55" t="n">
        <v>12</v>
      </c>
      <c r="L55" t="n">
        <v>2</v>
      </c>
      <c r="M55" t="n">
        <v>0</v>
      </c>
      <c r="N55" t="n">
        <v>331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2.4</v>
      </c>
      <c r="W55" t="n">
        <v>343</v>
      </c>
      <c r="X55" t="n">
        <v>3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57313</v>
      </c>
      <c r="C56" t="inlineStr">
        <is>
          <t>Tesla Inc.</t>
        </is>
      </c>
      <c r="D56" t="inlineStr">
        <is>
          <t>A</t>
        </is>
      </c>
      <c r="E56" t="inlineStr">
        <is>
          <t>Bundled</t>
        </is>
      </c>
      <c r="F56" t="inlineStr">
        <is>
          <t>O</t>
        </is>
      </c>
      <c r="G56" t="inlineStr">
        <is>
          <t>CA</t>
        </is>
      </c>
      <c r="H56" t="inlineStr">
        <is>
          <t>Behind the Meter</t>
        </is>
      </c>
      <c r="I56" t="inlineStr">
        <is>
          <t>TIDC</t>
        </is>
      </c>
      <c r="J56" t="n">
        <v>459.2</v>
      </c>
      <c r="K56" t="n">
        <v>2660</v>
      </c>
      <c r="L56" t="n">
        <v>404</v>
      </c>
      <c r="M56" t="n">
        <v>42.4</v>
      </c>
      <c r="N56" t="n">
        <v>512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501.6</v>
      </c>
      <c r="W56" t="n">
        <v>3172</v>
      </c>
      <c r="X56" t="n">
        <v>405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57313</v>
      </c>
      <c r="C57" t="inlineStr">
        <is>
          <t>Tesla Inc.</t>
        </is>
      </c>
      <c r="D57" t="inlineStr">
        <is>
          <t>A</t>
        </is>
      </c>
      <c r="E57" t="inlineStr">
        <is>
          <t>Bundled</t>
        </is>
      </c>
      <c r="F57" t="inlineStr">
        <is>
          <t>O</t>
        </is>
      </c>
      <c r="G57" t="inlineStr">
        <is>
          <t>CA</t>
        </is>
      </c>
      <c r="H57" t="inlineStr">
        <is>
          <t>Behind the Meter</t>
        </is>
      </c>
      <c r="I57" t="inlineStr">
        <is>
          <t>WALC</t>
        </is>
      </c>
      <c r="J57" t="n">
        <v>4.2</v>
      </c>
      <c r="K57" t="n">
        <v>16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4.2</v>
      </c>
      <c r="W57" t="n">
        <v>16</v>
      </c>
      <c r="X57" t="n">
        <v>1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57313</v>
      </c>
      <c r="C58" t="inlineStr">
        <is>
          <t>Tesla Inc.</t>
        </is>
      </c>
      <c r="D58" t="inlineStr">
        <is>
          <t>A</t>
        </is>
      </c>
      <c r="E58" t="inlineStr">
        <is>
          <t>Bundled</t>
        </is>
      </c>
      <c r="F58" t="inlineStr">
        <is>
          <t>O</t>
        </is>
      </c>
      <c r="G58" t="inlineStr">
        <is>
          <t>CA</t>
        </is>
      </c>
      <c r="H58" t="inlineStr">
        <is>
          <t>Behind the Meter</t>
        </is>
      </c>
      <c r="I58" t="inlineStr">
        <is>
          <t>BANC</t>
        </is>
      </c>
      <c r="J58" t="n">
        <v>8370.799999999999</v>
      </c>
      <c r="K58" t="n">
        <v>65397</v>
      </c>
      <c r="L58" t="n">
        <v>9948</v>
      </c>
      <c r="M58" t="n">
        <v>1078.8</v>
      </c>
      <c r="N58" t="n">
        <v>11137</v>
      </c>
      <c r="O58" t="n">
        <v>23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9449.6</v>
      </c>
      <c r="W58" t="n">
        <v>76534</v>
      </c>
      <c r="X58" t="n">
        <v>9971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57483</v>
      </c>
      <c r="C59" t="inlineStr">
        <is>
          <t>Liberty Utilities</t>
        </is>
      </c>
      <c r="D59" t="inlineStr">
        <is>
          <t>A</t>
        </is>
      </c>
      <c r="E59" t="inlineStr">
        <is>
          <t>Bundled</t>
        </is>
      </c>
      <c r="F59" t="inlineStr">
        <is>
          <t>O</t>
        </is>
      </c>
      <c r="G59" t="inlineStr">
        <is>
          <t>CA</t>
        </is>
      </c>
      <c r="H59" t="inlineStr">
        <is>
          <t>Investor Owned</t>
        </is>
      </c>
      <c r="I59" t="inlineStr">
        <is>
          <t>CISO</t>
        </is>
      </c>
      <c r="J59" t="n">
        <v>76119.39999999999</v>
      </c>
      <c r="K59" t="n">
        <v>293637</v>
      </c>
      <c r="L59" t="n">
        <v>43902</v>
      </c>
      <c r="M59" t="n">
        <v>72586.2</v>
      </c>
      <c r="N59" t="n">
        <v>279823</v>
      </c>
      <c r="O59" t="n">
        <v>6128</v>
      </c>
      <c r="P59" t="inlineStr">
        <is>
          <t>.</t>
        </is>
      </c>
      <c r="Q59" t="inlineStr">
        <is>
          <t>.</t>
        </is>
      </c>
      <c r="R59" t="inlineStr">
        <is>
          <t>.</t>
        </is>
      </c>
      <c r="S59" t="inlineStr">
        <is>
          <t>.</t>
        </is>
      </c>
      <c r="T59" t="inlineStr">
        <is>
          <t>.</t>
        </is>
      </c>
      <c r="U59" t="inlineStr">
        <is>
          <t>.</t>
        </is>
      </c>
      <c r="V59" t="n">
        <v>148705.6</v>
      </c>
      <c r="W59" t="n">
        <v>573460</v>
      </c>
      <c r="X59" t="n">
        <v>50030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58851</v>
      </c>
      <c r="C60" t="inlineStr">
        <is>
          <t>City of Cerritos - (CA)</t>
        </is>
      </c>
      <c r="D60" t="inlineStr">
        <is>
          <t>B</t>
        </is>
      </c>
      <c r="E60" t="inlineStr">
        <is>
          <t>Energy</t>
        </is>
      </c>
      <c r="F60" t="inlineStr">
        <is>
          <t>O</t>
        </is>
      </c>
      <c r="G60" t="inlineStr">
        <is>
          <t>CA</t>
        </is>
      </c>
      <c r="H60" t="inlineStr">
        <is>
          <t>Municipal</t>
        </is>
      </c>
      <c r="I60" t="inlineStr">
        <is>
          <t>CISO</t>
        </is>
      </c>
      <c r="J60" t="n">
        <v>0</v>
      </c>
      <c r="K60" t="n">
        <v>0</v>
      </c>
      <c r="L60" t="n">
        <v>0</v>
      </c>
      <c r="M60" t="n">
        <v>4612</v>
      </c>
      <c r="N60" t="n">
        <v>42926</v>
      </c>
      <c r="O60" t="n">
        <v>251</v>
      </c>
      <c r="P60" t="n">
        <v>1738.7</v>
      </c>
      <c r="Q60" t="n">
        <v>17829</v>
      </c>
      <c r="R60" t="n">
        <v>10</v>
      </c>
      <c r="S60" t="n">
        <v>0</v>
      </c>
      <c r="T60" t="n">
        <v>0</v>
      </c>
      <c r="U60" t="n">
        <v>0</v>
      </c>
      <c r="V60" t="n">
        <v>6350.7</v>
      </c>
      <c r="W60" t="n">
        <v>60755</v>
      </c>
      <c r="X60" t="n">
        <v>261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59086</v>
      </c>
      <c r="C61" t="inlineStr">
        <is>
          <t>Constellation Solar Holding, LLC</t>
        </is>
      </c>
      <c r="D61" t="inlineStr">
        <is>
          <t>A</t>
        </is>
      </c>
      <c r="E61" t="inlineStr">
        <is>
          <t>Bundled</t>
        </is>
      </c>
      <c r="F61" t="inlineStr">
        <is>
          <t>O</t>
        </is>
      </c>
      <c r="G61" t="inlineStr">
        <is>
          <t>CA</t>
        </is>
      </c>
      <c r="H61" t="inlineStr">
        <is>
          <t>Behind the Meter</t>
        </is>
      </c>
      <c r="I61" t="inlineStr">
        <is>
          <t>CISO</t>
        </is>
      </c>
      <c r="J61" t="n">
        <v>0</v>
      </c>
      <c r="K61" t="n">
        <v>0</v>
      </c>
      <c r="L61" t="n">
        <v>0</v>
      </c>
      <c r="M61" t="n">
        <v>15252.3</v>
      </c>
      <c r="N61" t="n">
        <v>85070</v>
      </c>
      <c r="O61" t="n">
        <v>28</v>
      </c>
      <c r="P61" t="n">
        <v>148.2</v>
      </c>
      <c r="Q61" t="n">
        <v>1059</v>
      </c>
      <c r="R61" t="n">
        <v>1</v>
      </c>
      <c r="S61" t="n">
        <v>0</v>
      </c>
      <c r="T61" t="n">
        <v>0</v>
      </c>
      <c r="U61" t="n">
        <v>0</v>
      </c>
      <c r="V61" t="n">
        <v>15400.5</v>
      </c>
      <c r="W61" t="n">
        <v>86129</v>
      </c>
      <c r="X61" t="n">
        <v>29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59126</v>
      </c>
      <c r="C62" t="inlineStr">
        <is>
          <t>Sonoma Clean Power Authority</t>
        </is>
      </c>
      <c r="D62" t="inlineStr">
        <is>
          <t>B</t>
        </is>
      </c>
      <c r="E62" t="inlineStr">
        <is>
          <t>Energy</t>
        </is>
      </c>
      <c r="F62" t="inlineStr">
        <is>
          <t>O</t>
        </is>
      </c>
      <c r="G62" t="inlineStr">
        <is>
          <t>CA</t>
        </is>
      </c>
      <c r="H62" t="inlineStr">
        <is>
          <t>Community Choice Aggregator</t>
        </is>
      </c>
      <c r="I62" t="inlineStr">
        <is>
          <t>CISO</t>
        </is>
      </c>
      <c r="J62" t="n">
        <v>134263.7</v>
      </c>
      <c r="K62" t="n">
        <v>1029779</v>
      </c>
      <c r="L62" t="n">
        <v>199002</v>
      </c>
      <c r="M62" t="n">
        <v>125759.8</v>
      </c>
      <c r="N62" t="n">
        <v>943791</v>
      </c>
      <c r="O62" t="n">
        <v>28686</v>
      </c>
      <c r="P62" t="n">
        <v>19373.9</v>
      </c>
      <c r="Q62" t="n">
        <v>159239</v>
      </c>
      <c r="R62" t="n">
        <v>2968</v>
      </c>
      <c r="S62" t="n">
        <v>0</v>
      </c>
      <c r="T62" t="n">
        <v>0</v>
      </c>
      <c r="U62" t="n">
        <v>0</v>
      </c>
      <c r="V62" t="n">
        <v>279397.4</v>
      </c>
      <c r="W62" t="n">
        <v>2132809</v>
      </c>
      <c r="X62" t="n">
        <v>230656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59579</v>
      </c>
      <c r="C63" t="inlineStr">
        <is>
          <t>Sunnova</t>
        </is>
      </c>
      <c r="D63" t="inlineStr">
        <is>
          <t>A</t>
        </is>
      </c>
      <c r="E63" t="inlineStr">
        <is>
          <t>Bundled</t>
        </is>
      </c>
      <c r="F63" t="inlineStr">
        <is>
          <t>O</t>
        </is>
      </c>
      <c r="G63" t="inlineStr">
        <is>
          <t>CA</t>
        </is>
      </c>
      <c r="H63" t="inlineStr">
        <is>
          <t>Behind the Meter</t>
        </is>
      </c>
      <c r="I63" t="inlineStr">
        <is>
          <t>CISO</t>
        </is>
      </c>
      <c r="J63" t="n">
        <v>84816.2</v>
      </c>
      <c r="K63" t="n">
        <v>307910</v>
      </c>
      <c r="L63" t="n">
        <v>51597</v>
      </c>
      <c r="M63" t="inlineStr">
        <is>
          <t>.</t>
        </is>
      </c>
      <c r="N63" t="inlineStr">
        <is>
          <t>.</t>
        </is>
      </c>
      <c r="O63" t="inlineStr">
        <is>
          <t>.</t>
        </is>
      </c>
      <c r="P63" t="inlineStr">
        <is>
          <t>.</t>
        </is>
      </c>
      <c r="Q63" t="inlineStr">
        <is>
          <t>.</t>
        </is>
      </c>
      <c r="R63" t="inlineStr">
        <is>
          <t>.</t>
        </is>
      </c>
      <c r="S63" t="inlineStr">
        <is>
          <t>.</t>
        </is>
      </c>
      <c r="T63" t="inlineStr">
        <is>
          <t>.</t>
        </is>
      </c>
      <c r="U63" t="inlineStr">
        <is>
          <t>.</t>
        </is>
      </c>
      <c r="V63" t="n">
        <v>84816.2</v>
      </c>
      <c r="W63" t="n">
        <v>307910</v>
      </c>
      <c r="X63" t="n">
        <v>51597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59579</v>
      </c>
      <c r="C64" t="inlineStr">
        <is>
          <t>Sunnova</t>
        </is>
      </c>
      <c r="D64" t="inlineStr">
        <is>
          <t>A</t>
        </is>
      </c>
      <c r="E64" t="inlineStr">
        <is>
          <t>Bundled</t>
        </is>
      </c>
      <c r="F64" t="inlineStr">
        <is>
          <t>O</t>
        </is>
      </c>
      <c r="G64" t="inlineStr">
        <is>
          <t>CA</t>
        </is>
      </c>
      <c r="H64" t="inlineStr">
        <is>
          <t>Behind the Meter</t>
        </is>
      </c>
      <c r="I64" t="inlineStr">
        <is>
          <t>IID</t>
        </is>
      </c>
      <c r="J64" t="n">
        <v>22.2</v>
      </c>
      <c r="K64" t="n">
        <v>81</v>
      </c>
      <c r="L64" t="n">
        <v>13</v>
      </c>
      <c r="M64" t="inlineStr">
        <is>
          <t>.</t>
        </is>
      </c>
      <c r="N64" t="inlineStr">
        <is>
          <t>.</t>
        </is>
      </c>
      <c r="O64" t="inlineStr">
        <is>
          <t>.</t>
        </is>
      </c>
      <c r="P64" t="inlineStr">
        <is>
          <t>.</t>
        </is>
      </c>
      <c r="Q64" t="inlineStr">
        <is>
          <t>.</t>
        </is>
      </c>
      <c r="R64" t="inlineStr">
        <is>
          <t>.</t>
        </is>
      </c>
      <c r="S64" t="inlineStr">
        <is>
          <t>.</t>
        </is>
      </c>
      <c r="T64" t="inlineStr">
        <is>
          <t>.</t>
        </is>
      </c>
      <c r="U64" t="inlineStr">
        <is>
          <t>.</t>
        </is>
      </c>
      <c r="V64" t="n">
        <v>22.2</v>
      </c>
      <c r="W64" t="n">
        <v>81</v>
      </c>
      <c r="X64" t="n">
        <v>13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59579</v>
      </c>
      <c r="C65" t="inlineStr">
        <is>
          <t>Sunnova</t>
        </is>
      </c>
      <c r="D65" t="inlineStr">
        <is>
          <t>A</t>
        </is>
      </c>
      <c r="E65" t="inlineStr">
        <is>
          <t>Bundled</t>
        </is>
      </c>
      <c r="F65" t="inlineStr">
        <is>
          <t>O</t>
        </is>
      </c>
      <c r="G65" t="inlineStr">
        <is>
          <t>CA</t>
        </is>
      </c>
      <c r="H65" t="inlineStr">
        <is>
          <t>Behind the Meter</t>
        </is>
      </c>
      <c r="I65" t="inlineStr">
        <is>
          <t>LDWP</t>
        </is>
      </c>
      <c r="J65" t="n">
        <v>1820.9</v>
      </c>
      <c r="K65" t="n">
        <v>6611</v>
      </c>
      <c r="L65" t="n">
        <v>1108</v>
      </c>
      <c r="M65" t="inlineStr">
        <is>
          <t>.</t>
        </is>
      </c>
      <c r="N65" t="inlineStr">
        <is>
          <t>.</t>
        </is>
      </c>
      <c r="O65" t="inlineStr">
        <is>
          <t>.</t>
        </is>
      </c>
      <c r="P65" t="inlineStr">
        <is>
          <t>.</t>
        </is>
      </c>
      <c r="Q65" t="inlineStr">
        <is>
          <t>.</t>
        </is>
      </c>
      <c r="R65" t="inlineStr">
        <is>
          <t>.</t>
        </is>
      </c>
      <c r="S65" t="inlineStr">
        <is>
          <t>.</t>
        </is>
      </c>
      <c r="T65" t="inlineStr">
        <is>
          <t>.</t>
        </is>
      </c>
      <c r="U65" t="inlineStr">
        <is>
          <t>.</t>
        </is>
      </c>
      <c r="V65" t="n">
        <v>1820.9</v>
      </c>
      <c r="W65" t="n">
        <v>6611</v>
      </c>
      <c r="X65" t="n">
        <v>1108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59579</v>
      </c>
      <c r="C66" t="inlineStr">
        <is>
          <t>Sunnova</t>
        </is>
      </c>
      <c r="D66" t="inlineStr">
        <is>
          <t>A</t>
        </is>
      </c>
      <c r="E66" t="inlineStr">
        <is>
          <t>Bundled</t>
        </is>
      </c>
      <c r="F66" t="inlineStr">
        <is>
          <t>O</t>
        </is>
      </c>
      <c r="G66" t="inlineStr">
        <is>
          <t>CA</t>
        </is>
      </c>
      <c r="H66" t="inlineStr">
        <is>
          <t>Behind the Meter</t>
        </is>
      </c>
      <c r="I66" t="inlineStr">
        <is>
          <t>TIDC</t>
        </is>
      </c>
      <c r="J66" t="n">
        <v>66.5</v>
      </c>
      <c r="K66" t="n">
        <v>241</v>
      </c>
      <c r="L66" t="n">
        <v>40</v>
      </c>
      <c r="M66" t="inlineStr">
        <is>
          <t>.</t>
        </is>
      </c>
      <c r="N66" t="inlineStr">
        <is>
          <t>.</t>
        </is>
      </c>
      <c r="O66" t="inlineStr">
        <is>
          <t>.</t>
        </is>
      </c>
      <c r="P66" t="inlineStr">
        <is>
          <t>.</t>
        </is>
      </c>
      <c r="Q66" t="inlineStr">
        <is>
          <t>.</t>
        </is>
      </c>
      <c r="R66" t="inlineStr">
        <is>
          <t>.</t>
        </is>
      </c>
      <c r="S66" t="inlineStr">
        <is>
          <t>.</t>
        </is>
      </c>
      <c r="T66" t="inlineStr">
        <is>
          <t>.</t>
        </is>
      </c>
      <c r="U66" t="inlineStr">
        <is>
          <t>.</t>
        </is>
      </c>
      <c r="V66" t="n">
        <v>66.5</v>
      </c>
      <c r="W66" t="n">
        <v>241</v>
      </c>
      <c r="X66" t="n">
        <v>40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  <row r="67">
      <c r="A67" t="n">
        <v>2024</v>
      </c>
      <c r="B67" t="n">
        <v>59579</v>
      </c>
      <c r="C67" t="inlineStr">
        <is>
          <t>Sunnova</t>
        </is>
      </c>
      <c r="D67" t="inlineStr">
        <is>
          <t>A</t>
        </is>
      </c>
      <c r="E67" t="inlineStr">
        <is>
          <t>Bundled</t>
        </is>
      </c>
      <c r="F67" t="inlineStr">
        <is>
          <t>O</t>
        </is>
      </c>
      <c r="G67" t="inlineStr">
        <is>
          <t>CA</t>
        </is>
      </c>
      <c r="H67" t="inlineStr">
        <is>
          <t>Behind the Meter</t>
        </is>
      </c>
      <c r="I67" t="inlineStr">
        <is>
          <t>BANC</t>
        </is>
      </c>
      <c r="J67" t="n">
        <v>13.7</v>
      </c>
      <c r="K67" t="n">
        <v>49</v>
      </c>
      <c r="L67" t="n">
        <v>8</v>
      </c>
      <c r="M67" t="inlineStr">
        <is>
          <t>.</t>
        </is>
      </c>
      <c r="N67" t="inlineStr">
        <is>
          <t>.</t>
        </is>
      </c>
      <c r="O67" t="inlineStr">
        <is>
          <t>.</t>
        </is>
      </c>
      <c r="P67" t="inlineStr">
        <is>
          <t>.</t>
        </is>
      </c>
      <c r="Q67" t="inlineStr">
        <is>
          <t>.</t>
        </is>
      </c>
      <c r="R67" t="inlineStr">
        <is>
          <t>.</t>
        </is>
      </c>
      <c r="S67" t="inlineStr">
        <is>
          <t>.</t>
        </is>
      </c>
      <c r="T67" t="inlineStr">
        <is>
          <t>.</t>
        </is>
      </c>
      <c r="U67" t="inlineStr">
        <is>
          <t>.</t>
        </is>
      </c>
      <c r="V67" t="n">
        <v>13.7</v>
      </c>
      <c r="W67" t="n">
        <v>49</v>
      </c>
      <c r="X67" t="n">
        <v>8</v>
      </c>
      <c r="Y67">
        <f>IF(ISNUMBER($W67),$W67,0)</f>
        <v/>
      </c>
      <c r="Z67">
        <f>IF(ISNUMBER(SEARCH("Adjustment",$C67)),"excluded",IF($H67="Behind the Meter","excluded",IF(NOT(OR($E67="Bundled",$E67="Energy")),"excluded",IF(OR($H67="Retail Power Marketer",$H67="Community Choice Aggregator",$E67="Energy"),"procurement",IF(OR($H67="Municipal",$H67="Cooperative",$H67="Federal",$H67="State",$H67="Political Subdivision"),"cost_service",IF($H67="Investor Owned",IF(AND(COUNTIF(Parameters!$A$4:$A$33,$G67)&gt;0,COUNTIF(Parameters!$B$4:$B$33,$B67)=0),"procurement","cost_service"),"unclassified"))))))</f>
        <v/>
      </c>
    </row>
    <row r="68">
      <c r="A68" t="n">
        <v>2024</v>
      </c>
      <c r="B68" t="n">
        <v>59580</v>
      </c>
      <c r="C68" t="inlineStr">
        <is>
          <t>SunPower Capital, LLC</t>
        </is>
      </c>
      <c r="D68" t="inlineStr">
        <is>
          <t>A</t>
        </is>
      </c>
      <c r="E68" t="inlineStr">
        <is>
          <t>Bundled</t>
        </is>
      </c>
      <c r="F68" t="inlineStr">
        <is>
          <t>O</t>
        </is>
      </c>
      <c r="G68" t="inlineStr">
        <is>
          <t>CA</t>
        </is>
      </c>
      <c r="H68" t="inlineStr">
        <is>
          <t>Behind the Meter</t>
        </is>
      </c>
      <c r="I68" t="inlineStr">
        <is>
          <t>CISO</t>
        </is>
      </c>
      <c r="J68" t="n">
        <v>104974.6</v>
      </c>
      <c r="K68" t="n">
        <v>433086</v>
      </c>
      <c r="L68" t="n">
        <v>62640</v>
      </c>
      <c r="M68" t="inlineStr">
        <is>
          <t>.</t>
        </is>
      </c>
      <c r="N68" t="inlineStr">
        <is>
          <t>.</t>
        </is>
      </c>
      <c r="O68" t="inlineStr">
        <is>
          <t>.</t>
        </is>
      </c>
      <c r="P68" t="inlineStr">
        <is>
          <t>.</t>
        </is>
      </c>
      <c r="Q68" t="inlineStr">
        <is>
          <t>.</t>
        </is>
      </c>
      <c r="R68" t="inlineStr">
        <is>
          <t>.</t>
        </is>
      </c>
      <c r="S68" t="inlineStr">
        <is>
          <t>.</t>
        </is>
      </c>
      <c r="T68" t="inlineStr">
        <is>
          <t>.</t>
        </is>
      </c>
      <c r="U68" t="inlineStr">
        <is>
          <t>.</t>
        </is>
      </c>
      <c r="V68" t="n">
        <v>104974.6</v>
      </c>
      <c r="W68" t="n">
        <v>433086</v>
      </c>
      <c r="X68" t="n">
        <v>62640</v>
      </c>
      <c r="Y68">
        <f>IF(ISNUMBER($W68),$W68,0)</f>
        <v/>
      </c>
      <c r="Z68">
        <f>IF(ISNUMBER(SEARCH("Adjustment",$C68)),"excluded",IF($H68="Behind the Meter","excluded",IF(NOT(OR($E68="Bundled",$E68="Energy")),"excluded",IF(OR($H68="Retail Power Marketer",$H68="Community Choice Aggregator",$E68="Energy"),"procurement",IF(OR($H68="Municipal",$H68="Cooperative",$H68="Federal",$H68="State",$H68="Political Subdivision"),"cost_service",IF($H68="Investor Owned",IF(AND(COUNTIF(Parameters!$A$4:$A$33,$G68)&gt;0,COUNTIF(Parameters!$B$4:$B$33,$B68)=0),"procurement","cost_service"),"unclassified"))))))</f>
        <v/>
      </c>
    </row>
    <row r="69">
      <c r="A69" t="n">
        <v>2024</v>
      </c>
      <c r="B69" t="n">
        <v>59580</v>
      </c>
      <c r="C69" t="inlineStr">
        <is>
          <t>SunPower Capital, LLC</t>
        </is>
      </c>
      <c r="D69" t="inlineStr">
        <is>
          <t>A</t>
        </is>
      </c>
      <c r="E69" t="inlineStr">
        <is>
          <t>Bundled</t>
        </is>
      </c>
      <c r="F69" t="inlineStr">
        <is>
          <t>O</t>
        </is>
      </c>
      <c r="G69" t="inlineStr">
        <is>
          <t>CA</t>
        </is>
      </c>
      <c r="H69" t="inlineStr">
        <is>
          <t>Behind the Meter</t>
        </is>
      </c>
      <c r="I69" t="inlineStr">
        <is>
          <t>IID</t>
        </is>
      </c>
      <c r="J69" t="n">
        <v>2160.8</v>
      </c>
      <c r="K69" t="n">
        <v>8914</v>
      </c>
      <c r="L69" t="n">
        <v>1289</v>
      </c>
      <c r="M69" t="inlineStr">
        <is>
          <t>.</t>
        </is>
      </c>
      <c r="N69" t="inlineStr">
        <is>
          <t>.</t>
        </is>
      </c>
      <c r="O69" t="inlineStr">
        <is>
          <t>.</t>
        </is>
      </c>
      <c r="P69" t="inlineStr">
        <is>
          <t>.</t>
        </is>
      </c>
      <c r="Q69" t="inlineStr">
        <is>
          <t>.</t>
        </is>
      </c>
      <c r="R69" t="inlineStr">
        <is>
          <t>.</t>
        </is>
      </c>
      <c r="S69" t="inlineStr">
        <is>
          <t>.</t>
        </is>
      </c>
      <c r="T69" t="inlineStr">
        <is>
          <t>.</t>
        </is>
      </c>
      <c r="U69" t="inlineStr">
        <is>
          <t>.</t>
        </is>
      </c>
      <c r="V69" t="n">
        <v>2160.8</v>
      </c>
      <c r="W69" t="n">
        <v>8914</v>
      </c>
      <c r="X69" t="n">
        <v>1289</v>
      </c>
      <c r="Y69">
        <f>IF(ISNUMBER($W69),$W69,0)</f>
        <v/>
      </c>
      <c r="Z69">
        <f>IF(ISNUMBER(SEARCH("Adjustment",$C69)),"excluded",IF($H69="Behind the Meter","excluded",IF(NOT(OR($E69="Bundled",$E69="Energy")),"excluded",IF(OR($H69="Retail Power Marketer",$H69="Community Choice Aggregator",$E69="Energy"),"procurement",IF(OR($H69="Municipal",$H69="Cooperative",$H69="Federal",$H69="State",$H69="Political Subdivision"),"cost_service",IF($H69="Investor Owned",IF(AND(COUNTIF(Parameters!$A$4:$A$33,$G69)&gt;0,COUNTIF(Parameters!$B$4:$B$33,$B69)=0),"procurement","cost_service"),"unclassified"))))))</f>
        <v/>
      </c>
    </row>
    <row r="70">
      <c r="A70" t="n">
        <v>2024</v>
      </c>
      <c r="B70" t="n">
        <v>59580</v>
      </c>
      <c r="C70" t="inlineStr">
        <is>
          <t>SunPower Capital, LLC</t>
        </is>
      </c>
      <c r="D70" t="inlineStr">
        <is>
          <t>A</t>
        </is>
      </c>
      <c r="E70" t="inlineStr">
        <is>
          <t>Bundled</t>
        </is>
      </c>
      <c r="F70" t="inlineStr">
        <is>
          <t>O</t>
        </is>
      </c>
      <c r="G70" t="inlineStr">
        <is>
          <t>CA</t>
        </is>
      </c>
      <c r="H70" t="inlineStr">
        <is>
          <t>Behind the Meter</t>
        </is>
      </c>
      <c r="I70" t="inlineStr">
        <is>
          <t>LDWP</t>
        </is>
      </c>
      <c r="J70" t="n">
        <v>6687.7</v>
      </c>
      <c r="K70" t="n">
        <v>27591</v>
      </c>
      <c r="L70" t="n">
        <v>3991</v>
      </c>
      <c r="M70" t="inlineStr">
        <is>
          <t>.</t>
        </is>
      </c>
      <c r="N70" t="inlineStr">
        <is>
          <t>.</t>
        </is>
      </c>
      <c r="O70" t="inlineStr">
        <is>
          <t>.</t>
        </is>
      </c>
      <c r="P70" t="inlineStr">
        <is>
          <t>.</t>
        </is>
      </c>
      <c r="Q70" t="inlineStr">
        <is>
          <t>.</t>
        </is>
      </c>
      <c r="R70" t="inlineStr">
        <is>
          <t>.</t>
        </is>
      </c>
      <c r="S70" t="inlineStr">
        <is>
          <t>.</t>
        </is>
      </c>
      <c r="T70" t="inlineStr">
        <is>
          <t>.</t>
        </is>
      </c>
      <c r="U70" t="inlineStr">
        <is>
          <t>.</t>
        </is>
      </c>
      <c r="V70" t="n">
        <v>6687.7</v>
      </c>
      <c r="W70" t="n">
        <v>27591</v>
      </c>
      <c r="X70" t="n">
        <v>3991</v>
      </c>
      <c r="Y70">
        <f>IF(ISNUMBER($W70),$W70,0)</f>
        <v/>
      </c>
      <c r="Z70">
        <f>IF(ISNUMBER(SEARCH("Adjustment",$C70)),"excluded",IF($H70="Behind the Meter","excluded",IF(NOT(OR($E70="Bundled",$E70="Energy")),"excluded",IF(OR($H70="Retail Power Marketer",$H70="Community Choice Aggregator",$E70="Energy"),"procurement",IF(OR($H70="Municipal",$H70="Cooperative",$H70="Federal",$H70="State",$H70="Political Subdivision"),"cost_service",IF($H70="Investor Owned",IF(AND(COUNTIF(Parameters!$A$4:$A$33,$G70)&gt;0,COUNTIF(Parameters!$B$4:$B$33,$B70)=0),"procurement","cost_service"),"unclassified"))))))</f>
        <v/>
      </c>
    </row>
    <row r="71">
      <c r="A71" t="n">
        <v>2024</v>
      </c>
      <c r="B71" t="n">
        <v>59580</v>
      </c>
      <c r="C71" t="inlineStr">
        <is>
          <t>SunPower Capital, LLC</t>
        </is>
      </c>
      <c r="D71" t="inlineStr">
        <is>
          <t>A</t>
        </is>
      </c>
      <c r="E71" t="inlineStr">
        <is>
          <t>Bundled</t>
        </is>
      </c>
      <c r="F71" t="inlineStr">
        <is>
          <t>O</t>
        </is>
      </c>
      <c r="G71" t="inlineStr">
        <is>
          <t>CA</t>
        </is>
      </c>
      <c r="H71" t="inlineStr">
        <is>
          <t>Behind the Meter</t>
        </is>
      </c>
      <c r="I71" t="inlineStr">
        <is>
          <t>NEVP</t>
        </is>
      </c>
      <c r="J71" t="n">
        <v>13.5</v>
      </c>
      <c r="K71" t="n">
        <v>56</v>
      </c>
      <c r="L71" t="n">
        <v>8</v>
      </c>
      <c r="M71" t="inlineStr">
        <is>
          <t>.</t>
        </is>
      </c>
      <c r="N71" t="inlineStr">
        <is>
          <t>.</t>
        </is>
      </c>
      <c r="O71" t="inlineStr">
        <is>
          <t>.</t>
        </is>
      </c>
      <c r="P71" t="inlineStr">
        <is>
          <t>.</t>
        </is>
      </c>
      <c r="Q71" t="inlineStr">
        <is>
          <t>.</t>
        </is>
      </c>
      <c r="R71" t="inlineStr">
        <is>
          <t>.</t>
        </is>
      </c>
      <c r="S71" t="inlineStr">
        <is>
          <t>.</t>
        </is>
      </c>
      <c r="T71" t="inlineStr">
        <is>
          <t>.</t>
        </is>
      </c>
      <c r="U71" t="inlineStr">
        <is>
          <t>.</t>
        </is>
      </c>
      <c r="V71" t="n">
        <v>13.5</v>
      </c>
      <c r="W71" t="n">
        <v>56</v>
      </c>
      <c r="X71" t="n">
        <v>8</v>
      </c>
      <c r="Y71">
        <f>IF(ISNUMBER($W71),$W71,0)</f>
        <v/>
      </c>
      <c r="Z71">
        <f>IF(ISNUMBER(SEARCH("Adjustment",$C71)),"excluded",IF($H71="Behind the Meter","excluded",IF(NOT(OR($E71="Bundled",$E71="Energy")),"excluded",IF(OR($H71="Retail Power Marketer",$H71="Community Choice Aggregator",$E71="Energy"),"procurement",IF(OR($H71="Municipal",$H71="Cooperative",$H71="Federal",$H71="State",$H71="Political Subdivision"),"cost_service",IF($H71="Investor Owned",IF(AND(COUNTIF(Parameters!$A$4:$A$33,$G71)&gt;0,COUNTIF(Parameters!$B$4:$B$33,$B71)=0),"procurement","cost_service"),"unclassified"))))))</f>
        <v/>
      </c>
    </row>
    <row r="72">
      <c r="A72" t="n">
        <v>2024</v>
      </c>
      <c r="B72" t="n">
        <v>59580</v>
      </c>
      <c r="C72" t="inlineStr">
        <is>
          <t>SunPower Capital, LLC</t>
        </is>
      </c>
      <c r="D72" t="inlineStr">
        <is>
          <t>A</t>
        </is>
      </c>
      <c r="E72" t="inlineStr">
        <is>
          <t>Bundled</t>
        </is>
      </c>
      <c r="F72" t="inlineStr">
        <is>
          <t>O</t>
        </is>
      </c>
      <c r="G72" t="inlineStr">
        <is>
          <t>CA</t>
        </is>
      </c>
      <c r="H72" t="inlineStr">
        <is>
          <t>Behind the Meter</t>
        </is>
      </c>
      <c r="I72" t="inlineStr">
        <is>
          <t>PACW</t>
        </is>
      </c>
      <c r="J72" t="n">
        <v>70.8</v>
      </c>
      <c r="K72" t="n">
        <v>292</v>
      </c>
      <c r="L72" t="n">
        <v>42</v>
      </c>
      <c r="M72" t="inlineStr">
        <is>
          <t>.</t>
        </is>
      </c>
      <c r="N72" t="inlineStr">
        <is>
          <t>.</t>
        </is>
      </c>
      <c r="O72" t="inlineStr">
        <is>
          <t>.</t>
        </is>
      </c>
      <c r="P72" t="inlineStr">
        <is>
          <t>.</t>
        </is>
      </c>
      <c r="Q72" t="inlineStr">
        <is>
          <t>.</t>
        </is>
      </c>
      <c r="R72" t="inlineStr">
        <is>
          <t>.</t>
        </is>
      </c>
      <c r="S72" t="inlineStr">
        <is>
          <t>.</t>
        </is>
      </c>
      <c r="T72" t="inlineStr">
        <is>
          <t>.</t>
        </is>
      </c>
      <c r="U72" t="inlineStr">
        <is>
          <t>.</t>
        </is>
      </c>
      <c r="V72" t="n">
        <v>70.8</v>
      </c>
      <c r="W72" t="n">
        <v>292</v>
      </c>
      <c r="X72" t="n">
        <v>42</v>
      </c>
      <c r="Y72">
        <f>IF(ISNUMBER($W72),$W72,0)</f>
        <v/>
      </c>
      <c r="Z72">
        <f>IF(ISNUMBER(SEARCH("Adjustment",$C72)),"excluded",IF($H72="Behind the Meter","excluded",IF(NOT(OR($E72="Bundled",$E72="Energy")),"excluded",IF(OR($H72="Retail Power Marketer",$H72="Community Choice Aggregator",$E72="Energy"),"procurement",IF(OR($H72="Municipal",$H72="Cooperative",$H72="Federal",$H72="State",$H72="Political Subdivision"),"cost_service",IF($H72="Investor Owned",IF(AND(COUNTIF(Parameters!$A$4:$A$33,$G72)&gt;0,COUNTIF(Parameters!$B$4:$B$33,$B72)=0),"procurement","cost_service"),"unclassified"))))))</f>
        <v/>
      </c>
    </row>
    <row r="73">
      <c r="A73" t="n">
        <v>2024</v>
      </c>
      <c r="B73" t="n">
        <v>59580</v>
      </c>
      <c r="C73" t="inlineStr">
        <is>
          <t>SunPower Capital, LLC</t>
        </is>
      </c>
      <c r="D73" t="inlineStr">
        <is>
          <t>A</t>
        </is>
      </c>
      <c r="E73" t="inlineStr">
        <is>
          <t>Bundled</t>
        </is>
      </c>
      <c r="F73" t="inlineStr">
        <is>
          <t>O</t>
        </is>
      </c>
      <c r="G73" t="inlineStr">
        <is>
          <t>CA</t>
        </is>
      </c>
      <c r="H73" t="inlineStr">
        <is>
          <t>Behind the Meter</t>
        </is>
      </c>
      <c r="I73" t="inlineStr">
        <is>
          <t>TIDC</t>
        </is>
      </c>
      <c r="J73" t="n">
        <v>287.7</v>
      </c>
      <c r="K73" t="n">
        <v>1187</v>
      </c>
      <c r="L73" t="n">
        <v>172</v>
      </c>
      <c r="M73" t="inlineStr">
        <is>
          <t>.</t>
        </is>
      </c>
      <c r="N73" t="inlineStr">
        <is>
          <t>.</t>
        </is>
      </c>
      <c r="O73" t="inlineStr">
        <is>
          <t>.</t>
        </is>
      </c>
      <c r="P73" t="inlineStr">
        <is>
          <t>.</t>
        </is>
      </c>
      <c r="Q73" t="inlineStr">
        <is>
          <t>.</t>
        </is>
      </c>
      <c r="R73" t="inlineStr">
        <is>
          <t>.</t>
        </is>
      </c>
      <c r="S73" t="inlineStr">
        <is>
          <t>.</t>
        </is>
      </c>
      <c r="T73" t="inlineStr">
        <is>
          <t>.</t>
        </is>
      </c>
      <c r="U73" t="inlineStr">
        <is>
          <t>.</t>
        </is>
      </c>
      <c r="V73" t="n">
        <v>287.7</v>
      </c>
      <c r="W73" t="n">
        <v>1187</v>
      </c>
      <c r="X73" t="n">
        <v>172</v>
      </c>
      <c r="Y73">
        <f>IF(ISNUMBER($W73),$W73,0)</f>
        <v/>
      </c>
      <c r="Z73">
        <f>IF(ISNUMBER(SEARCH("Adjustment",$C73)),"excluded",IF($H73="Behind the Meter","excluded",IF(NOT(OR($E73="Bundled",$E73="Energy")),"excluded",IF(OR($H73="Retail Power Marketer",$H73="Community Choice Aggregator",$E73="Energy"),"procurement",IF(OR($H73="Municipal",$H73="Cooperative",$H73="Federal",$H73="State",$H73="Political Subdivision"),"cost_service",IF($H73="Investor Owned",IF(AND(COUNTIF(Parameters!$A$4:$A$33,$G73)&gt;0,COUNTIF(Parameters!$B$4:$B$33,$B73)=0),"procurement","cost_service"),"unclassified"))))))</f>
        <v/>
      </c>
    </row>
    <row r="74">
      <c r="A74" t="n">
        <v>2024</v>
      </c>
      <c r="B74" t="n">
        <v>59580</v>
      </c>
      <c r="C74" t="inlineStr">
        <is>
          <t>SunPower Capital, LLC</t>
        </is>
      </c>
      <c r="D74" t="inlineStr">
        <is>
          <t>A</t>
        </is>
      </c>
      <c r="E74" t="inlineStr">
        <is>
          <t>Bundled</t>
        </is>
      </c>
      <c r="F74" t="inlineStr">
        <is>
          <t>O</t>
        </is>
      </c>
      <c r="G74" t="inlineStr">
        <is>
          <t>CA</t>
        </is>
      </c>
      <c r="H74" t="inlineStr">
        <is>
          <t>Behind the Meter</t>
        </is>
      </c>
      <c r="I74" t="inlineStr">
        <is>
          <t>WALC</t>
        </is>
      </c>
      <c r="J74" t="n">
        <v>6.5</v>
      </c>
      <c r="K74" t="n">
        <v>27</v>
      </c>
      <c r="L74" t="n">
        <v>4</v>
      </c>
      <c r="M74" t="inlineStr">
        <is>
          <t>.</t>
        </is>
      </c>
      <c r="N74" t="inlineStr">
        <is>
          <t>.</t>
        </is>
      </c>
      <c r="O74" t="inlineStr">
        <is>
          <t>.</t>
        </is>
      </c>
      <c r="P74" t="inlineStr">
        <is>
          <t>.</t>
        </is>
      </c>
      <c r="Q74" t="inlineStr">
        <is>
          <t>.</t>
        </is>
      </c>
      <c r="R74" t="inlineStr">
        <is>
          <t>.</t>
        </is>
      </c>
      <c r="S74" t="inlineStr">
        <is>
          <t>.</t>
        </is>
      </c>
      <c r="T74" t="inlineStr">
        <is>
          <t>.</t>
        </is>
      </c>
      <c r="U74" t="inlineStr">
        <is>
          <t>.</t>
        </is>
      </c>
      <c r="V74" t="n">
        <v>6.5</v>
      </c>
      <c r="W74" t="n">
        <v>27</v>
      </c>
      <c r="X74" t="n">
        <v>4</v>
      </c>
      <c r="Y74">
        <f>IF(ISNUMBER($W74),$W74,0)</f>
        <v/>
      </c>
      <c r="Z74">
        <f>IF(ISNUMBER(SEARCH("Adjustment",$C74)),"excluded",IF($H74="Behind the Meter","excluded",IF(NOT(OR($E74="Bundled",$E74="Energy")),"excluded",IF(OR($H74="Retail Power Marketer",$H74="Community Choice Aggregator",$E74="Energy"),"procurement",IF(OR($H74="Municipal",$H74="Cooperative",$H74="Federal",$H74="State",$H74="Political Subdivision"),"cost_service",IF($H74="Investor Owned",IF(AND(COUNTIF(Parameters!$A$4:$A$33,$G74)&gt;0,COUNTIF(Parameters!$B$4:$B$33,$B74)=0),"procurement","cost_service"),"unclassified"))))))</f>
        <v/>
      </c>
    </row>
    <row r="75">
      <c r="A75" t="n">
        <v>2024</v>
      </c>
      <c r="B75" t="n">
        <v>59580</v>
      </c>
      <c r="C75" t="inlineStr">
        <is>
          <t>SunPower Capital, LLC</t>
        </is>
      </c>
      <c r="D75" t="inlineStr">
        <is>
          <t>A</t>
        </is>
      </c>
      <c r="E75" t="inlineStr">
        <is>
          <t>Bundled</t>
        </is>
      </c>
      <c r="F75" t="inlineStr">
        <is>
          <t>O</t>
        </is>
      </c>
      <c r="G75" t="inlineStr">
        <is>
          <t>CA</t>
        </is>
      </c>
      <c r="H75" t="inlineStr">
        <is>
          <t>Behind the Meter</t>
        </is>
      </c>
      <c r="I75" t="inlineStr">
        <is>
          <t>BANC</t>
        </is>
      </c>
      <c r="J75" t="n">
        <v>5610.6</v>
      </c>
      <c r="K75" t="n">
        <v>23147</v>
      </c>
      <c r="L75" t="n">
        <v>3348</v>
      </c>
      <c r="M75" t="inlineStr">
        <is>
          <t>.</t>
        </is>
      </c>
      <c r="N75" t="inlineStr">
        <is>
          <t>.</t>
        </is>
      </c>
      <c r="O75" t="inlineStr">
        <is>
          <t>.</t>
        </is>
      </c>
      <c r="P75" t="inlineStr">
        <is>
          <t>.</t>
        </is>
      </c>
      <c r="Q75" t="inlineStr">
        <is>
          <t>.</t>
        </is>
      </c>
      <c r="R75" t="inlineStr">
        <is>
          <t>.</t>
        </is>
      </c>
      <c r="S75" t="inlineStr">
        <is>
          <t>.</t>
        </is>
      </c>
      <c r="T75" t="inlineStr">
        <is>
          <t>.</t>
        </is>
      </c>
      <c r="U75" t="inlineStr">
        <is>
          <t>.</t>
        </is>
      </c>
      <c r="V75" t="n">
        <v>5610.6</v>
      </c>
      <c r="W75" t="n">
        <v>23147</v>
      </c>
      <c r="X75" t="n">
        <v>3348</v>
      </c>
      <c r="Y75">
        <f>IF(ISNUMBER($W75),$W75,0)</f>
        <v/>
      </c>
      <c r="Z75">
        <f>IF(ISNUMBER(SEARCH("Adjustment",$C75)),"excluded",IF($H75="Behind the Meter","excluded",IF(NOT(OR($E75="Bundled",$E75="Energy")),"excluded",IF(OR($H75="Retail Power Marketer",$H75="Community Choice Aggregator",$E75="Energy"),"procurement",IF(OR($H75="Municipal",$H75="Cooperative",$H75="Federal",$H75="State",$H75="Political Subdivision"),"cost_service",IF($H75="Investor Owned",IF(AND(COUNTIF(Parameters!$A$4:$A$33,$G75)&gt;0,COUNTIF(Parameters!$B$4:$B$33,$B75)=0),"procurement","cost_service"),"unclassified"))))))</f>
        <v/>
      </c>
    </row>
    <row r="76">
      <c r="A76" t="n">
        <v>2024</v>
      </c>
      <c r="B76" t="n">
        <v>59622</v>
      </c>
      <c r="C76" t="inlineStr">
        <is>
          <t>Ahana Renewables, LLC</t>
        </is>
      </c>
      <c r="D76" t="inlineStr">
        <is>
          <t>A</t>
        </is>
      </c>
      <c r="E76" t="inlineStr">
        <is>
          <t>Bundled</t>
        </is>
      </c>
      <c r="F76" t="inlineStr">
        <is>
          <t>O</t>
        </is>
      </c>
      <c r="G76" t="inlineStr">
        <is>
          <t>CA</t>
        </is>
      </c>
      <c r="H76" t="inlineStr">
        <is>
          <t>Behind the Meter</t>
        </is>
      </c>
      <c r="I76" t="inlineStr">
        <is>
          <t>CISO</t>
        </is>
      </c>
      <c r="J76" t="n">
        <v>0</v>
      </c>
      <c r="K76" t="n">
        <v>0</v>
      </c>
      <c r="L76" t="n">
        <v>0</v>
      </c>
      <c r="M76" t="n">
        <v>1523.8</v>
      </c>
      <c r="N76" t="n">
        <v>6223</v>
      </c>
      <c r="O76" t="n">
        <v>16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1523.8</v>
      </c>
      <c r="W76" t="n">
        <v>6223</v>
      </c>
      <c r="X76" t="n">
        <v>16</v>
      </c>
      <c r="Y76">
        <f>IF(ISNUMBER($W76),$W76,0)</f>
        <v/>
      </c>
      <c r="Z76">
        <f>IF(ISNUMBER(SEARCH("Adjustment",$C76)),"excluded",IF($H76="Behind the Meter","excluded",IF(NOT(OR($E76="Bundled",$E76="Energy")),"excluded",IF(OR($H76="Retail Power Marketer",$H76="Community Choice Aggregator",$E76="Energy"),"procurement",IF(OR($H76="Municipal",$H76="Cooperative",$H76="Federal",$H76="State",$H76="Political Subdivision"),"cost_service",IF($H76="Investor Owned",IF(AND(COUNTIF(Parameters!$A$4:$A$33,$G76)&gt;0,COUNTIF(Parameters!$B$4:$B$33,$B76)=0),"procurement","cost_service"),"unclassified"))))))</f>
        <v/>
      </c>
    </row>
    <row r="77">
      <c r="A77" t="n">
        <v>2024</v>
      </c>
      <c r="B77" t="n">
        <v>59625</v>
      </c>
      <c r="C77" t="inlineStr">
        <is>
          <t>Lancaster Choice Energy</t>
        </is>
      </c>
      <c r="D77" t="inlineStr">
        <is>
          <t>B</t>
        </is>
      </c>
      <c r="E77" t="inlineStr">
        <is>
          <t>Energy</t>
        </is>
      </c>
      <c r="F77" t="inlineStr">
        <is>
          <t>O</t>
        </is>
      </c>
      <c r="G77" t="inlineStr">
        <is>
          <t>CA</t>
        </is>
      </c>
      <c r="H77" t="inlineStr">
        <is>
          <t>Community Choice Aggregator</t>
        </is>
      </c>
      <c r="I77" t="inlineStr">
        <is>
          <t>CISO</t>
        </is>
      </c>
      <c r="J77" t="n">
        <v>51127</v>
      </c>
      <c r="K77" t="n">
        <v>323422</v>
      </c>
      <c r="L77" t="n">
        <v>46856</v>
      </c>
      <c r="M77" t="n">
        <v>24447</v>
      </c>
      <c r="N77" t="n">
        <v>187198</v>
      </c>
      <c r="O77" t="n">
        <v>5625</v>
      </c>
      <c r="P77" t="n">
        <v>8211</v>
      </c>
      <c r="Q77" t="n">
        <v>69803</v>
      </c>
      <c r="R77" t="n">
        <v>99</v>
      </c>
      <c r="S77" t="n">
        <v>0</v>
      </c>
      <c r="T77" t="n">
        <v>0</v>
      </c>
      <c r="U77" t="n">
        <v>0</v>
      </c>
      <c r="V77" t="n">
        <v>83785</v>
      </c>
      <c r="W77" t="n">
        <v>580423</v>
      </c>
      <c r="X77" t="n">
        <v>52580</v>
      </c>
      <c r="Y77">
        <f>IF(ISNUMBER($W77),$W77,0)</f>
        <v/>
      </c>
      <c r="Z77">
        <f>IF(ISNUMBER(SEARCH("Adjustment",$C77)),"excluded",IF($H77="Behind the Meter","excluded",IF(NOT(OR($E77="Bundled",$E77="Energy")),"excluded",IF(OR($H77="Retail Power Marketer",$H77="Community Choice Aggregator",$E77="Energy"),"procurement",IF(OR($H77="Municipal",$H77="Cooperative",$H77="Federal",$H77="State",$H77="Political Subdivision"),"cost_service",IF($H77="Investor Owned",IF(AND(COUNTIF(Parameters!$A$4:$A$33,$G77)&gt;0,COUNTIF(Parameters!$B$4:$B$33,$B77)=0),"procurement","cost_service"),"unclassified"))))))</f>
        <v/>
      </c>
    </row>
    <row r="78">
      <c r="A78" t="n">
        <v>2024</v>
      </c>
      <c r="B78" t="n">
        <v>59647</v>
      </c>
      <c r="C78" t="inlineStr">
        <is>
          <t>Sunrun Inc.</t>
        </is>
      </c>
      <c r="D78" t="inlineStr">
        <is>
          <t>A</t>
        </is>
      </c>
      <c r="E78" t="inlineStr">
        <is>
          <t>Bundled</t>
        </is>
      </c>
      <c r="F78" t="inlineStr">
        <is>
          <t>O</t>
        </is>
      </c>
      <c r="G78" t="inlineStr">
        <is>
          <t>CA</t>
        </is>
      </c>
      <c r="H78" t="inlineStr">
        <is>
          <t>Behind the Meter</t>
        </is>
      </c>
      <c r="I78" t="inlineStr">
        <is>
          <t>CISO</t>
        </is>
      </c>
      <c r="J78" t="n">
        <v>649748.6</v>
      </c>
      <c r="K78" t="n">
        <v>2476243</v>
      </c>
      <c r="L78" t="n">
        <v>309658</v>
      </c>
      <c r="M78" t="inlineStr">
        <is>
          <t>.</t>
        </is>
      </c>
      <c r="N78" t="inlineStr">
        <is>
          <t>.</t>
        </is>
      </c>
      <c r="O78" t="inlineStr">
        <is>
          <t>.</t>
        </is>
      </c>
      <c r="P78" t="inlineStr">
        <is>
          <t>.</t>
        </is>
      </c>
      <c r="Q78" t="inlineStr">
        <is>
          <t>.</t>
        </is>
      </c>
      <c r="R78" t="inlineStr">
        <is>
          <t>.</t>
        </is>
      </c>
      <c r="S78" t="inlineStr">
        <is>
          <t>.</t>
        </is>
      </c>
      <c r="T78" t="inlineStr">
        <is>
          <t>.</t>
        </is>
      </c>
      <c r="U78" t="inlineStr">
        <is>
          <t>.</t>
        </is>
      </c>
      <c r="V78" t="n">
        <v>649748.6</v>
      </c>
      <c r="W78" t="n">
        <v>2476243</v>
      </c>
      <c r="X78" t="n">
        <v>309658</v>
      </c>
      <c r="Y78">
        <f>IF(ISNUMBER($W78),$W78,0)</f>
        <v/>
      </c>
      <c r="Z78">
        <f>IF(ISNUMBER(SEARCH("Adjustment",$C78)),"excluded",IF($H78="Behind the Meter","excluded",IF(NOT(OR($E78="Bundled",$E78="Energy")),"excluded",IF(OR($H78="Retail Power Marketer",$H78="Community Choice Aggregator",$E78="Energy"),"procurement",IF(OR($H78="Municipal",$H78="Cooperative",$H78="Federal",$H78="State",$H78="Political Subdivision"),"cost_service",IF($H78="Investor Owned",IF(AND(COUNTIF(Parameters!$A$4:$A$33,$G78)&gt;0,COUNTIF(Parameters!$B$4:$B$33,$B78)=0),"procurement","cost_service"),"unclassified"))))))</f>
        <v/>
      </c>
    </row>
    <row r="79">
      <c r="A79" t="n">
        <v>2024</v>
      </c>
      <c r="B79" t="n">
        <v>59647</v>
      </c>
      <c r="C79" t="inlineStr">
        <is>
          <t>Sunrun Inc.</t>
        </is>
      </c>
      <c r="D79" t="inlineStr">
        <is>
          <t>A</t>
        </is>
      </c>
      <c r="E79" t="inlineStr">
        <is>
          <t>Bundled</t>
        </is>
      </c>
      <c r="F79" t="inlineStr">
        <is>
          <t>O</t>
        </is>
      </c>
      <c r="G79" t="inlineStr">
        <is>
          <t>CA</t>
        </is>
      </c>
      <c r="H79" t="inlineStr">
        <is>
          <t>Behind the Meter</t>
        </is>
      </c>
      <c r="I79" t="inlineStr">
        <is>
          <t>IID</t>
        </is>
      </c>
      <c r="J79" t="n">
        <v>1048.4</v>
      </c>
      <c r="K79" t="n">
        <v>8746</v>
      </c>
      <c r="L79" t="n">
        <v>1014</v>
      </c>
      <c r="M79" t="inlineStr">
        <is>
          <t>.</t>
        </is>
      </c>
      <c r="N79" t="inlineStr">
        <is>
          <t>.</t>
        </is>
      </c>
      <c r="O79" t="inlineStr">
        <is>
          <t>.</t>
        </is>
      </c>
      <c r="P79" t="inlineStr">
        <is>
          <t>.</t>
        </is>
      </c>
      <c r="Q79" t="inlineStr">
        <is>
          <t>.</t>
        </is>
      </c>
      <c r="R79" t="inlineStr">
        <is>
          <t>.</t>
        </is>
      </c>
      <c r="S79" t="inlineStr">
        <is>
          <t>.</t>
        </is>
      </c>
      <c r="T79" t="inlineStr">
        <is>
          <t>.</t>
        </is>
      </c>
      <c r="U79" t="inlineStr">
        <is>
          <t>.</t>
        </is>
      </c>
      <c r="V79" t="n">
        <v>1048.4</v>
      </c>
      <c r="W79" t="n">
        <v>8746</v>
      </c>
      <c r="X79" t="n">
        <v>1014</v>
      </c>
      <c r="Y79">
        <f>IF(ISNUMBER($W79),$W79,0)</f>
        <v/>
      </c>
      <c r="Z79">
        <f>IF(ISNUMBER(SEARCH("Adjustment",$C79)),"excluded",IF($H79="Behind the Meter","excluded",IF(NOT(OR($E79="Bundled",$E79="Energy")),"excluded",IF(OR($H79="Retail Power Marketer",$H79="Community Choice Aggregator",$E79="Energy"),"procurement",IF(OR($H79="Municipal",$H79="Cooperative",$H79="Federal",$H79="State",$H79="Political Subdivision"),"cost_service",IF($H79="Investor Owned",IF(AND(COUNTIF(Parameters!$A$4:$A$33,$G79)&gt;0,COUNTIF(Parameters!$B$4:$B$33,$B79)=0),"procurement","cost_service"),"unclassified"))))))</f>
        <v/>
      </c>
    </row>
    <row r="80">
      <c r="A80" t="n">
        <v>2024</v>
      </c>
      <c r="B80" t="n">
        <v>59647</v>
      </c>
      <c r="C80" t="inlineStr">
        <is>
          <t>Sunrun Inc.</t>
        </is>
      </c>
      <c r="D80" t="inlineStr">
        <is>
          <t>A</t>
        </is>
      </c>
      <c r="E80" t="inlineStr">
        <is>
          <t>Bundled</t>
        </is>
      </c>
      <c r="F80" t="inlineStr">
        <is>
          <t>O</t>
        </is>
      </c>
      <c r="G80" t="inlineStr">
        <is>
          <t>CA</t>
        </is>
      </c>
      <c r="H80" t="inlineStr">
        <is>
          <t>Behind the Meter</t>
        </is>
      </c>
      <c r="I80" t="inlineStr">
        <is>
          <t>LDWP</t>
        </is>
      </c>
      <c r="J80" t="n">
        <v>11949.7</v>
      </c>
      <c r="K80" t="n">
        <v>49617</v>
      </c>
      <c r="L80" t="n">
        <v>6071</v>
      </c>
      <c r="M80" t="inlineStr">
        <is>
          <t>.</t>
        </is>
      </c>
      <c r="N80" t="inlineStr">
        <is>
          <t>.</t>
        </is>
      </c>
      <c r="O80" t="inlineStr">
        <is>
          <t>.</t>
        </is>
      </c>
      <c r="P80" t="inlineStr">
        <is>
          <t>.</t>
        </is>
      </c>
      <c r="Q80" t="inlineStr">
        <is>
          <t>.</t>
        </is>
      </c>
      <c r="R80" t="inlineStr">
        <is>
          <t>.</t>
        </is>
      </c>
      <c r="S80" t="inlineStr">
        <is>
          <t>.</t>
        </is>
      </c>
      <c r="T80" t="inlineStr">
        <is>
          <t>.</t>
        </is>
      </c>
      <c r="U80" t="inlineStr">
        <is>
          <t>.</t>
        </is>
      </c>
      <c r="V80" t="n">
        <v>11949.7</v>
      </c>
      <c r="W80" t="n">
        <v>49617</v>
      </c>
      <c r="X80" t="n">
        <v>6071</v>
      </c>
      <c r="Y80">
        <f>IF(ISNUMBER($W80),$W80,0)</f>
        <v/>
      </c>
      <c r="Z80">
        <f>IF(ISNUMBER(SEARCH("Adjustment",$C80)),"excluded",IF($H80="Behind the Meter","excluded",IF(NOT(OR($E80="Bundled",$E80="Energy")),"excluded",IF(OR($H80="Retail Power Marketer",$H80="Community Choice Aggregator",$E80="Energy"),"procurement",IF(OR($H80="Municipal",$H80="Cooperative",$H80="Federal",$H80="State",$H80="Political Subdivision"),"cost_service",IF($H80="Investor Owned",IF(AND(COUNTIF(Parameters!$A$4:$A$33,$G80)&gt;0,COUNTIF(Parameters!$B$4:$B$33,$B80)=0),"procurement","cost_service"),"unclassified"))))))</f>
        <v/>
      </c>
    </row>
    <row r="81">
      <c r="A81" t="n">
        <v>2024</v>
      </c>
      <c r="B81" t="n">
        <v>59647</v>
      </c>
      <c r="C81" t="inlineStr">
        <is>
          <t>Sunrun Inc.</t>
        </is>
      </c>
      <c r="D81" t="inlineStr">
        <is>
          <t>A</t>
        </is>
      </c>
      <c r="E81" t="inlineStr">
        <is>
          <t>Bundled</t>
        </is>
      </c>
      <c r="F81" t="inlineStr">
        <is>
          <t>O</t>
        </is>
      </c>
      <c r="G81" t="inlineStr">
        <is>
          <t>CA</t>
        </is>
      </c>
      <c r="H81" t="inlineStr">
        <is>
          <t>Behind the Meter</t>
        </is>
      </c>
      <c r="I81" t="inlineStr">
        <is>
          <t>TIDC</t>
        </is>
      </c>
      <c r="J81" t="n">
        <v>141.7</v>
      </c>
      <c r="K81" t="n">
        <v>710</v>
      </c>
      <c r="L81" t="n">
        <v>103</v>
      </c>
      <c r="M81" t="inlineStr">
        <is>
          <t>.</t>
        </is>
      </c>
      <c r="N81" t="inlineStr">
        <is>
          <t>.</t>
        </is>
      </c>
      <c r="O81" t="inlineStr">
        <is>
          <t>.</t>
        </is>
      </c>
      <c r="P81" t="inlineStr">
        <is>
          <t>.</t>
        </is>
      </c>
      <c r="Q81" t="inlineStr">
        <is>
          <t>.</t>
        </is>
      </c>
      <c r="R81" t="inlineStr">
        <is>
          <t>.</t>
        </is>
      </c>
      <c r="S81" t="inlineStr">
        <is>
          <t>.</t>
        </is>
      </c>
      <c r="T81" t="inlineStr">
        <is>
          <t>.</t>
        </is>
      </c>
      <c r="U81" t="inlineStr">
        <is>
          <t>.</t>
        </is>
      </c>
      <c r="V81" t="n">
        <v>141.7</v>
      </c>
      <c r="W81" t="n">
        <v>710</v>
      </c>
      <c r="X81" t="n">
        <v>103</v>
      </c>
      <c r="Y81">
        <f>IF(ISNUMBER($W81),$W81,0)</f>
        <v/>
      </c>
      <c r="Z81">
        <f>IF(ISNUMBER(SEARCH("Adjustment",$C81)),"excluded",IF($H81="Behind the Meter","excluded",IF(NOT(OR($E81="Bundled",$E81="Energy")),"excluded",IF(OR($H81="Retail Power Marketer",$H81="Community Choice Aggregator",$E81="Energy"),"procurement",IF(OR($H81="Municipal",$H81="Cooperative",$H81="Federal",$H81="State",$H81="Political Subdivision"),"cost_service",IF($H81="Investor Owned",IF(AND(COUNTIF(Parameters!$A$4:$A$33,$G81)&gt;0,COUNTIF(Parameters!$B$4:$B$33,$B81)=0),"procurement","cost_service"),"unclassified"))))))</f>
        <v/>
      </c>
    </row>
    <row r="82">
      <c r="A82" t="n">
        <v>2024</v>
      </c>
      <c r="B82" t="n">
        <v>59647</v>
      </c>
      <c r="C82" t="inlineStr">
        <is>
          <t>Sunrun Inc.</t>
        </is>
      </c>
      <c r="D82" t="inlineStr">
        <is>
          <t>A</t>
        </is>
      </c>
      <c r="E82" t="inlineStr">
        <is>
          <t>Bundled</t>
        </is>
      </c>
      <c r="F82" t="inlineStr">
        <is>
          <t>O</t>
        </is>
      </c>
      <c r="G82" t="inlineStr">
        <is>
          <t>CA</t>
        </is>
      </c>
      <c r="H82" t="inlineStr">
        <is>
          <t>Behind the Meter</t>
        </is>
      </c>
      <c r="I82" t="inlineStr">
        <is>
          <t>BANC</t>
        </is>
      </c>
      <c r="J82" t="n">
        <v>9545.4</v>
      </c>
      <c r="K82" t="n">
        <v>64793</v>
      </c>
      <c r="L82" t="n">
        <v>8740</v>
      </c>
      <c r="M82" t="inlineStr">
        <is>
          <t>.</t>
        </is>
      </c>
      <c r="N82" t="inlineStr">
        <is>
          <t>.</t>
        </is>
      </c>
      <c r="O82" t="inlineStr">
        <is>
          <t>.</t>
        </is>
      </c>
      <c r="P82" t="inlineStr">
        <is>
          <t>.</t>
        </is>
      </c>
      <c r="Q82" t="inlineStr">
        <is>
          <t>.</t>
        </is>
      </c>
      <c r="R82" t="inlineStr">
        <is>
          <t>.</t>
        </is>
      </c>
      <c r="S82" t="inlineStr">
        <is>
          <t>.</t>
        </is>
      </c>
      <c r="T82" t="inlineStr">
        <is>
          <t>.</t>
        </is>
      </c>
      <c r="U82" t="inlineStr">
        <is>
          <t>.</t>
        </is>
      </c>
      <c r="V82" t="n">
        <v>9545.4</v>
      </c>
      <c r="W82" t="n">
        <v>64793</v>
      </c>
      <c r="X82" t="n">
        <v>8740</v>
      </c>
      <c r="Y82">
        <f>IF(ISNUMBER($W82),$W82,0)</f>
        <v/>
      </c>
      <c r="Z82">
        <f>IF(ISNUMBER(SEARCH("Adjustment",$C82)),"excluded",IF($H82="Behind the Meter","excluded",IF(NOT(OR($E82="Bundled",$E82="Energy")),"excluded",IF(OR($H82="Retail Power Marketer",$H82="Community Choice Aggregator",$E82="Energy"),"procurement",IF(OR($H82="Municipal",$H82="Cooperative",$H82="Federal",$H82="State",$H82="Political Subdivision"),"cost_service",IF($H82="Investor Owned",IF(AND(COUNTIF(Parameters!$A$4:$A$33,$G82)&gt;0,COUNTIF(Parameters!$B$4:$B$33,$B82)=0),"procurement","cost_service"),"unclassified"))))))</f>
        <v/>
      </c>
    </row>
    <row r="83">
      <c r="A83" t="n">
        <v>2024</v>
      </c>
      <c r="B83" t="n">
        <v>59943</v>
      </c>
      <c r="C83" t="inlineStr">
        <is>
          <t>Spruce Finance</t>
        </is>
      </c>
      <c r="D83" t="inlineStr">
        <is>
          <t>A</t>
        </is>
      </c>
      <c r="E83" t="inlineStr">
        <is>
          <t>Bundled</t>
        </is>
      </c>
      <c r="F83" t="inlineStr">
        <is>
          <t>O</t>
        </is>
      </c>
      <c r="G83" t="inlineStr">
        <is>
          <t>CA</t>
        </is>
      </c>
      <c r="H83" t="inlineStr">
        <is>
          <t>Behind the Meter</t>
        </is>
      </c>
      <c r="I83" t="inlineStr">
        <is>
          <t>CISO</t>
        </is>
      </c>
      <c r="J83" t="n">
        <v>38701.3</v>
      </c>
      <c r="K83" t="n">
        <v>201778</v>
      </c>
      <c r="L83" t="n">
        <v>25337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38701.3</v>
      </c>
      <c r="W83" t="n">
        <v>201778</v>
      </c>
      <c r="X83" t="n">
        <v>25337</v>
      </c>
      <c r="Y83">
        <f>IF(ISNUMBER($W83),$W83,0)</f>
        <v/>
      </c>
      <c r="Z83">
        <f>IF(ISNUMBER(SEARCH("Adjustment",$C83)),"excluded",IF($H83="Behind the Meter","excluded",IF(NOT(OR($E83="Bundled",$E83="Energy")),"excluded",IF(OR($H83="Retail Power Marketer",$H83="Community Choice Aggregator",$E83="Energy"),"procurement",IF(OR($H83="Municipal",$H83="Cooperative",$H83="Federal",$H83="State",$H83="Political Subdivision"),"cost_service",IF($H83="Investor Owned",IF(AND(COUNTIF(Parameters!$A$4:$A$33,$G83)&gt;0,COUNTIF(Parameters!$B$4:$B$33,$B83)=0),"procurement","cost_service"),"unclassified"))))))</f>
        <v/>
      </c>
    </row>
    <row r="84">
      <c r="A84" t="n">
        <v>2024</v>
      </c>
      <c r="B84" t="n">
        <v>59972</v>
      </c>
      <c r="C84" t="inlineStr">
        <is>
          <t>The Regents of the Univ. of California</t>
        </is>
      </c>
      <c r="D84" t="inlineStr">
        <is>
          <t>B</t>
        </is>
      </c>
      <c r="E84" t="inlineStr">
        <is>
          <t>Energy</t>
        </is>
      </c>
      <c r="F84" t="inlineStr">
        <is>
          <t>O</t>
        </is>
      </c>
      <c r="G84" t="inlineStr">
        <is>
          <t>CA</t>
        </is>
      </c>
      <c r="H84" t="inlineStr">
        <is>
          <t>Retail Power Marketer</t>
        </is>
      </c>
      <c r="I84" t="inlineStr">
        <is>
          <t>CISO</t>
        </is>
      </c>
      <c r="J84" t="n">
        <v>0</v>
      </c>
      <c r="K84" t="n">
        <v>0</v>
      </c>
      <c r="L84" t="n">
        <v>0</v>
      </c>
      <c r="M84" t="n">
        <v>65200.2</v>
      </c>
      <c r="N84" t="n">
        <v>594231</v>
      </c>
      <c r="O84" t="n">
        <v>768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65200.2</v>
      </c>
      <c r="W84" t="n">
        <v>594231</v>
      </c>
      <c r="X84" t="n">
        <v>768</v>
      </c>
      <c r="Y84">
        <f>IF(ISNUMBER($W84),$W84,0)</f>
        <v/>
      </c>
      <c r="Z84">
        <f>IF(ISNUMBER(SEARCH("Adjustment",$C84)),"excluded",IF($H84="Behind the Meter","excluded",IF(NOT(OR($E84="Bundled",$E84="Energy")),"excluded",IF(OR($H84="Retail Power Marketer",$H84="Community Choice Aggregator",$E84="Energy"),"procurement",IF(OR($H84="Municipal",$H84="Cooperative",$H84="Federal",$H84="State",$H84="Political Subdivision"),"cost_service",IF($H84="Investor Owned",IF(AND(COUNTIF(Parameters!$A$4:$A$33,$G84)&gt;0,COUNTIF(Parameters!$B$4:$B$33,$B84)=0),"procurement","cost_service"),"unclassified"))))))</f>
        <v/>
      </c>
    </row>
    <row r="85">
      <c r="A85" t="n">
        <v>2024</v>
      </c>
      <c r="B85" t="n">
        <v>60025</v>
      </c>
      <c r="C85" t="inlineStr">
        <is>
          <t>Greenbacker Renewable Energy Corporation</t>
        </is>
      </c>
      <c r="D85" t="inlineStr">
        <is>
          <t>A</t>
        </is>
      </c>
      <c r="E85" t="inlineStr">
        <is>
          <t>Bundled</t>
        </is>
      </c>
      <c r="F85" t="inlineStr">
        <is>
          <t>O</t>
        </is>
      </c>
      <c r="G85" t="inlineStr">
        <is>
          <t>CA</t>
        </is>
      </c>
      <c r="H85" t="inlineStr">
        <is>
          <t>Behind the Meter</t>
        </is>
      </c>
      <c r="I85" t="inlineStr">
        <is>
          <t>CISO</t>
        </is>
      </c>
      <c r="J85" t="n">
        <v>0</v>
      </c>
      <c r="K85" t="n">
        <v>0</v>
      </c>
      <c r="L85" t="n">
        <v>0</v>
      </c>
      <c r="M85" t="n">
        <v>1158</v>
      </c>
      <c r="N85" t="n">
        <v>15071</v>
      </c>
      <c r="O85" t="n">
        <v>16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1158</v>
      </c>
      <c r="W85" t="n">
        <v>15071</v>
      </c>
      <c r="X85" t="n">
        <v>16</v>
      </c>
      <c r="Y85">
        <f>IF(ISNUMBER($W85),$W85,0)</f>
        <v/>
      </c>
      <c r="Z85">
        <f>IF(ISNUMBER(SEARCH("Adjustment",$C85)),"excluded",IF($H85="Behind the Meter","excluded",IF(NOT(OR($E85="Bundled",$E85="Energy")),"excluded",IF(OR($H85="Retail Power Marketer",$H85="Community Choice Aggregator",$E85="Energy"),"procurement",IF(OR($H85="Municipal",$H85="Cooperative",$H85="Federal",$H85="State",$H85="Political Subdivision"),"cost_service",IF($H85="Investor Owned",IF(AND(COUNTIF(Parameters!$A$4:$A$33,$G85)&gt;0,COUNTIF(Parameters!$B$4:$B$33,$B85)=0),"procurement","cost_service"),"unclassified"))))))</f>
        <v/>
      </c>
    </row>
    <row r="86">
      <c r="A86" t="n">
        <v>2024</v>
      </c>
      <c r="B86" t="n">
        <v>60181</v>
      </c>
      <c r="C86" t="inlineStr">
        <is>
          <t>CleanPowerSF</t>
        </is>
      </c>
      <c r="D86" t="inlineStr">
        <is>
          <t>B</t>
        </is>
      </c>
      <c r="E86" t="inlineStr">
        <is>
          <t>Energy</t>
        </is>
      </c>
      <c r="F86" t="inlineStr">
        <is>
          <t>O</t>
        </is>
      </c>
      <c r="G86" t="inlineStr">
        <is>
          <t>CA</t>
        </is>
      </c>
      <c r="H86" t="inlineStr">
        <is>
          <t>Community Choice Aggregator</t>
        </is>
      </c>
      <c r="I86" t="inlineStr">
        <is>
          <t>CISO</t>
        </is>
      </c>
      <c r="J86" t="n">
        <v>166312.7</v>
      </c>
      <c r="K86" t="n">
        <v>1155703</v>
      </c>
      <c r="L86" t="n">
        <v>353982</v>
      </c>
      <c r="M86" t="n">
        <v>157667.4</v>
      </c>
      <c r="N86" t="n">
        <v>1336088</v>
      </c>
      <c r="O86" t="n">
        <v>30169</v>
      </c>
      <c r="P86" t="n">
        <v>31482.7</v>
      </c>
      <c r="Q86" t="n">
        <v>353154</v>
      </c>
      <c r="R86" t="n">
        <v>43</v>
      </c>
      <c r="S86" t="n">
        <v>0</v>
      </c>
      <c r="T86" t="n">
        <v>0</v>
      </c>
      <c r="U86" t="n">
        <v>0</v>
      </c>
      <c r="V86" t="n">
        <v>355462.8</v>
      </c>
      <c r="W86" t="n">
        <v>2844945</v>
      </c>
      <c r="X86" t="n">
        <v>384194</v>
      </c>
      <c r="Y86">
        <f>IF(ISNUMBER($W86),$W86,0)</f>
        <v/>
      </c>
      <c r="Z86">
        <f>IF(ISNUMBER(SEARCH("Adjustment",$C86)),"excluded",IF($H86="Behind the Meter","excluded",IF(NOT(OR($E86="Bundled",$E86="Energy")),"excluded",IF(OR($H86="Retail Power Marketer",$H86="Community Choice Aggregator",$E86="Energy"),"procurement",IF(OR($H86="Municipal",$H86="Cooperative",$H86="Federal",$H86="State",$H86="Political Subdivision"),"cost_service",IF($H86="Investor Owned",IF(AND(COUNTIF(Parameters!$A$4:$A$33,$G86)&gt;0,COUNTIF(Parameters!$B$4:$B$33,$B86)=0),"procurement","cost_service"),"unclassified"))))))</f>
        <v/>
      </c>
    </row>
    <row r="87">
      <c r="A87" t="n">
        <v>2024</v>
      </c>
      <c r="B87" t="n">
        <v>60402</v>
      </c>
      <c r="C87" t="inlineStr">
        <is>
          <t>Peninsula Clean Energy Authority</t>
        </is>
      </c>
      <c r="D87" t="inlineStr">
        <is>
          <t>B</t>
        </is>
      </c>
      <c r="E87" t="inlineStr">
        <is>
          <t>Energy</t>
        </is>
      </c>
      <c r="F87" t="inlineStr">
        <is>
          <t>O</t>
        </is>
      </c>
      <c r="G87" t="inlineStr">
        <is>
          <t>CA</t>
        </is>
      </c>
      <c r="H87" t="inlineStr">
        <is>
          <t>Community Choice Aggregator</t>
        </is>
      </c>
      <c r="I87" t="inlineStr">
        <is>
          <t>CISO</t>
        </is>
      </c>
      <c r="J87" t="n">
        <v>189050.3</v>
      </c>
      <c r="K87" t="n">
        <v>1392192</v>
      </c>
      <c r="L87" t="n">
        <v>282893</v>
      </c>
      <c r="M87" t="n">
        <v>235123.9</v>
      </c>
      <c r="N87" t="n">
        <v>1750084</v>
      </c>
      <c r="O87" t="n">
        <v>28444</v>
      </c>
      <c r="P87" t="n">
        <v>32513.4</v>
      </c>
      <c r="Q87" t="n">
        <v>267381</v>
      </c>
      <c r="R87" t="n">
        <v>303</v>
      </c>
      <c r="S87" t="n">
        <v>0</v>
      </c>
      <c r="T87" t="n">
        <v>0</v>
      </c>
      <c r="U87" t="n">
        <v>0</v>
      </c>
      <c r="V87" t="n">
        <v>456687.6</v>
      </c>
      <c r="W87" t="n">
        <v>3409657</v>
      </c>
      <c r="X87" t="n">
        <v>311640</v>
      </c>
      <c r="Y87">
        <f>IF(ISNUMBER($W87),$W87,0)</f>
        <v/>
      </c>
      <c r="Z87">
        <f>IF(ISNUMBER(SEARCH("Adjustment",$C87)),"excluded",IF($H87="Behind the Meter","excluded",IF(NOT(OR($E87="Bundled",$E87="Energy")),"excluded",IF(OR($H87="Retail Power Marketer",$H87="Community Choice Aggregator",$E87="Energy"),"procurement",IF(OR($H87="Municipal",$H87="Cooperative",$H87="Federal",$H87="State",$H87="Political Subdivision"),"cost_service",IF($H87="Investor Owned",IF(AND(COUNTIF(Parameters!$A$4:$A$33,$G87)&gt;0,COUNTIF(Parameters!$B$4:$B$33,$B87)=0),"procurement","cost_service"),"unclassified"))))))</f>
        <v/>
      </c>
    </row>
    <row r="88">
      <c r="A88" t="n">
        <v>2024</v>
      </c>
      <c r="B88" t="n">
        <v>60758</v>
      </c>
      <c r="C88" t="inlineStr">
        <is>
          <t>Apple Valley Choice Energy</t>
        </is>
      </c>
      <c r="D88" t="inlineStr">
        <is>
          <t>B</t>
        </is>
      </c>
      <c r="E88" t="inlineStr">
        <is>
          <t>Energy</t>
        </is>
      </c>
      <c r="F88" t="inlineStr">
        <is>
          <t>O</t>
        </is>
      </c>
      <c r="G88" t="inlineStr">
        <is>
          <t>CA</t>
        </is>
      </c>
      <c r="H88" t="inlineStr">
        <is>
          <t>Community Choice Aggregator</t>
        </is>
      </c>
      <c r="I88" t="inlineStr">
        <is>
          <t>CISO</t>
        </is>
      </c>
      <c r="J88" t="n">
        <v>24604</v>
      </c>
      <c r="K88" t="n">
        <v>149109</v>
      </c>
      <c r="L88" t="n">
        <v>22941</v>
      </c>
      <c r="M88" t="n">
        <v>8243</v>
      </c>
      <c r="N88" t="n">
        <v>61714</v>
      </c>
      <c r="O88" t="n">
        <v>2313</v>
      </c>
      <c r="P88" t="n">
        <v>1757</v>
      </c>
      <c r="Q88" t="n">
        <v>15213</v>
      </c>
      <c r="R88" t="n">
        <v>72</v>
      </c>
      <c r="S88" t="n">
        <v>0</v>
      </c>
      <c r="T88" t="n">
        <v>0</v>
      </c>
      <c r="U88" t="n">
        <v>0</v>
      </c>
      <c r="V88" t="n">
        <v>34604</v>
      </c>
      <c r="W88" t="n">
        <v>226036</v>
      </c>
      <c r="X88" t="n">
        <v>25326</v>
      </c>
      <c r="Y88">
        <f>IF(ISNUMBER($W88),$W88,0)</f>
        <v/>
      </c>
      <c r="Z88">
        <f>IF(ISNUMBER(SEARCH("Adjustment",$C88)),"excluded",IF($H88="Behind the Meter","excluded",IF(NOT(OR($E88="Bundled",$E88="Energy")),"excluded",IF(OR($H88="Retail Power Marketer",$H88="Community Choice Aggregator",$E88="Energy"),"procurement",IF(OR($H88="Municipal",$H88="Cooperative",$H88="Federal",$H88="State",$H88="Political Subdivision"),"cost_service",IF($H88="Investor Owned",IF(AND(COUNTIF(Parameters!$A$4:$A$33,$G88)&gt;0,COUNTIF(Parameters!$B$4:$B$33,$B88)=0),"procurement","cost_service"),"unclassified"))))))</f>
        <v/>
      </c>
    </row>
    <row r="89">
      <c r="A89" t="n">
        <v>2024</v>
      </c>
      <c r="B89" t="n">
        <v>60759</v>
      </c>
      <c r="C89" t="inlineStr">
        <is>
          <t>Silicon Valley Clean Energy Authority</t>
        </is>
      </c>
      <c r="D89" t="inlineStr">
        <is>
          <t>B</t>
        </is>
      </c>
      <c r="E89" t="inlineStr">
        <is>
          <t>Energy</t>
        </is>
      </c>
      <c r="F89" t="inlineStr">
        <is>
          <t>O</t>
        </is>
      </c>
      <c r="G89" t="inlineStr">
        <is>
          <t>CA</t>
        </is>
      </c>
      <c r="H89" t="inlineStr">
        <is>
          <t>Community Choice Aggregator</t>
        </is>
      </c>
      <c r="I89" t="inlineStr">
        <is>
          <t>CISO</t>
        </is>
      </c>
      <c r="J89" t="n">
        <v>190728.3</v>
      </c>
      <c r="K89" t="n">
        <v>1324868</v>
      </c>
      <c r="L89" t="n">
        <v>249951</v>
      </c>
      <c r="M89" t="n">
        <v>264947.6</v>
      </c>
      <c r="N89" t="n">
        <v>1944042</v>
      </c>
      <c r="O89" t="n">
        <v>25879</v>
      </c>
      <c r="P89" t="n">
        <v>87121.3</v>
      </c>
      <c r="Q89" t="n">
        <v>715955</v>
      </c>
      <c r="R89" t="n">
        <v>865</v>
      </c>
      <c r="S89" t="n">
        <v>0</v>
      </c>
      <c r="T89" t="n">
        <v>0</v>
      </c>
      <c r="U89" t="n">
        <v>0</v>
      </c>
      <c r="V89" t="n">
        <v>542797.2</v>
      </c>
      <c r="W89" t="n">
        <v>3984865</v>
      </c>
      <c r="X89" t="n">
        <v>276695</v>
      </c>
      <c r="Y89">
        <f>IF(ISNUMBER($W89),$W89,0)</f>
        <v/>
      </c>
      <c r="Z89">
        <f>IF(ISNUMBER(SEARCH("Adjustment",$C89)),"excluded",IF($H89="Behind the Meter","excluded",IF(NOT(OR($E89="Bundled",$E89="Energy")),"excluded",IF(OR($H89="Retail Power Marketer",$H89="Community Choice Aggregator",$E89="Energy"),"procurement",IF(OR($H89="Municipal",$H89="Cooperative",$H89="Federal",$H89="State",$H89="Political Subdivision"),"cost_service",IF($H89="Investor Owned",IF(AND(COUNTIF(Parameters!$A$4:$A$33,$G89)&gt;0,COUNTIF(Parameters!$B$4:$B$33,$B89)=0),"procurement","cost_service"),"unclassified"))))))</f>
        <v/>
      </c>
    </row>
    <row r="90">
      <c r="A90" t="n">
        <v>2024</v>
      </c>
      <c r="B90" t="n">
        <v>60868</v>
      </c>
      <c r="C90" t="inlineStr">
        <is>
          <t>Redwood Coast Energy Authority</t>
        </is>
      </c>
      <c r="D90" t="inlineStr">
        <is>
          <t>B</t>
        </is>
      </c>
      <c r="E90" t="inlineStr">
        <is>
          <t>Energy</t>
        </is>
      </c>
      <c r="F90" t="inlineStr">
        <is>
          <t>O</t>
        </is>
      </c>
      <c r="G90" t="inlineStr">
        <is>
          <t>CA</t>
        </is>
      </c>
      <c r="H90" t="inlineStr">
        <is>
          <t>Community Choice Aggregator</t>
        </is>
      </c>
      <c r="I90" t="inlineStr">
        <is>
          <t>CISO</t>
        </is>
      </c>
      <c r="J90" t="n">
        <v>34656.1</v>
      </c>
      <c r="K90" t="n">
        <v>235696</v>
      </c>
      <c r="L90" t="n">
        <v>51305</v>
      </c>
      <c r="M90" t="n">
        <v>28010.6</v>
      </c>
      <c r="N90" t="n">
        <v>202716</v>
      </c>
      <c r="O90" t="n">
        <v>8654</v>
      </c>
      <c r="P90" t="n">
        <v>11659.5</v>
      </c>
      <c r="Q90" t="n">
        <v>89144</v>
      </c>
      <c r="R90" t="n">
        <v>1759</v>
      </c>
      <c r="S90" t="n">
        <v>0</v>
      </c>
      <c r="T90" t="n">
        <v>0</v>
      </c>
      <c r="U90" t="n">
        <v>0</v>
      </c>
      <c r="V90" t="n">
        <v>74326.2</v>
      </c>
      <c r="W90" t="n">
        <v>527556</v>
      </c>
      <c r="X90" t="n">
        <v>61718</v>
      </c>
      <c r="Y90">
        <f>IF(ISNUMBER($W90),$W90,0)</f>
        <v/>
      </c>
      <c r="Z90">
        <f>IF(ISNUMBER(SEARCH("Adjustment",$C90)),"excluded",IF($H90="Behind the Meter","excluded",IF(NOT(OR($E90="Bundled",$E90="Energy")),"excluded",IF(OR($H90="Retail Power Marketer",$H90="Community Choice Aggregator",$E90="Energy"),"procurement",IF(OR($H90="Municipal",$H90="Cooperative",$H90="Federal",$H90="State",$H90="Political Subdivision"),"cost_service",IF($H90="Investor Owned",IF(AND(COUNTIF(Parameters!$A$4:$A$33,$G90)&gt;0,COUNTIF(Parameters!$B$4:$B$33,$B90)=0),"procurement","cost_service"),"unclassified"))))))</f>
        <v/>
      </c>
    </row>
    <row r="91">
      <c r="A91" t="n">
        <v>2024</v>
      </c>
      <c r="B91" t="n">
        <v>60981</v>
      </c>
      <c r="C91" t="inlineStr">
        <is>
          <t>TerraForm US Energy Services, LLC</t>
        </is>
      </c>
      <c r="D91" t="inlineStr">
        <is>
          <t>A</t>
        </is>
      </c>
      <c r="E91" t="inlineStr">
        <is>
          <t>Bundled</t>
        </is>
      </c>
      <c r="F91" t="inlineStr">
        <is>
          <t>O</t>
        </is>
      </c>
      <c r="G91" t="inlineStr">
        <is>
          <t>CA</t>
        </is>
      </c>
      <c r="H91" t="inlineStr">
        <is>
          <t>Behind the Meter</t>
        </is>
      </c>
      <c r="I91" t="inlineStr">
        <is>
          <t>CISO</t>
        </is>
      </c>
      <c r="J91" t="n">
        <v>0</v>
      </c>
      <c r="K91" t="n">
        <v>0</v>
      </c>
      <c r="L91" t="n">
        <v>0</v>
      </c>
      <c r="M91" t="n">
        <v>5607</v>
      </c>
      <c r="N91" t="n">
        <v>31551</v>
      </c>
      <c r="O91" t="n">
        <v>81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5607</v>
      </c>
      <c r="W91" t="n">
        <v>31551</v>
      </c>
      <c r="X91" t="n">
        <v>81</v>
      </c>
      <c r="Y91">
        <f>IF(ISNUMBER($W91),$W91,0)</f>
        <v/>
      </c>
      <c r="Z91">
        <f>IF(ISNUMBER(SEARCH("Adjustment",$C91)),"excluded",IF($H91="Behind the Meter","excluded",IF(NOT(OR($E91="Bundled",$E91="Energy")),"excluded",IF(OR($H91="Retail Power Marketer",$H91="Community Choice Aggregator",$E91="Energy"),"procurement",IF(OR($H91="Municipal",$H91="Cooperative",$H91="Federal",$H91="State",$H91="Political Subdivision"),"cost_service",IF($H91="Investor Owned",IF(AND(COUNTIF(Parameters!$A$4:$A$33,$G91)&gt;0,COUNTIF(Parameters!$B$4:$B$33,$B91)=0),"procurement","cost_service"),"unclassified"))))))</f>
        <v/>
      </c>
    </row>
    <row r="92">
      <c r="A92" t="n">
        <v>2024</v>
      </c>
      <c r="B92" t="n">
        <v>61083</v>
      </c>
      <c r="C92" t="inlineStr">
        <is>
          <t>Pico Rivera Innovative Municipal Energy</t>
        </is>
      </c>
      <c r="D92" t="inlineStr">
        <is>
          <t>B</t>
        </is>
      </c>
      <c r="E92" t="inlineStr">
        <is>
          <t>Energy</t>
        </is>
      </c>
      <c r="F92" t="inlineStr">
        <is>
          <t>O</t>
        </is>
      </c>
      <c r="G92" t="inlineStr">
        <is>
          <t>CA</t>
        </is>
      </c>
      <c r="H92" t="inlineStr">
        <is>
          <t>Community Choice Aggregator</t>
        </is>
      </c>
      <c r="I92" t="inlineStr">
        <is>
          <t>CISO</t>
        </is>
      </c>
      <c r="J92" t="n">
        <v>13508</v>
      </c>
      <c r="K92" t="n">
        <v>84710</v>
      </c>
      <c r="L92" t="n">
        <v>15000</v>
      </c>
      <c r="M92" t="n">
        <v>11335</v>
      </c>
      <c r="N92" t="n">
        <v>86015</v>
      </c>
      <c r="O92" t="n">
        <v>1743</v>
      </c>
      <c r="P92" t="n">
        <v>3619</v>
      </c>
      <c r="Q92" t="n">
        <v>31419</v>
      </c>
      <c r="R92" t="n">
        <v>33</v>
      </c>
      <c r="S92" t="inlineStr">
        <is>
          <t>.</t>
        </is>
      </c>
      <c r="T92" t="inlineStr">
        <is>
          <t>.</t>
        </is>
      </c>
      <c r="U92" t="inlineStr">
        <is>
          <t>.</t>
        </is>
      </c>
      <c r="V92" t="n">
        <v>28462</v>
      </c>
      <c r="W92" t="n">
        <v>202144</v>
      </c>
      <c r="X92" t="n">
        <v>16776</v>
      </c>
      <c r="Y92">
        <f>IF(ISNUMBER($W92),$W92,0)</f>
        <v/>
      </c>
      <c r="Z92">
        <f>IF(ISNUMBER(SEARCH("Adjustment",$C92)),"excluded",IF($H92="Behind the Meter","excluded",IF(NOT(OR($E92="Bundled",$E92="Energy")),"excluded",IF(OR($H92="Retail Power Marketer",$H92="Community Choice Aggregator",$E92="Energy"),"procurement",IF(OR($H92="Municipal",$H92="Cooperative",$H92="Federal",$H92="State",$H92="Political Subdivision"),"cost_service",IF($H92="Investor Owned",IF(AND(COUNTIF(Parameters!$A$4:$A$33,$G92)&gt;0,COUNTIF(Parameters!$B$4:$B$33,$B92)=0),"procurement","cost_service"),"unclassified"))))))</f>
        <v/>
      </c>
    </row>
    <row r="93">
      <c r="A93" t="n">
        <v>2024</v>
      </c>
      <c r="B93" t="n">
        <v>61431</v>
      </c>
      <c r="C93" t="inlineStr">
        <is>
          <t>Pioneer Community Energy</t>
        </is>
      </c>
      <c r="D93" t="inlineStr">
        <is>
          <t>B</t>
        </is>
      </c>
      <c r="E93" t="inlineStr">
        <is>
          <t>Energy</t>
        </is>
      </c>
      <c r="F93" t="inlineStr">
        <is>
          <t>O</t>
        </is>
      </c>
      <c r="G93" t="inlineStr">
        <is>
          <t>CA</t>
        </is>
      </c>
      <c r="H93" t="inlineStr">
        <is>
          <t>Community Choice Aggregator</t>
        </is>
      </c>
      <c r="I93" t="inlineStr">
        <is>
          <t>CISO</t>
        </is>
      </c>
      <c r="J93" t="n">
        <v>141794</v>
      </c>
      <c r="K93" t="n">
        <v>993284</v>
      </c>
      <c r="L93" t="n">
        <v>144723</v>
      </c>
      <c r="M93" t="n">
        <v>84394</v>
      </c>
      <c r="N93" t="n">
        <v>605984</v>
      </c>
      <c r="O93" t="n">
        <v>20290</v>
      </c>
      <c r="P93" t="n">
        <v>16810</v>
      </c>
      <c r="Q93" t="n">
        <v>137775</v>
      </c>
      <c r="R93" t="n">
        <v>643</v>
      </c>
      <c r="S93" t="n">
        <v>0</v>
      </c>
      <c r="T93" t="n">
        <v>0</v>
      </c>
      <c r="U93" t="n">
        <v>0</v>
      </c>
      <c r="V93" t="n">
        <v>242998</v>
      </c>
      <c r="W93" t="n">
        <v>1737043</v>
      </c>
      <c r="X93" t="n">
        <v>165656</v>
      </c>
      <c r="Y93">
        <f>IF(ISNUMBER($W93),$W93,0)</f>
        <v/>
      </c>
      <c r="Z93">
        <f>IF(ISNUMBER(SEARCH("Adjustment",$C93)),"excluded",IF($H93="Behind the Meter","excluded",IF(NOT(OR($E93="Bundled",$E93="Energy")),"excluded",IF(OR($H93="Retail Power Marketer",$H93="Community Choice Aggregator",$E93="Energy"),"procurement",IF(OR($H93="Municipal",$H93="Cooperative",$H93="Federal",$H93="State",$H93="Political Subdivision"),"cost_service",IF($H93="Investor Owned",IF(AND(COUNTIF(Parameters!$A$4:$A$33,$G93)&gt;0,COUNTIF(Parameters!$B$4:$B$33,$B93)=0),"procurement","cost_service"),"unclassified"))))))</f>
        <v/>
      </c>
    </row>
    <row r="94">
      <c r="A94" t="n">
        <v>2024</v>
      </c>
      <c r="B94" t="n">
        <v>61432</v>
      </c>
      <c r="C94" t="inlineStr">
        <is>
          <t>Central Coast Community Energy</t>
        </is>
      </c>
      <c r="D94" t="inlineStr">
        <is>
          <t>B</t>
        </is>
      </c>
      <c r="E94" t="inlineStr">
        <is>
          <t>Energy</t>
        </is>
      </c>
      <c r="F94" t="inlineStr">
        <is>
          <t>O</t>
        </is>
      </c>
      <c r="G94" t="inlineStr">
        <is>
          <t>CA</t>
        </is>
      </c>
      <c r="H94" t="inlineStr">
        <is>
          <t>Community Choice Aggregator</t>
        </is>
      </c>
      <c r="I94" t="inlineStr">
        <is>
          <t>CISO</t>
        </is>
      </c>
      <c r="J94" t="n">
        <v>219250.9</v>
      </c>
      <c r="K94" t="n">
        <v>1684832</v>
      </c>
      <c r="L94" t="n">
        <v>383835</v>
      </c>
      <c r="M94" t="n">
        <v>218621.4</v>
      </c>
      <c r="N94" t="n">
        <v>1884745</v>
      </c>
      <c r="O94" t="n">
        <v>56989</v>
      </c>
      <c r="P94" t="n">
        <v>125433</v>
      </c>
      <c r="Q94" t="n">
        <v>1123718</v>
      </c>
      <c r="R94" t="n">
        <v>7225</v>
      </c>
      <c r="S94" t="n">
        <v>0</v>
      </c>
      <c r="T94" t="n">
        <v>0</v>
      </c>
      <c r="U94" t="n">
        <v>0</v>
      </c>
      <c r="V94" t="n">
        <v>563305.3</v>
      </c>
      <c r="W94" t="n">
        <v>4693295</v>
      </c>
      <c r="X94" t="n">
        <v>448049</v>
      </c>
      <c r="Y94">
        <f>IF(ISNUMBER($W94),$W94,0)</f>
        <v/>
      </c>
      <c r="Z94">
        <f>IF(ISNUMBER(SEARCH("Adjustment",$C94)),"excluded",IF($H94="Behind the Meter","excluded",IF(NOT(OR($E94="Bundled",$E94="Energy")),"excluded",IF(OR($H94="Retail Power Marketer",$H94="Community Choice Aggregator",$E94="Energy"),"procurement",IF(OR($H94="Municipal",$H94="Cooperative",$H94="Federal",$H94="State",$H94="Political Subdivision"),"cost_service",IF($H94="Investor Owned",IF(AND(COUNTIF(Parameters!$A$4:$A$33,$G94)&gt;0,COUNTIF(Parameters!$B$4:$B$33,$B94)=0),"procurement","cost_service"),"unclassified"))))))</f>
        <v/>
      </c>
    </row>
    <row r="95">
      <c r="A95" t="n">
        <v>2024</v>
      </c>
      <c r="B95" t="n">
        <v>61433</v>
      </c>
      <c r="C95" t="inlineStr">
        <is>
          <t>San Jacinto Power</t>
        </is>
      </c>
      <c r="D95" t="inlineStr">
        <is>
          <t>B</t>
        </is>
      </c>
      <c r="E95" t="inlineStr">
        <is>
          <t>Energy</t>
        </is>
      </c>
      <c r="F95" t="inlineStr">
        <is>
          <t>O</t>
        </is>
      </c>
      <c r="G95" t="inlineStr">
        <is>
          <t>CA</t>
        </is>
      </c>
      <c r="H95" t="inlineStr">
        <is>
          <t>Community Choice Aggregator</t>
        </is>
      </c>
      <c r="I95" t="inlineStr">
        <is>
          <t>CISO</t>
        </is>
      </c>
      <c r="J95" t="n">
        <v>16164</v>
      </c>
      <c r="K95" t="n">
        <v>97293</v>
      </c>
      <c r="L95" t="n">
        <v>13558</v>
      </c>
      <c r="M95" t="n">
        <v>5881</v>
      </c>
      <c r="N95" t="n">
        <v>44351</v>
      </c>
      <c r="O95" t="n">
        <v>1507</v>
      </c>
      <c r="P95" t="n">
        <v>3523</v>
      </c>
      <c r="Q95" t="n">
        <v>32140</v>
      </c>
      <c r="R95" t="n">
        <v>43</v>
      </c>
      <c r="S95" t="n">
        <v>0</v>
      </c>
      <c r="T95" t="n">
        <v>0</v>
      </c>
      <c r="U95" t="n">
        <v>0</v>
      </c>
      <c r="V95" t="n">
        <v>25568</v>
      </c>
      <c r="W95" t="n">
        <v>173784</v>
      </c>
      <c r="X95" t="n">
        <v>15108</v>
      </c>
      <c r="Y95">
        <f>IF(ISNUMBER($W95),$W95,0)</f>
        <v/>
      </c>
      <c r="Z95">
        <f>IF(ISNUMBER(SEARCH("Adjustment",$C95)),"excluded",IF($H95="Behind the Meter","excluded",IF(NOT(OR($E95="Bundled",$E95="Energy")),"excluded",IF(OR($H95="Retail Power Marketer",$H95="Community Choice Aggregator",$E95="Energy"),"procurement",IF(OR($H95="Municipal",$H95="Cooperative",$H95="Federal",$H95="State",$H95="Political Subdivision"),"cost_service",IF($H95="Investor Owned",IF(AND(COUNTIF(Parameters!$A$4:$A$33,$G95)&gt;0,COUNTIF(Parameters!$B$4:$B$33,$B95)=0),"procurement","cost_service"),"unclassified"))))))</f>
        <v/>
      </c>
    </row>
    <row r="96">
      <c r="A96" t="n">
        <v>2024</v>
      </c>
      <c r="B96" t="n">
        <v>61462</v>
      </c>
      <c r="C96" t="inlineStr">
        <is>
          <t>Valley Clean Energy Alliance</t>
        </is>
      </c>
      <c r="D96" t="inlineStr">
        <is>
          <t>B</t>
        </is>
      </c>
      <c r="E96" t="inlineStr">
        <is>
          <t>Energy</t>
        </is>
      </c>
      <c r="F96" t="inlineStr">
        <is>
          <t>O</t>
        </is>
      </c>
      <c r="G96" t="inlineStr">
        <is>
          <t>CA</t>
        </is>
      </c>
      <c r="H96" t="inlineStr">
        <is>
          <t>Community Choice Aggregator</t>
        </is>
      </c>
      <c r="I96" t="inlineStr">
        <is>
          <t>CISO</t>
        </is>
      </c>
      <c r="J96" t="n">
        <v>42415.5</v>
      </c>
      <c r="K96" t="n">
        <v>272616</v>
      </c>
      <c r="L96" t="n">
        <v>54337</v>
      </c>
      <c r="M96" t="n">
        <v>39176.2</v>
      </c>
      <c r="N96" t="n">
        <v>262265</v>
      </c>
      <c r="O96" t="n">
        <v>6034</v>
      </c>
      <c r="P96" t="n">
        <v>19332.7</v>
      </c>
      <c r="Q96" t="n">
        <v>138748</v>
      </c>
      <c r="R96" t="n">
        <v>1928</v>
      </c>
      <c r="S96" t="n">
        <v>0</v>
      </c>
      <c r="T96" t="n">
        <v>0</v>
      </c>
      <c r="U96" t="n">
        <v>0</v>
      </c>
      <c r="V96" t="n">
        <v>100924.4</v>
      </c>
      <c r="W96" t="n">
        <v>673629</v>
      </c>
      <c r="X96" t="n">
        <v>62299</v>
      </c>
      <c r="Y96">
        <f>IF(ISNUMBER($W96),$W96,0)</f>
        <v/>
      </c>
      <c r="Z96">
        <f>IF(ISNUMBER(SEARCH("Adjustment",$C96)),"excluded",IF($H96="Behind the Meter","excluded",IF(NOT(OR($E96="Bundled",$E96="Energy")),"excluded",IF(OR($H96="Retail Power Marketer",$H96="Community Choice Aggregator",$E96="Energy"),"procurement",IF(OR($H96="Municipal",$H96="Cooperative",$H96="Federal",$H96="State",$H96="Political Subdivision"),"cost_service",IF($H96="Investor Owned",IF(AND(COUNTIF(Parameters!$A$4:$A$33,$G96)&gt;0,COUNTIF(Parameters!$B$4:$B$33,$B96)=0),"procurement","cost_service"),"unclassified"))))))</f>
        <v/>
      </c>
    </row>
    <row r="97">
      <c r="A97" t="n">
        <v>2024</v>
      </c>
      <c r="B97" t="n">
        <v>61471</v>
      </c>
      <c r="C97" t="inlineStr">
        <is>
          <t>Rancho Mirage Energy Authority</t>
        </is>
      </c>
      <c r="D97" t="inlineStr">
        <is>
          <t>B</t>
        </is>
      </c>
      <c r="E97" t="inlineStr">
        <is>
          <t>Energy</t>
        </is>
      </c>
      <c r="F97" t="inlineStr">
        <is>
          <t>O</t>
        </is>
      </c>
      <c r="G97" t="inlineStr">
        <is>
          <t>CA</t>
        </is>
      </c>
      <c r="H97" t="inlineStr">
        <is>
          <t>Community Choice Aggregator</t>
        </is>
      </c>
      <c r="I97" t="inlineStr">
        <is>
          <t>CISO</t>
        </is>
      </c>
      <c r="J97" t="n">
        <v>21525</v>
      </c>
      <c r="K97" t="n">
        <v>128434</v>
      </c>
      <c r="L97" t="n">
        <v>13079</v>
      </c>
      <c r="M97" t="n">
        <v>9258</v>
      </c>
      <c r="N97" t="n">
        <v>68775</v>
      </c>
      <c r="O97" t="n">
        <v>1971</v>
      </c>
      <c r="P97" t="n">
        <v>8602</v>
      </c>
      <c r="Q97" t="n">
        <v>79094</v>
      </c>
      <c r="R97" t="n">
        <v>83</v>
      </c>
      <c r="S97" t="n">
        <v>0</v>
      </c>
      <c r="T97" t="n">
        <v>0</v>
      </c>
      <c r="U97" t="n">
        <v>0</v>
      </c>
      <c r="V97" t="n">
        <v>39385</v>
      </c>
      <c r="W97" t="n">
        <v>276303</v>
      </c>
      <c r="X97" t="n">
        <v>15133</v>
      </c>
      <c r="Y97">
        <f>IF(ISNUMBER($W97),$W97,0)</f>
        <v/>
      </c>
      <c r="Z97">
        <f>IF(ISNUMBER(SEARCH("Adjustment",$C97)),"excluded",IF($H97="Behind the Meter","excluded",IF(NOT(OR($E97="Bundled",$E97="Energy")),"excluded",IF(OR($H97="Retail Power Marketer",$H97="Community Choice Aggregator",$E97="Energy"),"procurement",IF(OR($H97="Municipal",$H97="Cooperative",$H97="Federal",$H97="State",$H97="Political Subdivision"),"cost_service",IF($H97="Investor Owned",IF(AND(COUNTIF(Parameters!$A$4:$A$33,$G97)&gt;0,COUNTIF(Parameters!$B$4:$B$33,$B97)=0),"procurement","cost_service"),"unclassified"))))))</f>
        <v/>
      </c>
    </row>
    <row r="98">
      <c r="A98" t="n">
        <v>2024</v>
      </c>
      <c r="B98" t="n">
        <v>61475</v>
      </c>
      <c r="C98" t="inlineStr">
        <is>
          <t>Ava Community Energy</t>
        </is>
      </c>
      <c r="D98" t="inlineStr">
        <is>
          <t>B</t>
        </is>
      </c>
      <c r="E98" t="inlineStr">
        <is>
          <t>Energy</t>
        </is>
      </c>
      <c r="F98" t="inlineStr">
        <is>
          <t>O</t>
        </is>
      </c>
      <c r="G98" t="inlineStr">
        <is>
          <t>CA</t>
        </is>
      </c>
      <c r="H98" t="inlineStr">
        <is>
          <t>Community Choice Aggregator</t>
        </is>
      </c>
      <c r="I98" t="inlineStr">
        <is>
          <t>CISO</t>
        </is>
      </c>
      <c r="J98" t="n">
        <v>351874</v>
      </c>
      <c r="K98" t="n">
        <v>2405490</v>
      </c>
      <c r="L98" t="n">
        <v>581804</v>
      </c>
      <c r="M98" t="n">
        <v>393444</v>
      </c>
      <c r="N98" t="n">
        <v>2805875</v>
      </c>
      <c r="O98" t="n">
        <v>54677</v>
      </c>
      <c r="P98" t="n">
        <v>132429</v>
      </c>
      <c r="Q98" t="n">
        <v>964735</v>
      </c>
      <c r="R98" t="n">
        <v>5707</v>
      </c>
      <c r="S98" t="n">
        <v>0</v>
      </c>
      <c r="T98" t="n">
        <v>0</v>
      </c>
      <c r="U98" t="n">
        <v>0</v>
      </c>
      <c r="V98" t="n">
        <v>877747</v>
      </c>
      <c r="W98" t="n">
        <v>6176100</v>
      </c>
      <c r="X98" t="n">
        <v>642188</v>
      </c>
      <c r="Y98">
        <f>IF(ISNUMBER($W98),$W98,0)</f>
        <v/>
      </c>
      <c r="Z98">
        <f>IF(ISNUMBER(SEARCH("Adjustment",$C98)),"excluded",IF($H98="Behind the Meter","excluded",IF(NOT(OR($E98="Bundled",$E98="Energy")),"excluded",IF(OR($H98="Retail Power Marketer",$H98="Community Choice Aggregator",$E98="Energy"),"procurement",IF(OR($H98="Municipal",$H98="Cooperative",$H98="Federal",$H98="State",$H98="Political Subdivision"),"cost_service",IF($H98="Investor Owned",IF(AND(COUNTIF(Parameters!$A$4:$A$33,$G98)&gt;0,COUNTIF(Parameters!$B$4:$B$33,$B98)=0),"procurement","cost_service"),"unclassified"))))))</f>
        <v/>
      </c>
    </row>
    <row r="99">
      <c r="A99" t="n">
        <v>2024</v>
      </c>
      <c r="B99" t="n">
        <v>61526</v>
      </c>
      <c r="C99" t="inlineStr">
        <is>
          <t>Clean Power Alliance of Southern Califor</t>
        </is>
      </c>
      <c r="D99" t="inlineStr">
        <is>
          <t>B</t>
        </is>
      </c>
      <c r="E99" t="inlineStr">
        <is>
          <t>Energy</t>
        </is>
      </c>
      <c r="F99" t="inlineStr">
        <is>
          <t>O</t>
        </is>
      </c>
      <c r="G99" t="inlineStr">
        <is>
          <t>CA</t>
        </is>
      </c>
      <c r="H99" t="inlineStr">
        <is>
          <t>Community Choice Aggregator</t>
        </is>
      </c>
      <c r="I99" t="inlineStr">
        <is>
          <t>CISO</t>
        </is>
      </c>
      <c r="J99" t="n">
        <v>814624.2</v>
      </c>
      <c r="K99" t="n">
        <v>5098735</v>
      </c>
      <c r="L99" t="n">
        <v>753633</v>
      </c>
      <c r="M99" t="n">
        <v>540332.2</v>
      </c>
      <c r="N99" t="n">
        <v>3955143</v>
      </c>
      <c r="O99" t="n">
        <v>66162</v>
      </c>
      <c r="P99" t="n">
        <v>194491.5</v>
      </c>
      <c r="Q99" t="n">
        <v>1595624</v>
      </c>
      <c r="R99" t="n">
        <v>1369</v>
      </c>
      <c r="S99" t="n">
        <v>0</v>
      </c>
      <c r="T99" t="n">
        <v>0</v>
      </c>
      <c r="U99" t="n">
        <v>0</v>
      </c>
      <c r="V99" t="n">
        <v>1549447.9</v>
      </c>
      <c r="W99" t="n">
        <v>10649502</v>
      </c>
      <c r="X99" t="n">
        <v>821164</v>
      </c>
      <c r="Y99">
        <f>IF(ISNUMBER($W99),$W99,0)</f>
        <v/>
      </c>
      <c r="Z99">
        <f>IF(ISNUMBER(SEARCH("Adjustment",$C99)),"excluded",IF($H99="Behind the Meter","excluded",IF(NOT(OR($E99="Bundled",$E99="Energy")),"excluded",IF(OR($H99="Retail Power Marketer",$H99="Community Choice Aggregator",$E99="Energy"),"procurement",IF(OR($H99="Municipal",$H99="Cooperative",$H99="Federal",$H99="State",$H99="Political Subdivision"),"cost_service",IF($H99="Investor Owned",IF(AND(COUNTIF(Parameters!$A$4:$A$33,$G99)&gt;0,COUNTIF(Parameters!$B$4:$B$33,$B99)=0),"procurement","cost_service"),"unclassified"))))))</f>
        <v/>
      </c>
    </row>
    <row r="100">
      <c r="A100" t="n">
        <v>2024</v>
      </c>
      <c r="B100" t="n">
        <v>61570</v>
      </c>
      <c r="C100" t="inlineStr">
        <is>
          <t>King City Community Power</t>
        </is>
      </c>
      <c r="D100" t="inlineStr">
        <is>
          <t>B</t>
        </is>
      </c>
      <c r="E100" t="inlineStr">
        <is>
          <t>Energy</t>
        </is>
      </c>
      <c r="F100" t="inlineStr">
        <is>
          <t>O</t>
        </is>
      </c>
      <c r="G100" t="inlineStr">
        <is>
          <t>CA</t>
        </is>
      </c>
      <c r="H100" t="inlineStr">
        <is>
          <t>Community Choice Aggregator</t>
        </is>
      </c>
      <c r="I100" t="inlineStr">
        <is>
          <t>CISO</t>
        </is>
      </c>
      <c r="J100" t="n">
        <v>1644</v>
      </c>
      <c r="K100" t="n">
        <v>10095</v>
      </c>
      <c r="L100" t="n">
        <v>2838</v>
      </c>
      <c r="M100" t="n">
        <v>2858</v>
      </c>
      <c r="N100" t="n">
        <v>19394</v>
      </c>
      <c r="O100" t="n">
        <v>569</v>
      </c>
      <c r="P100" t="n">
        <v>637</v>
      </c>
      <c r="Q100" t="n">
        <v>4379</v>
      </c>
      <c r="R100" t="n">
        <v>37</v>
      </c>
      <c r="S100" t="n">
        <v>0</v>
      </c>
      <c r="T100" t="n">
        <v>0</v>
      </c>
      <c r="U100" t="n">
        <v>0</v>
      </c>
      <c r="V100" t="n">
        <v>5139</v>
      </c>
      <c r="W100" t="n">
        <v>33868</v>
      </c>
      <c r="X100" t="n">
        <v>3444</v>
      </c>
      <c r="Y100">
        <f>IF(ISNUMBER($W100),$W100,0)</f>
        <v/>
      </c>
      <c r="Z100">
        <f>IF(ISNUMBER(SEARCH("Adjustment",$C100)),"excluded",IF($H100="Behind the Meter","excluded",IF(NOT(OR($E100="Bundled",$E100="Energy")),"excluded",IF(OR($H100="Retail Power Marketer",$H100="Community Choice Aggregator",$E100="Energy"),"procurement",IF(OR($H100="Municipal",$H100="Cooperative",$H100="Federal",$H100="State",$H100="Political Subdivision"),"cost_service",IF($H100="Investor Owned",IF(AND(COUNTIF(Parameters!$A$4:$A$33,$G100)&gt;0,COUNTIF(Parameters!$B$4:$B$33,$B100)=0),"procurement","cost_service"),"unclassified"))))))</f>
        <v/>
      </c>
    </row>
    <row r="101">
      <c r="A101" t="n">
        <v>2024</v>
      </c>
      <c r="B101" t="n">
        <v>61823</v>
      </c>
      <c r="C101" t="inlineStr">
        <is>
          <t>Greenskies Renewable Energy, LLC</t>
        </is>
      </c>
      <c r="D101" t="inlineStr">
        <is>
          <t>A</t>
        </is>
      </c>
      <c r="E101" t="inlineStr">
        <is>
          <t>Bundled</t>
        </is>
      </c>
      <c r="F101" t="inlineStr">
        <is>
          <t>O</t>
        </is>
      </c>
      <c r="G101" t="inlineStr">
        <is>
          <t>CA</t>
        </is>
      </c>
      <c r="H101" t="inlineStr">
        <is>
          <t>Behind the Meter</t>
        </is>
      </c>
      <c r="I101" t="inlineStr">
        <is>
          <t>CISO</t>
        </is>
      </c>
      <c r="J101" t="inlineStr">
        <is>
          <t>.</t>
        </is>
      </c>
      <c r="K101" t="inlineStr">
        <is>
          <t>.</t>
        </is>
      </c>
      <c r="L101" t="inlineStr">
        <is>
          <t>.</t>
        </is>
      </c>
      <c r="M101" t="n">
        <v>1704.1</v>
      </c>
      <c r="N101" t="n">
        <v>17498</v>
      </c>
      <c r="O101" t="n">
        <v>4</v>
      </c>
      <c r="P101" t="inlineStr">
        <is>
          <t>.</t>
        </is>
      </c>
      <c r="Q101" t="inlineStr">
        <is>
          <t>.</t>
        </is>
      </c>
      <c r="R101" t="inlineStr">
        <is>
          <t>.</t>
        </is>
      </c>
      <c r="S101" t="inlineStr">
        <is>
          <t>.</t>
        </is>
      </c>
      <c r="T101" t="inlineStr">
        <is>
          <t>.</t>
        </is>
      </c>
      <c r="U101" t="inlineStr">
        <is>
          <t>.</t>
        </is>
      </c>
      <c r="V101" t="n">
        <v>1704.1</v>
      </c>
      <c r="W101" t="n">
        <v>17498</v>
      </c>
      <c r="X101" t="n">
        <v>4</v>
      </c>
      <c r="Y101">
        <f>IF(ISNUMBER($W101),$W101,0)</f>
        <v/>
      </c>
      <c r="Z101">
        <f>IF(ISNUMBER(SEARCH("Adjustment",$C101)),"excluded",IF($H101="Behind the Meter","excluded",IF(NOT(OR($E101="Bundled",$E101="Energy")),"excluded",IF(OR($H101="Retail Power Marketer",$H101="Community Choice Aggregator",$E101="Energy"),"procurement",IF(OR($H101="Municipal",$H101="Cooperative",$H101="Federal",$H101="State",$H101="Political Subdivision"),"cost_service",IF($H101="Investor Owned",IF(AND(COUNTIF(Parameters!$A$4:$A$33,$G101)&gt;0,COUNTIF(Parameters!$B$4:$B$33,$B101)=0),"procurement","cost_service"),"unclassified"))))))</f>
        <v/>
      </c>
    </row>
    <row r="102">
      <c r="A102" t="n">
        <v>2024</v>
      </c>
      <c r="B102" t="n">
        <v>61858</v>
      </c>
      <c r="C102" t="inlineStr">
        <is>
          <t>San Jose Clean Energy</t>
        </is>
      </c>
      <c r="D102" t="inlineStr">
        <is>
          <t>B</t>
        </is>
      </c>
      <c r="E102" t="inlineStr">
        <is>
          <t>Energy</t>
        </is>
      </c>
      <c r="F102" t="inlineStr">
        <is>
          <t>O</t>
        </is>
      </c>
      <c r="G102" t="inlineStr">
        <is>
          <t>CA</t>
        </is>
      </c>
      <c r="H102" t="inlineStr">
        <is>
          <t>Community Choice Aggregator</t>
        </is>
      </c>
      <c r="I102" t="inlineStr">
        <is>
          <t>CISO</t>
        </is>
      </c>
      <c r="J102" t="n">
        <v>241420.3</v>
      </c>
      <c r="K102" t="n">
        <v>1594382</v>
      </c>
      <c r="L102" t="n">
        <v>326459</v>
      </c>
      <c r="M102" t="n">
        <v>268217.1</v>
      </c>
      <c r="N102" t="n">
        <v>1807283</v>
      </c>
      <c r="O102" t="n">
        <v>27891</v>
      </c>
      <c r="P102" t="n">
        <v>45498</v>
      </c>
      <c r="Q102" t="n">
        <v>326840</v>
      </c>
      <c r="R102" t="n">
        <v>51</v>
      </c>
      <c r="S102" t="n">
        <v>2016.2</v>
      </c>
      <c r="T102" t="n">
        <v>15057</v>
      </c>
      <c r="U102" t="n">
        <v>1</v>
      </c>
      <c r="V102" t="n">
        <v>557151.6</v>
      </c>
      <c r="W102" t="n">
        <v>3743562</v>
      </c>
      <c r="X102" t="n">
        <v>354402</v>
      </c>
      <c r="Y102">
        <f>IF(ISNUMBER($W102),$W102,0)</f>
        <v/>
      </c>
      <c r="Z102">
        <f>IF(ISNUMBER(SEARCH("Adjustment",$C102)),"excluded",IF($H102="Behind the Meter","excluded",IF(NOT(OR($E102="Bundled",$E102="Energy")),"excluded",IF(OR($H102="Retail Power Marketer",$H102="Community Choice Aggregator",$E102="Energy"),"procurement",IF(OR($H102="Municipal",$H102="Cooperative",$H102="Federal",$H102="State",$H102="Political Subdivision"),"cost_service",IF($H102="Investor Owned",IF(AND(COUNTIF(Parameters!$A$4:$A$33,$G102)&gt;0,COUNTIF(Parameters!$B$4:$B$33,$B102)=0),"procurement","cost_service"),"unclassified"))))))</f>
        <v/>
      </c>
    </row>
    <row r="103">
      <c r="A103" t="n">
        <v>2024</v>
      </c>
      <c r="B103" t="n">
        <v>63367</v>
      </c>
      <c r="C103" t="inlineStr">
        <is>
          <t>Commercial Energy of California</t>
        </is>
      </c>
      <c r="D103" t="inlineStr">
        <is>
          <t>B</t>
        </is>
      </c>
      <c r="E103" t="inlineStr">
        <is>
          <t>Energy</t>
        </is>
      </c>
      <c r="F103" t="inlineStr">
        <is>
          <t>O</t>
        </is>
      </c>
      <c r="G103" t="inlineStr">
        <is>
          <t>CA</t>
        </is>
      </c>
      <c r="H103" t="inlineStr">
        <is>
          <t>Retail Power Marketer</t>
        </is>
      </c>
      <c r="I103" t="inlineStr">
        <is>
          <t>CISO</t>
        </is>
      </c>
      <c r="J103" t="n">
        <v>0</v>
      </c>
      <c r="K103" t="n">
        <v>0</v>
      </c>
      <c r="L103" t="n">
        <v>0</v>
      </c>
      <c r="M103" t="n">
        <v>41760</v>
      </c>
      <c r="N103" t="n">
        <v>724909</v>
      </c>
      <c r="O103" t="n">
        <v>1046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41760</v>
      </c>
      <c r="W103" t="n">
        <v>724909</v>
      </c>
      <c r="X103" t="n">
        <v>1046</v>
      </c>
      <c r="Y103">
        <f>IF(ISNUMBER($W103),$W103,0)</f>
        <v/>
      </c>
      <c r="Z103">
        <f>IF(ISNUMBER(SEARCH("Adjustment",$C103)),"excluded",IF($H103="Behind the Meter","excluded",IF(NOT(OR($E103="Bundled",$E103="Energy")),"excluded",IF(OR($H103="Retail Power Marketer",$H103="Community Choice Aggregator",$E103="Energy"),"procurement",IF(OR($H103="Municipal",$H103="Cooperative",$H103="Federal",$H103="State",$H103="Political Subdivision"),"cost_service",IF($H103="Investor Owned",IF(AND(COUNTIF(Parameters!$A$4:$A$33,$G103)&gt;0,COUNTIF(Parameters!$B$4:$B$33,$B103)=0),"procurement","cost_service"),"unclassified"))))))</f>
        <v/>
      </c>
    </row>
    <row r="104">
      <c r="A104" t="n">
        <v>2024</v>
      </c>
      <c r="B104" t="n">
        <v>63725</v>
      </c>
      <c r="C104" t="inlineStr">
        <is>
          <t>Pomona Choice Energy (PCE)</t>
        </is>
      </c>
      <c r="D104" t="inlineStr">
        <is>
          <t>B</t>
        </is>
      </c>
      <c r="E104" t="inlineStr">
        <is>
          <t>Energy</t>
        </is>
      </c>
      <c r="F104" t="inlineStr">
        <is>
          <t>O</t>
        </is>
      </c>
      <c r="G104" t="inlineStr">
        <is>
          <t>CA</t>
        </is>
      </c>
      <c r="H104" t="inlineStr">
        <is>
          <t>Community Choice Aggregator</t>
        </is>
      </c>
      <c r="I104" t="inlineStr">
        <is>
          <t>CISO</t>
        </is>
      </c>
      <c r="J104" t="n">
        <v>34760</v>
      </c>
      <c r="K104" t="n">
        <v>213516</v>
      </c>
      <c r="L104" t="n">
        <v>36414</v>
      </c>
      <c r="M104" t="n">
        <v>24154</v>
      </c>
      <c r="N104" t="n">
        <v>177964</v>
      </c>
      <c r="O104" t="n">
        <v>5309</v>
      </c>
      <c r="P104" t="n">
        <v>1976</v>
      </c>
      <c r="Q104" t="n">
        <v>16975</v>
      </c>
      <c r="R104" t="n">
        <v>42</v>
      </c>
      <c r="S104" t="n">
        <v>0</v>
      </c>
      <c r="T104" t="n">
        <v>0</v>
      </c>
      <c r="U104" t="n">
        <v>0</v>
      </c>
      <c r="V104" t="n">
        <v>60890</v>
      </c>
      <c r="W104" t="n">
        <v>408455</v>
      </c>
      <c r="X104" t="n">
        <v>41765</v>
      </c>
      <c r="Y104">
        <f>IF(ISNUMBER($W104),$W104,0)</f>
        <v/>
      </c>
      <c r="Z104">
        <f>IF(ISNUMBER(SEARCH("Adjustment",$C104)),"excluded",IF($H104="Behind the Meter","excluded",IF(NOT(OR($E104="Bundled",$E104="Energy")),"excluded",IF(OR($H104="Retail Power Marketer",$H104="Community Choice Aggregator",$E104="Energy"),"procurement",IF(OR($H104="Municipal",$H104="Cooperative",$H104="Federal",$H104="State",$H104="Political Subdivision"),"cost_service",IF($H104="Investor Owned",IF(AND(COUNTIF(Parameters!$A$4:$A$33,$G104)&gt;0,COUNTIF(Parameters!$B$4:$B$33,$B104)=0),"procurement","cost_service"),"unclassified"))))))</f>
        <v/>
      </c>
    </row>
    <row r="105">
      <c r="A105" t="n">
        <v>2024</v>
      </c>
      <c r="B105" t="n">
        <v>64195</v>
      </c>
      <c r="C105" t="inlineStr">
        <is>
          <t>Desert Community Energy</t>
        </is>
      </c>
      <c r="D105" t="inlineStr">
        <is>
          <t>B</t>
        </is>
      </c>
      <c r="E105" t="inlineStr">
        <is>
          <t>Energy</t>
        </is>
      </c>
      <c r="F105" t="inlineStr">
        <is>
          <t>O</t>
        </is>
      </c>
      <c r="G105" t="inlineStr">
        <is>
          <t>CA</t>
        </is>
      </c>
      <c r="H105" t="inlineStr">
        <is>
          <t>Community Choice Aggregator</t>
        </is>
      </c>
      <c r="I105" t="inlineStr">
        <is>
          <t>CISO</t>
        </is>
      </c>
      <c r="J105" t="n">
        <v>39973.3</v>
      </c>
      <c r="K105" t="n">
        <v>207316</v>
      </c>
      <c r="L105" t="n">
        <v>28095</v>
      </c>
      <c r="M105" t="n">
        <v>25010</v>
      </c>
      <c r="N105" t="n">
        <v>144635</v>
      </c>
      <c r="O105" t="n">
        <v>3970</v>
      </c>
      <c r="P105" t="n">
        <v>3330.4</v>
      </c>
      <c r="Q105" t="n">
        <v>22969</v>
      </c>
      <c r="R105" t="n">
        <v>333</v>
      </c>
      <c r="S105" t="n">
        <v>0</v>
      </c>
      <c r="T105" t="n">
        <v>0</v>
      </c>
      <c r="U105" t="n">
        <v>0</v>
      </c>
      <c r="V105" t="n">
        <v>68313.7</v>
      </c>
      <c r="W105" t="n">
        <v>374920</v>
      </c>
      <c r="X105" t="n">
        <v>32398</v>
      </c>
      <c r="Y105">
        <f>IF(ISNUMBER($W105),$W105,0)</f>
        <v/>
      </c>
      <c r="Z105">
        <f>IF(ISNUMBER(SEARCH("Adjustment",$C105)),"excluded",IF($H105="Behind the Meter","excluded",IF(NOT(OR($E105="Bundled",$E105="Energy")),"excluded",IF(OR($H105="Retail Power Marketer",$H105="Community Choice Aggregator",$E105="Energy"),"procurement",IF(OR($H105="Municipal",$H105="Cooperative",$H105="Federal",$H105="State",$H105="Political Subdivision"),"cost_service",IF($H105="Investor Owned",IF(AND(COUNTIF(Parameters!$A$4:$A$33,$G105)&gt;0,COUNTIF(Parameters!$B$4:$B$33,$B105)=0),"procurement","cost_service"),"unclassified"))))))</f>
        <v/>
      </c>
    </row>
    <row r="106">
      <c r="A106" t="n">
        <v>2024</v>
      </c>
      <c r="B106" t="n">
        <v>64289</v>
      </c>
      <c r="C106" t="inlineStr">
        <is>
          <t>San Diego Community Power</t>
        </is>
      </c>
      <c r="D106" t="inlineStr">
        <is>
          <t>B</t>
        </is>
      </c>
      <c r="E106" t="inlineStr">
        <is>
          <t>Energy</t>
        </is>
      </c>
      <c r="F106" t="inlineStr">
        <is>
          <t>O</t>
        </is>
      </c>
      <c r="G106" t="inlineStr">
        <is>
          <t>CA</t>
        </is>
      </c>
      <c r="H106" t="inlineStr">
        <is>
          <t>Community Choice Aggregator</t>
        </is>
      </c>
      <c r="I106" t="inlineStr">
        <is>
          <t>CISO</t>
        </is>
      </c>
      <c r="J106" t="n">
        <v>502883</v>
      </c>
      <c r="K106" t="n">
        <v>3219990</v>
      </c>
      <c r="L106" t="n">
        <v>852720</v>
      </c>
      <c r="M106" t="n">
        <v>643536</v>
      </c>
      <c r="N106" t="n">
        <v>4214163</v>
      </c>
      <c r="O106" t="n">
        <v>86298</v>
      </c>
      <c r="P106" t="n">
        <v>37416</v>
      </c>
      <c r="Q106" t="n">
        <v>273665</v>
      </c>
      <c r="R106" t="n">
        <v>3006</v>
      </c>
      <c r="S106" t="n">
        <v>0</v>
      </c>
      <c r="T106" t="n">
        <v>0</v>
      </c>
      <c r="U106" t="n">
        <v>0</v>
      </c>
      <c r="V106" t="n">
        <v>1183835</v>
      </c>
      <c r="W106" t="n">
        <v>7707818</v>
      </c>
      <c r="X106" t="n">
        <v>942024</v>
      </c>
      <c r="Y106">
        <f>IF(ISNUMBER($W106),$W106,0)</f>
        <v/>
      </c>
      <c r="Z106">
        <f>IF(ISNUMBER(SEARCH("Adjustment",$C106)),"excluded",IF($H106="Behind the Meter","excluded",IF(NOT(OR($E106="Bundled",$E106="Energy")),"excluded",IF(OR($H106="Retail Power Marketer",$H106="Community Choice Aggregator",$E106="Energy"),"procurement",IF(OR($H106="Municipal",$H106="Cooperative",$H106="Federal",$H106="State",$H106="Political Subdivision"),"cost_service",IF($H106="Investor Owned",IF(AND(COUNTIF(Parameters!$A$4:$A$33,$G106)&gt;0,COUNTIF(Parameters!$B$4:$B$33,$B106)=0),"procurement","cost_service"),"unclassified"))))))</f>
        <v/>
      </c>
    </row>
    <row r="107">
      <c r="A107" t="n">
        <v>2024</v>
      </c>
      <c r="B107" t="n">
        <v>64314</v>
      </c>
      <c r="C107" t="inlineStr">
        <is>
          <t>BP Energy Retail LLC</t>
        </is>
      </c>
      <c r="D107" t="inlineStr">
        <is>
          <t>B</t>
        </is>
      </c>
      <c r="E107" t="inlineStr">
        <is>
          <t>Energy</t>
        </is>
      </c>
      <c r="F107" t="inlineStr">
        <is>
          <t>O</t>
        </is>
      </c>
      <c r="G107" t="inlineStr">
        <is>
          <t>CA</t>
        </is>
      </c>
      <c r="H107" t="inlineStr">
        <is>
          <t>Retail Power Marketer</t>
        </is>
      </c>
      <c r="I107" t="inlineStr">
        <is>
          <t>CISO</t>
        </is>
      </c>
      <c r="J107" t="n">
        <v>0</v>
      </c>
      <c r="K107" t="n">
        <v>0</v>
      </c>
      <c r="L107" t="n">
        <v>0</v>
      </c>
      <c r="M107" t="n">
        <v>95422</v>
      </c>
      <c r="N107" t="n">
        <v>635122</v>
      </c>
      <c r="O107" t="n">
        <v>31</v>
      </c>
      <c r="P107" t="n">
        <v>4695</v>
      </c>
      <c r="Q107" t="n">
        <v>30631</v>
      </c>
      <c r="R107" t="n">
        <v>3</v>
      </c>
      <c r="S107" t="n">
        <v>0</v>
      </c>
      <c r="T107" t="n">
        <v>0</v>
      </c>
      <c r="U107" t="n">
        <v>0</v>
      </c>
      <c r="V107" t="n">
        <v>100117</v>
      </c>
      <c r="W107" t="n">
        <v>665753</v>
      </c>
      <c r="X107" t="n">
        <v>34</v>
      </c>
      <c r="Y107">
        <f>IF(ISNUMBER($W107),$W107,0)</f>
        <v/>
      </c>
      <c r="Z107">
        <f>IF(ISNUMBER(SEARCH("Adjustment",$C107)),"excluded",IF($H107="Behind the Meter","excluded",IF(NOT(OR($E107="Bundled",$E107="Energy")),"excluded",IF(OR($H107="Retail Power Marketer",$H107="Community Choice Aggregator",$E107="Energy"),"procurement",IF(OR($H107="Municipal",$H107="Cooperative",$H107="Federal",$H107="State",$H107="Political Subdivision"),"cost_service",IF($H107="Investor Owned",IF(AND(COUNTIF(Parameters!$A$4:$A$33,$G107)&gt;0,COUNTIF(Parameters!$B$4:$B$33,$B107)=0),"procurement","cost_service"),"unclassified"))))))</f>
        <v/>
      </c>
    </row>
    <row r="108">
      <c r="A108" t="n">
        <v>2024</v>
      </c>
      <c r="B108" t="n">
        <v>64425</v>
      </c>
      <c r="C108" t="inlineStr">
        <is>
          <t>Clean Energy Alliance</t>
        </is>
      </c>
      <c r="D108" t="inlineStr">
        <is>
          <t>B</t>
        </is>
      </c>
      <c r="E108" t="inlineStr">
        <is>
          <t>Energy</t>
        </is>
      </c>
      <c r="F108" t="inlineStr">
        <is>
          <t>O</t>
        </is>
      </c>
      <c r="G108" t="inlineStr">
        <is>
          <t>CA</t>
        </is>
      </c>
      <c r="H108" t="inlineStr">
        <is>
          <t>Community Choice Aggregator</t>
        </is>
      </c>
      <c r="I108" t="inlineStr">
        <is>
          <t>CISO</t>
        </is>
      </c>
      <c r="J108" t="n">
        <v>126898</v>
      </c>
      <c r="K108" t="n">
        <v>725846</v>
      </c>
      <c r="L108" t="n">
        <v>181700</v>
      </c>
      <c r="M108" t="n">
        <v>150616</v>
      </c>
      <c r="N108" t="n">
        <v>1029766</v>
      </c>
      <c r="O108" t="n">
        <v>26663</v>
      </c>
      <c r="P108" t="n">
        <v>2571</v>
      </c>
      <c r="Q108" t="n">
        <v>18931</v>
      </c>
      <c r="R108" t="n">
        <v>248</v>
      </c>
      <c r="S108" t="n">
        <v>0</v>
      </c>
      <c r="T108" t="n">
        <v>0</v>
      </c>
      <c r="U108" t="n">
        <v>0</v>
      </c>
      <c r="V108" t="n">
        <v>280085</v>
      </c>
      <c r="W108" t="n">
        <v>1774543</v>
      </c>
      <c r="X108" t="n">
        <v>208611</v>
      </c>
      <c r="Y108">
        <f>IF(ISNUMBER($W108),$W108,0)</f>
        <v/>
      </c>
      <c r="Z108">
        <f>IF(ISNUMBER(SEARCH("Adjustment",$C108)),"excluded",IF($H108="Behind the Meter","excluded",IF(NOT(OR($E108="Bundled",$E108="Energy")),"excluded",IF(OR($H108="Retail Power Marketer",$H108="Community Choice Aggregator",$E108="Energy"),"procurement",IF(OR($H108="Municipal",$H108="Cooperative",$H108="Federal",$H108="State",$H108="Political Subdivision"),"cost_service",IF($H108="Investor Owned",IF(AND(COUNTIF(Parameters!$A$4:$A$33,$G108)&gt;0,COUNTIF(Parameters!$B$4:$B$33,$B108)=0),"procurement","cost_service"),"unclassified"))))))</f>
        <v/>
      </c>
    </row>
    <row r="109">
      <c r="A109" t="n">
        <v>2024</v>
      </c>
      <c r="B109" t="n">
        <v>64555</v>
      </c>
      <c r="C109" t="inlineStr">
        <is>
          <t>Santa Barbara Clean Energy</t>
        </is>
      </c>
      <c r="D109" t="inlineStr">
        <is>
          <t>B</t>
        </is>
      </c>
      <c r="E109" t="inlineStr">
        <is>
          <t>Energy</t>
        </is>
      </c>
      <c r="F109" t="inlineStr">
        <is>
          <t>O</t>
        </is>
      </c>
      <c r="G109" t="inlineStr">
        <is>
          <t>CA</t>
        </is>
      </c>
      <c r="H109" t="inlineStr">
        <is>
          <t>Community Choice Aggregator</t>
        </is>
      </c>
      <c r="I109" t="inlineStr">
        <is>
          <t>CISO</t>
        </is>
      </c>
      <c r="J109" t="n">
        <v>22840</v>
      </c>
      <c r="K109" t="n">
        <v>129973</v>
      </c>
      <c r="L109" t="n">
        <v>32140</v>
      </c>
      <c r="M109" t="n">
        <v>25181</v>
      </c>
      <c r="N109" t="n">
        <v>168677</v>
      </c>
      <c r="O109" t="n">
        <v>6400</v>
      </c>
      <c r="P109" t="n">
        <v>3846</v>
      </c>
      <c r="Q109" t="n">
        <v>29988</v>
      </c>
      <c r="R109" t="n">
        <v>42</v>
      </c>
      <c r="S109" t="n">
        <v>0</v>
      </c>
      <c r="T109" t="n">
        <v>0</v>
      </c>
      <c r="U109" t="n">
        <v>0</v>
      </c>
      <c r="V109" t="n">
        <v>51867</v>
      </c>
      <c r="W109" t="n">
        <v>328638</v>
      </c>
      <c r="X109" t="n">
        <v>38582</v>
      </c>
      <c r="Y109">
        <f>IF(ISNUMBER($W109),$W109,0)</f>
        <v/>
      </c>
      <c r="Z109">
        <f>IF(ISNUMBER(SEARCH("Adjustment",$C109)),"excluded",IF($H109="Behind the Meter","excluded",IF(NOT(OR($E109="Bundled",$E109="Energy")),"excluded",IF(OR($H109="Retail Power Marketer",$H109="Community Choice Aggregator",$E109="Energy"),"procurement",IF(OR($H109="Municipal",$H109="Cooperative",$H109="Federal",$H109="State",$H109="Political Subdivision"),"cost_service",IF($H109="Investor Owned",IF(AND(COUNTIF(Parameters!$A$4:$A$33,$G109)&gt;0,COUNTIF(Parameters!$B$4:$B$33,$B109)=0),"procurement","cost_service"),"unclassified"))))))</f>
        <v/>
      </c>
    </row>
    <row r="110">
      <c r="A110" t="n">
        <v>2024</v>
      </c>
      <c r="B110" t="n">
        <v>64928</v>
      </c>
      <c r="C110" t="inlineStr">
        <is>
          <t>Orange County Power Authority</t>
        </is>
      </c>
      <c r="D110" t="inlineStr">
        <is>
          <t>B</t>
        </is>
      </c>
      <c r="E110" t="inlineStr">
        <is>
          <t>Energy</t>
        </is>
      </c>
      <c r="F110" t="inlineStr">
        <is>
          <t>O</t>
        </is>
      </c>
      <c r="G110" t="inlineStr">
        <is>
          <t>CA</t>
        </is>
      </c>
      <c r="H110" t="inlineStr">
        <is>
          <t>Community Choice Aggregator</t>
        </is>
      </c>
      <c r="I110" t="inlineStr">
        <is>
          <t>CISO</t>
        </is>
      </c>
      <c r="J110" t="n">
        <v>144846</v>
      </c>
      <c r="K110" t="n">
        <v>979674</v>
      </c>
      <c r="L110" t="n">
        <v>187088</v>
      </c>
      <c r="M110" t="n">
        <v>155546</v>
      </c>
      <c r="N110" t="n">
        <v>1124554</v>
      </c>
      <c r="O110" t="n">
        <v>28803</v>
      </c>
      <c r="P110" t="n">
        <v>54351</v>
      </c>
      <c r="Q110" t="n">
        <v>458698</v>
      </c>
      <c r="R110" t="n">
        <v>205</v>
      </c>
      <c r="S110" t="n">
        <v>0</v>
      </c>
      <c r="T110" t="n">
        <v>0</v>
      </c>
      <c r="U110" t="n">
        <v>0</v>
      </c>
      <c r="V110" t="n">
        <v>354743</v>
      </c>
      <c r="W110" t="n">
        <v>2562926</v>
      </c>
      <c r="X110" t="n">
        <v>216096</v>
      </c>
      <c r="Y110">
        <f>IF(ISNUMBER($W110),$W110,0)</f>
        <v/>
      </c>
      <c r="Z110">
        <f>IF(ISNUMBER(SEARCH("Adjustment",$C110)),"excluded",IF($H110="Behind the Meter","excluded",IF(NOT(OR($E110="Bundled",$E110="Energy")),"excluded",IF(OR($H110="Retail Power Marketer",$H110="Community Choice Aggregator",$E110="Energy"),"procurement",IF(OR($H110="Municipal",$H110="Cooperative",$H110="Federal",$H110="State",$H110="Political Subdivision"),"cost_service",IF($H110="Investor Owned",IF(AND(COUNTIF(Parameters!$A$4:$A$33,$G110)&gt;0,COUNTIF(Parameters!$B$4:$B$33,$B110)=0),"procurement","cost_service"),"unclassified"))))))</f>
        <v/>
      </c>
    </row>
    <row r="111">
      <c r="A111" t="n">
        <v>2024</v>
      </c>
      <c r="B111" t="n">
        <v>65242</v>
      </c>
      <c r="C111" t="inlineStr">
        <is>
          <t>Scale Sustainable I, LLC</t>
        </is>
      </c>
      <c r="D111" t="inlineStr">
        <is>
          <t>A</t>
        </is>
      </c>
      <c r="E111" t="inlineStr">
        <is>
          <t>Bundled</t>
        </is>
      </c>
      <c r="F111" t="inlineStr">
        <is>
          <t>O</t>
        </is>
      </c>
      <c r="G111" t="inlineStr">
        <is>
          <t>CA</t>
        </is>
      </c>
      <c r="H111" t="inlineStr">
        <is>
          <t>Behind the Meter</t>
        </is>
      </c>
      <c r="I111" t="inlineStr">
        <is>
          <t>CISO</t>
        </is>
      </c>
      <c r="J111" t="inlineStr">
        <is>
          <t>.</t>
        </is>
      </c>
      <c r="K111" t="inlineStr">
        <is>
          <t>.</t>
        </is>
      </c>
      <c r="L111" t="inlineStr">
        <is>
          <t>.</t>
        </is>
      </c>
      <c r="M111" t="n">
        <v>423</v>
      </c>
      <c r="N111" t="n">
        <v>2185</v>
      </c>
      <c r="O111" t="n">
        <v>2</v>
      </c>
      <c r="P111" t="inlineStr">
        <is>
          <t>.</t>
        </is>
      </c>
      <c r="Q111" t="inlineStr">
        <is>
          <t>.</t>
        </is>
      </c>
      <c r="R111" t="inlineStr">
        <is>
          <t>.</t>
        </is>
      </c>
      <c r="S111" t="inlineStr">
        <is>
          <t>.</t>
        </is>
      </c>
      <c r="T111" t="inlineStr">
        <is>
          <t>.</t>
        </is>
      </c>
      <c r="U111" t="inlineStr">
        <is>
          <t>.</t>
        </is>
      </c>
      <c r="V111" t="n">
        <v>423</v>
      </c>
      <c r="W111" t="n">
        <v>2185</v>
      </c>
      <c r="X111" t="n">
        <v>2</v>
      </c>
      <c r="Y111">
        <f>IF(ISNUMBER($W111),$W111,0)</f>
        <v/>
      </c>
      <c r="Z111">
        <f>IF(ISNUMBER(SEARCH("Adjustment",$C111)),"excluded",IF($H111="Behind the Meter","excluded",IF(NOT(OR($E111="Bundled",$E111="Energy")),"excluded",IF(OR($H111="Retail Power Marketer",$H111="Community Choice Aggregator",$E111="Energy"),"procurement",IF(OR($H111="Municipal",$H111="Cooperative",$H111="Federal",$H111="State",$H111="Political Subdivision"),"cost_service",IF($H111="Investor Owned",IF(AND(COUNTIF(Parameters!$A$4:$A$33,$G111)&gt;0,COUNTIF(Parameters!$B$4:$B$33,$B111)=0),"procurement","cost_service"),"unclassified"))))))</f>
        <v/>
      </c>
    </row>
    <row r="112">
      <c r="A112" t="n">
        <v>2024</v>
      </c>
      <c r="B112" t="n">
        <v>65259</v>
      </c>
      <c r="C112" t="inlineStr">
        <is>
          <t>Energy for Palmdale's Independent Choice</t>
        </is>
      </c>
      <c r="D112" t="inlineStr">
        <is>
          <t>B</t>
        </is>
      </c>
      <c r="E112" t="inlineStr">
        <is>
          <t>Energy</t>
        </is>
      </c>
      <c r="F112" t="inlineStr">
        <is>
          <t>O</t>
        </is>
      </c>
      <c r="G112" t="inlineStr">
        <is>
          <t>CA</t>
        </is>
      </c>
      <c r="H112" t="inlineStr">
        <is>
          <t>Community Choice Aggregator</t>
        </is>
      </c>
      <c r="I112" t="inlineStr">
        <is>
          <t>CISO</t>
        </is>
      </c>
      <c r="J112" t="n">
        <v>48705</v>
      </c>
      <c r="K112" t="n">
        <v>294561</v>
      </c>
      <c r="L112" t="n">
        <v>41057</v>
      </c>
      <c r="M112" t="n">
        <v>21537</v>
      </c>
      <c r="N112" t="n">
        <v>154046</v>
      </c>
      <c r="O112" t="n">
        <v>4345</v>
      </c>
      <c r="P112" t="n">
        <v>5227</v>
      </c>
      <c r="Q112" t="n">
        <v>47662</v>
      </c>
      <c r="R112" t="n">
        <v>50</v>
      </c>
      <c r="S112" t="n">
        <v>0</v>
      </c>
      <c r="T112" t="n">
        <v>0</v>
      </c>
      <c r="U112" t="n">
        <v>0</v>
      </c>
      <c r="V112" t="n">
        <v>75469</v>
      </c>
      <c r="W112" t="n">
        <v>496269</v>
      </c>
      <c r="X112" t="n">
        <v>45452</v>
      </c>
      <c r="Y112">
        <f>IF(ISNUMBER($W112),$W112,0)</f>
        <v/>
      </c>
      <c r="Z112">
        <f>IF(ISNUMBER(SEARCH("Adjustment",$C112)),"excluded",IF($H112="Behind the Meter","excluded",IF(NOT(OR($E112="Bundled",$E112="Energy")),"excluded",IF(OR($H112="Retail Power Marketer",$H112="Community Choice Aggregator",$E112="Energy"),"procurement",IF(OR($H112="Municipal",$H112="Cooperative",$H112="Federal",$H112="State",$H112="Political Subdivision"),"cost_service",IF($H112="Investor Owned",IF(AND(COUNTIF(Parameters!$A$4:$A$33,$G112)&gt;0,COUNTIF(Parameters!$B$4:$B$33,$B112)=0),"procurement","cost_service"),"unclassified"))))))</f>
        <v/>
      </c>
    </row>
    <row r="113">
      <c r="A113" t="n">
        <v>2024</v>
      </c>
      <c r="B113" t="n">
        <v>66026</v>
      </c>
      <c r="C113" t="inlineStr">
        <is>
          <t>Palmetto Solar, LLC</t>
        </is>
      </c>
      <c r="D113" t="inlineStr">
        <is>
          <t>A</t>
        </is>
      </c>
      <c r="E113" t="inlineStr">
        <is>
          <t>Bundled</t>
        </is>
      </c>
      <c r="F113" t="inlineStr">
        <is>
          <t>O</t>
        </is>
      </c>
      <c r="G113" t="inlineStr">
        <is>
          <t>CA</t>
        </is>
      </c>
      <c r="H113" t="inlineStr">
        <is>
          <t>Behind the Meter</t>
        </is>
      </c>
      <c r="I113" t="inlineStr">
        <is>
          <t>CISO</t>
        </is>
      </c>
      <c r="J113" t="n">
        <v>1717.2</v>
      </c>
      <c r="K113" t="n">
        <v>7088</v>
      </c>
      <c r="L113" t="n">
        <v>224</v>
      </c>
      <c r="M113" t="inlineStr">
        <is>
          <t>.</t>
        </is>
      </c>
      <c r="N113" t="inlineStr">
        <is>
          <t>.</t>
        </is>
      </c>
      <c r="O113" t="inlineStr">
        <is>
          <t>.</t>
        </is>
      </c>
      <c r="P113" t="inlineStr">
        <is>
          <t>.</t>
        </is>
      </c>
      <c r="Q113" t="inlineStr">
        <is>
          <t>.</t>
        </is>
      </c>
      <c r="R113" t="inlineStr">
        <is>
          <t>.</t>
        </is>
      </c>
      <c r="S113" t="inlineStr">
        <is>
          <t>.</t>
        </is>
      </c>
      <c r="T113" t="inlineStr">
        <is>
          <t>.</t>
        </is>
      </c>
      <c r="U113" t="inlineStr">
        <is>
          <t>.</t>
        </is>
      </c>
      <c r="V113" t="n">
        <v>1717.2</v>
      </c>
      <c r="W113" t="n">
        <v>7088</v>
      </c>
      <c r="X113" t="n">
        <v>224</v>
      </c>
      <c r="Y113">
        <f>IF(ISNUMBER($W113),$W113,0)</f>
        <v/>
      </c>
      <c r="Z113">
        <f>IF(ISNUMBER(SEARCH("Adjustment",$C113)),"excluded",IF($H113="Behind the Meter","excluded",IF(NOT(OR($E113="Bundled",$E113="Energy")),"excluded",IF(OR($H113="Retail Power Marketer",$H113="Community Choice Aggregator",$E113="Energy"),"procurement",IF(OR($H113="Municipal",$H113="Cooperative",$H113="Federal",$H113="State",$H113="Political Subdivision"),"cost_service",IF($H113="Investor Owned",IF(AND(COUNTIF(Parameters!$A$4:$A$33,$G113)&gt;0,COUNTIF(Parameters!$B$4:$B$33,$B113)=0),"procurement","cost_service"),"unclassified"))))))</f>
        <v/>
      </c>
    </row>
    <row r="114">
      <c r="A114" t="n">
        <v>2024</v>
      </c>
      <c r="B114" t="n">
        <v>66026</v>
      </c>
      <c r="C114" t="inlineStr">
        <is>
          <t>Palmetto Solar, LLC</t>
        </is>
      </c>
      <c r="D114" t="inlineStr">
        <is>
          <t>A</t>
        </is>
      </c>
      <c r="E114" t="inlineStr">
        <is>
          <t>Bundled</t>
        </is>
      </c>
      <c r="F114" t="inlineStr">
        <is>
          <t>O</t>
        </is>
      </c>
      <c r="G114" t="inlineStr">
        <is>
          <t>CA</t>
        </is>
      </c>
      <c r="H114" t="inlineStr">
        <is>
          <t>Behind the Meter</t>
        </is>
      </c>
      <c r="I114" t="inlineStr">
        <is>
          <t>LDWP</t>
        </is>
      </c>
      <c r="J114" t="n">
        <v>185.8</v>
      </c>
      <c r="K114" t="n">
        <v>767</v>
      </c>
      <c r="L114" t="n">
        <v>24</v>
      </c>
      <c r="M114" t="inlineStr">
        <is>
          <t>.</t>
        </is>
      </c>
      <c r="N114" t="inlineStr">
        <is>
          <t>.</t>
        </is>
      </c>
      <c r="O114" t="inlineStr">
        <is>
          <t>.</t>
        </is>
      </c>
      <c r="P114" t="inlineStr">
        <is>
          <t>.</t>
        </is>
      </c>
      <c r="Q114" t="inlineStr">
        <is>
          <t>.</t>
        </is>
      </c>
      <c r="R114" t="inlineStr">
        <is>
          <t>.</t>
        </is>
      </c>
      <c r="S114" t="inlineStr">
        <is>
          <t>.</t>
        </is>
      </c>
      <c r="T114" t="inlineStr">
        <is>
          <t>.</t>
        </is>
      </c>
      <c r="U114" t="inlineStr">
        <is>
          <t>.</t>
        </is>
      </c>
      <c r="V114" t="n">
        <v>185.8</v>
      </c>
      <c r="W114" t="n">
        <v>767</v>
      </c>
      <c r="X114" t="n">
        <v>24</v>
      </c>
      <c r="Y114">
        <f>IF(ISNUMBER($W114),$W114,0)</f>
        <v/>
      </c>
      <c r="Z114">
        <f>IF(ISNUMBER(SEARCH("Adjustment",$C114)),"excluded",IF($H114="Behind the Meter","excluded",IF(NOT(OR($E114="Bundled",$E114="Energy")),"excluded",IF(OR($H114="Retail Power Marketer",$H114="Community Choice Aggregator",$E114="Energy"),"procurement",IF(OR($H114="Municipal",$H114="Cooperative",$H114="Federal",$H114="State",$H114="Political Subdivision"),"cost_service",IF($H114="Investor Owned",IF(AND(COUNTIF(Parameters!$A$4:$A$33,$G114)&gt;0,COUNTIF(Parameters!$B$4:$B$33,$B114)=0),"procurement","cost_service"),"unclassified"))))))</f>
        <v/>
      </c>
    </row>
    <row r="115">
      <c r="A115" t="n">
        <v>2024</v>
      </c>
      <c r="B115" t="n">
        <v>66036</v>
      </c>
      <c r="C115" t="inlineStr">
        <is>
          <t>EverBright, LLC</t>
        </is>
      </c>
      <c r="D115" t="inlineStr">
        <is>
          <t>A</t>
        </is>
      </c>
      <c r="E115" t="inlineStr">
        <is>
          <t>Bundled</t>
        </is>
      </c>
      <c r="F115" t="inlineStr">
        <is>
          <t>O</t>
        </is>
      </c>
      <c r="G115" t="inlineStr">
        <is>
          <t>CA</t>
        </is>
      </c>
      <c r="H115" t="inlineStr">
        <is>
          <t>Behind the Meter</t>
        </is>
      </c>
      <c r="I115" t="inlineStr">
        <is>
          <t>CISO</t>
        </is>
      </c>
      <c r="J115" t="n">
        <v>19656.4</v>
      </c>
      <c r="K115" t="n">
        <v>100101</v>
      </c>
      <c r="L115" t="n">
        <v>11488</v>
      </c>
      <c r="M115" t="inlineStr">
        <is>
          <t>.</t>
        </is>
      </c>
      <c r="N115" t="inlineStr">
        <is>
          <t>.</t>
        </is>
      </c>
      <c r="O115" t="inlineStr">
        <is>
          <t>.</t>
        </is>
      </c>
      <c r="P115" t="inlineStr">
        <is>
          <t>.</t>
        </is>
      </c>
      <c r="Q115" t="inlineStr">
        <is>
          <t>.</t>
        </is>
      </c>
      <c r="R115" t="inlineStr">
        <is>
          <t>.</t>
        </is>
      </c>
      <c r="S115" t="inlineStr">
        <is>
          <t>.</t>
        </is>
      </c>
      <c r="T115" t="inlineStr">
        <is>
          <t>.</t>
        </is>
      </c>
      <c r="U115" t="inlineStr">
        <is>
          <t>.</t>
        </is>
      </c>
      <c r="V115" t="n">
        <v>19656.4</v>
      </c>
      <c r="W115" t="n">
        <v>100101</v>
      </c>
      <c r="X115" t="n">
        <v>11488</v>
      </c>
      <c r="Y115">
        <f>IF(ISNUMBER($W115),$W115,0)</f>
        <v/>
      </c>
      <c r="Z115">
        <f>IF(ISNUMBER(SEARCH("Adjustment",$C115)),"excluded",IF($H115="Behind the Meter","excluded",IF(NOT(OR($E115="Bundled",$E115="Energy")),"excluded",IF(OR($H115="Retail Power Marketer",$H115="Community Choice Aggregator",$E115="Energy"),"procurement",IF(OR($H115="Municipal",$H115="Cooperative",$H115="Federal",$H115="State",$H115="Political Subdivision"),"cost_service",IF($H115="Investor Owned",IF(AND(COUNTIF(Parameters!$A$4:$A$33,$G115)&gt;0,COUNTIF(Parameters!$B$4:$B$33,$B115)=0),"procurement","cost_service"),"unclassified"))))))</f>
        <v/>
      </c>
    </row>
    <row r="116">
      <c r="A116" t="n">
        <v>2024</v>
      </c>
      <c r="B116" t="n">
        <v>66082</v>
      </c>
      <c r="C116" t="inlineStr">
        <is>
          <t>Eastside Power Authority</t>
        </is>
      </c>
      <c r="D116" t="inlineStr">
        <is>
          <t>B</t>
        </is>
      </c>
      <c r="E116" t="inlineStr">
        <is>
          <t>Energy</t>
        </is>
      </c>
      <c r="F116" t="inlineStr">
        <is>
          <t>O</t>
        </is>
      </c>
      <c r="G116" t="inlineStr">
        <is>
          <t>CA</t>
        </is>
      </c>
      <c r="H116" t="inlineStr">
        <is>
          <t>Political Subdivision</t>
        </is>
      </c>
      <c r="I116" t="inlineStr">
        <is>
          <t>CISO</t>
        </is>
      </c>
      <c r="J116" t="inlineStr">
        <is>
          <t>.</t>
        </is>
      </c>
      <c r="K116" t="inlineStr">
        <is>
          <t>.</t>
        </is>
      </c>
      <c r="L116" t="inlineStr">
        <is>
          <t>.</t>
        </is>
      </c>
      <c r="M116" t="inlineStr">
        <is>
          <t>.</t>
        </is>
      </c>
      <c r="N116" t="inlineStr">
        <is>
          <t>.</t>
        </is>
      </c>
      <c r="O116" t="inlineStr">
        <is>
          <t>.</t>
        </is>
      </c>
      <c r="P116" t="n">
        <v>2294.8</v>
      </c>
      <c r="Q116" t="n">
        <v>37949</v>
      </c>
      <c r="R116" t="n">
        <v>4</v>
      </c>
      <c r="S116" t="inlineStr">
        <is>
          <t>.</t>
        </is>
      </c>
      <c r="T116" t="inlineStr">
        <is>
          <t>.</t>
        </is>
      </c>
      <c r="U116" t="inlineStr">
        <is>
          <t>.</t>
        </is>
      </c>
      <c r="V116" t="n">
        <v>2294.8</v>
      </c>
      <c r="W116" t="n">
        <v>37949</v>
      </c>
      <c r="X116" t="n">
        <v>4</v>
      </c>
      <c r="Y116">
        <f>IF(ISNUMBER($W116),$W116,0)</f>
        <v/>
      </c>
      <c r="Z116">
        <f>IF(ISNUMBER(SEARCH("Adjustment",$C116)),"excluded",IF($H116="Behind the Meter","excluded",IF(NOT(OR($E116="Bundled",$E116="Energy")),"excluded",IF(OR($H116="Retail Power Marketer",$H116="Community Choice Aggregator",$E116="Energy"),"procurement",IF(OR($H116="Municipal",$H116="Cooperative",$H116="Federal",$H116="State",$H116="Political Subdivision"),"cost_service",IF($H116="Investor Owned",IF(AND(COUNTIF(Parameters!$A$4:$A$33,$G116)&gt;0,COUNTIF(Parameters!$B$4:$B$33,$B116)=0),"procurement","cost_service"),"unclassified"))))))</f>
        <v/>
      </c>
    </row>
    <row r="117">
      <c r="A117" t="n">
        <v>2024</v>
      </c>
      <c r="B117" t="n">
        <v>99999</v>
      </c>
      <c r="C117" t="inlineStr">
        <is>
          <t>Adjustment 2024</t>
        </is>
      </c>
      <c r="D117" t="inlineStr">
        <is>
          <t>A</t>
        </is>
      </c>
      <c r="E117" t="inlineStr">
        <is>
          <t>Bundled</t>
        </is>
      </c>
      <c r="F117" t="inlineStr">
        <is>
          <t>I</t>
        </is>
      </c>
      <c r="G117" t="inlineStr">
        <is>
          <t>CA</t>
        </is>
      </c>
      <c r="H117" t="inlineStr"/>
      <c r="I117" t="inlineStr">
        <is>
          <t>CISO</t>
        </is>
      </c>
      <c r="J117" t="n">
        <v>93234.60000000001</v>
      </c>
      <c r="K117" t="n">
        <v>408285</v>
      </c>
      <c r="L117" t="n">
        <v>-524322</v>
      </c>
      <c r="M117" t="n">
        <v>192856.7</v>
      </c>
      <c r="N117" t="n">
        <v>1310338</v>
      </c>
      <c r="O117" t="n">
        <v>6439</v>
      </c>
      <c r="P117" t="n">
        <v>114717</v>
      </c>
      <c r="Q117" t="n">
        <v>1560345</v>
      </c>
      <c r="R117" t="n">
        <v>673</v>
      </c>
      <c r="S117" t="n">
        <v>0</v>
      </c>
      <c r="T117" t="n">
        <v>0</v>
      </c>
      <c r="U117" t="n">
        <v>0</v>
      </c>
      <c r="V117" t="n">
        <v>400808.3</v>
      </c>
      <c r="W117" t="n">
        <v>3278968</v>
      </c>
      <c r="X117" t="n">
        <v>-517210</v>
      </c>
      <c r="Y117">
        <f>IF(ISNUMBER($W117),$W117,0)</f>
        <v/>
      </c>
      <c r="Z117">
        <f>IF(ISNUMBER(SEARCH("Adjustment",$C117)),"excluded",IF($H117="Behind the Meter","excluded",IF(NOT(OR($E117="Bundled",$E117="Energy")),"excluded",IF(OR($H117="Retail Power Marketer",$H117="Community Choice Aggregator",$E117="Energy"),"procurement",IF(OR($H117="Municipal",$H117="Cooperative",$H117="Federal",$H117="State",$H117="Political Subdivision"),"cost_service",IF($H117="Investor Owned",IF(AND(COUNTIF(Parameters!$A$4:$A$33,$G117)&gt;0,COUNTIF(Parameters!$B$4:$B$33,$B117)=0),"procurement","cost_service"),"unclassified"))))))</f>
        <v/>
      </c>
    </row>
    <row r="118">
      <c r="A118" t="n">
        <v>2024</v>
      </c>
      <c r="B118" t="n">
        <v>99999</v>
      </c>
      <c r="C118" t="inlineStr">
        <is>
          <t>Adjustment 2024</t>
        </is>
      </c>
      <c r="D118" t="inlineStr">
        <is>
          <t>A</t>
        </is>
      </c>
      <c r="E118" t="inlineStr">
        <is>
          <t>Bundled</t>
        </is>
      </c>
      <c r="F118" t="inlineStr">
        <is>
          <t>I</t>
        </is>
      </c>
      <c r="G118" t="inlineStr">
        <is>
          <t>CA</t>
        </is>
      </c>
      <c r="H118" t="inlineStr"/>
      <c r="I118" t="inlineStr">
        <is>
          <t>IID</t>
        </is>
      </c>
      <c r="J118" t="n">
        <v>0</v>
      </c>
      <c r="K118" t="n">
        <v>0</v>
      </c>
      <c r="L118" t="n">
        <v>-3672</v>
      </c>
      <c r="M118" t="n">
        <v>0</v>
      </c>
      <c r="N118" t="n">
        <v>0</v>
      </c>
      <c r="O118" t="n">
        <v>-1</v>
      </c>
      <c r="P118" t="n">
        <v>426</v>
      </c>
      <c r="Q118" t="n">
        <v>4943</v>
      </c>
      <c r="R118" t="n">
        <v>2</v>
      </c>
      <c r="S118" t="n">
        <v>0</v>
      </c>
      <c r="T118" t="n">
        <v>0</v>
      </c>
      <c r="U118" t="n">
        <v>0</v>
      </c>
      <c r="V118" t="n">
        <v>426</v>
      </c>
      <c r="W118" t="n">
        <v>4943</v>
      </c>
      <c r="X118" t="n">
        <v>-3671</v>
      </c>
      <c r="Y118">
        <f>IF(ISNUMBER($W118),$W118,0)</f>
        <v/>
      </c>
      <c r="Z118">
        <f>IF(ISNUMBER(SEARCH("Adjustment",$C118)),"excluded",IF($H118="Behind the Meter","excluded",IF(NOT(OR($E118="Bundled",$E118="Energy")),"excluded",IF(OR($H118="Retail Power Marketer",$H118="Community Choice Aggregator",$E118="Energy"),"procurement",IF(OR($H118="Municipal",$H118="Cooperative",$H118="Federal",$H118="State",$H118="Political Subdivision"),"cost_service",IF($H118="Investor Owned",IF(AND(COUNTIF(Parameters!$A$4:$A$33,$G118)&gt;0,COUNTIF(Parameters!$B$4:$B$33,$B118)=0),"procurement","cost_service"),"unclassified"))))))</f>
        <v/>
      </c>
    </row>
    <row r="119">
      <c r="A119" t="n">
        <v>2024</v>
      </c>
      <c r="B119" t="n">
        <v>99999</v>
      </c>
      <c r="C119" t="inlineStr">
        <is>
          <t>Adjustment 2024</t>
        </is>
      </c>
      <c r="D119" t="inlineStr">
        <is>
          <t>A</t>
        </is>
      </c>
      <c r="E119" t="inlineStr">
        <is>
          <t>Bundled</t>
        </is>
      </c>
      <c r="F119" t="inlineStr">
        <is>
          <t>I</t>
        </is>
      </c>
      <c r="G119" t="inlineStr">
        <is>
          <t>CA</t>
        </is>
      </c>
      <c r="H119" t="inlineStr"/>
      <c r="I119" t="inlineStr">
        <is>
          <t>LDWP</t>
        </is>
      </c>
      <c r="J119" t="n">
        <v>0</v>
      </c>
      <c r="K119" t="n">
        <v>0</v>
      </c>
      <c r="L119" t="n">
        <v>-20153</v>
      </c>
      <c r="M119" t="n">
        <v>425</v>
      </c>
      <c r="N119" t="n">
        <v>4222</v>
      </c>
      <c r="O119" t="n">
        <v>-68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425</v>
      </c>
      <c r="W119" t="n">
        <v>4222</v>
      </c>
      <c r="X119" t="n">
        <v>-20221</v>
      </c>
      <c r="Y119">
        <f>IF(ISNUMBER($W119),$W119,0)</f>
        <v/>
      </c>
      <c r="Z119">
        <f>IF(ISNUMBER(SEARCH("Adjustment",$C119)),"excluded",IF($H119="Behind the Meter","excluded",IF(NOT(OR($E119="Bundled",$E119="Energy")),"excluded",IF(OR($H119="Retail Power Marketer",$H119="Community Choice Aggregator",$E119="Energy"),"procurement",IF(OR($H119="Municipal",$H119="Cooperative",$H119="Federal",$H119="State",$H119="Political Subdivision"),"cost_service",IF($H119="Investor Owned",IF(AND(COUNTIF(Parameters!$A$4:$A$33,$G119)&gt;0,COUNTIF(Parameters!$B$4:$B$33,$B119)=0),"procurement","cost_service"),"unclassified"))))))</f>
        <v/>
      </c>
    </row>
    <row r="120">
      <c r="A120" t="n">
        <v>2024</v>
      </c>
      <c r="B120" t="n">
        <v>99999</v>
      </c>
      <c r="C120" t="inlineStr">
        <is>
          <t>Adjustment 2024</t>
        </is>
      </c>
      <c r="D120" t="inlineStr">
        <is>
          <t>A</t>
        </is>
      </c>
      <c r="E120" t="inlineStr">
        <is>
          <t>Bundled</t>
        </is>
      </c>
      <c r="F120" t="inlineStr">
        <is>
          <t>I</t>
        </is>
      </c>
      <c r="G120" t="inlineStr">
        <is>
          <t>CA</t>
        </is>
      </c>
      <c r="H120" t="inlineStr"/>
      <c r="I120" t="inlineStr">
        <is>
          <t>NEVP</t>
        </is>
      </c>
      <c r="J120" t="n">
        <v>21785.1</v>
      </c>
      <c r="K120" t="n">
        <v>95038</v>
      </c>
      <c r="L120" t="n">
        <v>13090</v>
      </c>
      <c r="M120" t="n">
        <v>15819.2</v>
      </c>
      <c r="N120" t="n">
        <v>73459</v>
      </c>
      <c r="O120" t="n">
        <v>1699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37604.3</v>
      </c>
      <c r="W120" t="n">
        <v>168497</v>
      </c>
      <c r="X120" t="n">
        <v>14789</v>
      </c>
      <c r="Y120">
        <f>IF(ISNUMBER($W120),$W120,0)</f>
        <v/>
      </c>
      <c r="Z120">
        <f>IF(ISNUMBER(SEARCH("Adjustment",$C120)),"excluded",IF($H120="Behind the Meter","excluded",IF(NOT(OR($E120="Bundled",$E120="Energy")),"excluded",IF(OR($H120="Retail Power Marketer",$H120="Community Choice Aggregator",$E120="Energy"),"procurement",IF(OR($H120="Municipal",$H120="Cooperative",$H120="Federal",$H120="State",$H120="Political Subdivision"),"cost_service",IF($H120="Investor Owned",IF(AND(COUNTIF(Parameters!$A$4:$A$33,$G120)&gt;0,COUNTIF(Parameters!$B$4:$B$33,$B120)=0),"procurement","cost_service"),"unclassified"))))))</f>
        <v/>
      </c>
    </row>
    <row r="121">
      <c r="A121" t="n">
        <v>2024</v>
      </c>
      <c r="B121" t="n">
        <v>99999</v>
      </c>
      <c r="C121" t="inlineStr">
        <is>
          <t>Adjustment 2024</t>
        </is>
      </c>
      <c r="D121" t="inlineStr">
        <is>
          <t>A</t>
        </is>
      </c>
      <c r="E121" t="inlineStr">
        <is>
          <t>Bundled</t>
        </is>
      </c>
      <c r="F121" t="inlineStr">
        <is>
          <t>I</t>
        </is>
      </c>
      <c r="G121" t="inlineStr">
        <is>
          <t>CA</t>
        </is>
      </c>
      <c r="H121" t="inlineStr"/>
      <c r="I121" t="inlineStr">
        <is>
          <t>PACW</t>
        </is>
      </c>
      <c r="J121" t="n">
        <v>0</v>
      </c>
      <c r="K121" t="n">
        <v>0</v>
      </c>
      <c r="L121" t="n">
        <v>-44</v>
      </c>
      <c r="M121" t="n">
        <v>0</v>
      </c>
      <c r="N121" t="n">
        <v>0</v>
      </c>
      <c r="O121" t="n">
        <v>-1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-45</v>
      </c>
      <c r="Y121">
        <f>IF(ISNUMBER($W121),$W121,0)</f>
        <v/>
      </c>
      <c r="Z121">
        <f>IF(ISNUMBER(SEARCH("Adjustment",$C121)),"excluded",IF($H121="Behind the Meter","excluded",IF(NOT(OR($E121="Bundled",$E121="Energy")),"excluded",IF(OR($H121="Retail Power Marketer",$H121="Community Choice Aggregator",$E121="Energy"),"procurement",IF(OR($H121="Municipal",$H121="Cooperative",$H121="Federal",$H121="State",$H121="Political Subdivision"),"cost_service",IF($H121="Investor Owned",IF(AND(COUNTIF(Parameters!$A$4:$A$33,$G121)&gt;0,COUNTIF(Parameters!$B$4:$B$33,$B121)=0),"procurement","cost_service"),"unclassified"))))))</f>
        <v/>
      </c>
    </row>
    <row r="122">
      <c r="A122" t="n">
        <v>2024</v>
      </c>
      <c r="B122" t="n">
        <v>99999</v>
      </c>
      <c r="C122" t="inlineStr">
        <is>
          <t>Adjustment 2024</t>
        </is>
      </c>
      <c r="D122" t="inlineStr">
        <is>
          <t>A</t>
        </is>
      </c>
      <c r="E122" t="inlineStr">
        <is>
          <t>Bundled</t>
        </is>
      </c>
      <c r="F122" t="inlineStr">
        <is>
          <t>I</t>
        </is>
      </c>
      <c r="G122" t="inlineStr">
        <is>
          <t>CA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98</v>
      </c>
      <c r="N122" t="n">
        <v>554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98</v>
      </c>
      <c r="W122" t="n">
        <v>554</v>
      </c>
      <c r="X122" t="n">
        <v>1</v>
      </c>
      <c r="Y122">
        <f>IF(ISNUMBER($W122),$W122,0)</f>
        <v/>
      </c>
      <c r="Z122">
        <f>IF(ISNUMBER(SEARCH("Adjustment",$C122)),"excluded",IF($H122="Behind the Meter","excluded",IF(NOT(OR($E122="Bundled",$E122="Energy")),"excluded",IF(OR($H122="Retail Power Marketer",$H122="Community Choice Aggregator",$E122="Energy"),"procurement",IF(OR($H122="Municipal",$H122="Cooperative",$H122="Federal",$H122="State",$H122="Political Subdivision"),"cost_service",IF($H122="Investor Owned",IF(AND(COUNTIF(Parameters!$A$4:$A$33,$G122)&gt;0,COUNTIF(Parameters!$B$4:$B$33,$B122)=0),"procurement","cost_service"),"unclassified"))))))</f>
        <v/>
      </c>
    </row>
    <row r="123">
      <c r="A123" t="n">
        <v>2024</v>
      </c>
      <c r="B123" t="n">
        <v>99999</v>
      </c>
      <c r="C123" t="inlineStr">
        <is>
          <t>Adjustment 2024</t>
        </is>
      </c>
      <c r="D123" t="inlineStr">
        <is>
          <t>A</t>
        </is>
      </c>
      <c r="E123" t="inlineStr">
        <is>
          <t>Bundled</t>
        </is>
      </c>
      <c r="F123" t="inlineStr">
        <is>
          <t>I</t>
        </is>
      </c>
      <c r="G123" t="inlineStr">
        <is>
          <t>CA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221</v>
      </c>
      <c r="N123" t="n">
        <v>7927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221</v>
      </c>
      <c r="W123" t="n">
        <v>7927</v>
      </c>
      <c r="X123" t="n">
        <v>1</v>
      </c>
      <c r="Y123">
        <f>IF(ISNUMBER($W123),$W123,0)</f>
        <v/>
      </c>
      <c r="Z123">
        <f>IF(ISNUMBER(SEARCH("Adjustment",$C123)),"excluded",IF($H123="Behind the Meter","excluded",IF(NOT(OR($E123="Bundled",$E123="Energy")),"excluded",IF(OR($H123="Retail Power Marketer",$H123="Community Choice Aggregator",$E123="Energy"),"procurement",IF(OR($H123="Municipal",$H123="Cooperative",$H123="Federal",$H123="State",$H123="Political Subdivision"),"cost_service",IF($H123="Investor Owned",IF(AND(COUNTIF(Parameters!$A$4:$A$33,$G123)&gt;0,COUNTIF(Parameters!$B$4:$B$33,$B123)=0),"procurement","cost_service"),"unclassified"))))))</f>
        <v/>
      </c>
    </row>
    <row r="124">
      <c r="A124" t="n">
        <v>2024</v>
      </c>
      <c r="B124" t="n">
        <v>99999</v>
      </c>
      <c r="C124" t="inlineStr">
        <is>
          <t>Adjustment 2024</t>
        </is>
      </c>
      <c r="D124" t="inlineStr">
        <is>
          <t>A</t>
        </is>
      </c>
      <c r="E124" t="inlineStr">
        <is>
          <t>Bundled</t>
        </is>
      </c>
      <c r="F124" t="inlineStr">
        <is>
          <t>I</t>
        </is>
      </c>
      <c r="G124" t="inlineStr">
        <is>
          <t>CA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3769</v>
      </c>
      <c r="N124" t="n">
        <v>40317</v>
      </c>
      <c r="O124" t="n">
        <v>11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3769</v>
      </c>
      <c r="W124" t="n">
        <v>40317</v>
      </c>
      <c r="X124" t="n">
        <v>11</v>
      </c>
      <c r="Y124">
        <f>IF(ISNUMBER($W124),$W124,0)</f>
        <v/>
      </c>
      <c r="Z124">
        <f>IF(ISNUMBER(SEARCH("Adjustment",$C124)),"excluded",IF($H124="Behind the Meter","excluded",IF(NOT(OR($E124="Bundled",$E124="Energy")),"excluded",IF(OR($H124="Retail Power Marketer",$H124="Community Choice Aggregator",$E124="Energy"),"procurement",IF(OR($H124="Municipal",$H124="Cooperative",$H124="Federal",$H124="State",$H124="Political Subdivision"),"cost_service",IF($H124="Investor Owned",IF(AND(COUNTIF(Parameters!$A$4:$A$33,$G124)&gt;0,COUNTIF(Parameters!$B$4:$B$33,$B124)=0),"procurement","cost_service"),"unclassified"))))))</f>
        <v/>
      </c>
    </row>
    <row r="125">
      <c r="A125" t="n">
        <v>2024</v>
      </c>
      <c r="B125" t="n">
        <v>99999</v>
      </c>
      <c r="C125" t="inlineStr">
        <is>
          <t>Adjustment 2024</t>
        </is>
      </c>
      <c r="D125" t="inlineStr">
        <is>
          <t>A</t>
        </is>
      </c>
      <c r="E125" t="inlineStr">
        <is>
          <t>Bundled</t>
        </is>
      </c>
      <c r="F125" t="inlineStr">
        <is>
          <t>I</t>
        </is>
      </c>
      <c r="G125" t="inlineStr">
        <is>
          <t>CA</t>
        </is>
      </c>
      <c r="H125" t="inlineStr"/>
      <c r="I125" t="inlineStr">
        <is>
          <t>TIDC</t>
        </is>
      </c>
      <c r="J125" t="n">
        <v>0</v>
      </c>
      <c r="K125" t="n">
        <v>0</v>
      </c>
      <c r="L125" t="n">
        <v>-719</v>
      </c>
      <c r="M125" t="n">
        <v>0</v>
      </c>
      <c r="N125" t="n">
        <v>0</v>
      </c>
      <c r="O125" t="n">
        <v>-1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-720</v>
      </c>
      <c r="Y125">
        <f>IF(ISNUMBER($W125),$W125,0)</f>
        <v/>
      </c>
      <c r="Z125">
        <f>IF(ISNUMBER(SEARCH("Adjustment",$C125)),"excluded",IF($H125="Behind the Meter","excluded",IF(NOT(OR($E125="Bundled",$E125="Energy")),"excluded",IF(OR($H125="Retail Power Marketer",$H125="Community Choice Aggregator",$E125="Energy"),"procurement",IF(OR($H125="Municipal",$H125="Cooperative",$H125="Federal",$H125="State",$H125="Political Subdivision"),"cost_service",IF($H125="Investor Owned",IF(AND(COUNTIF(Parameters!$A$4:$A$33,$G125)&gt;0,COUNTIF(Parameters!$B$4:$B$33,$B125)=0),"procurement","cost_service"),"unclassified"))))))</f>
        <v/>
      </c>
    </row>
    <row r="126">
      <c r="A126" t="n">
        <v>2024</v>
      </c>
      <c r="B126" t="n">
        <v>99999</v>
      </c>
      <c r="C126" t="inlineStr">
        <is>
          <t>Adjustment 2024</t>
        </is>
      </c>
      <c r="D126" t="inlineStr">
        <is>
          <t>A</t>
        </is>
      </c>
      <c r="E126" t="inlineStr">
        <is>
          <t>Bundled</t>
        </is>
      </c>
      <c r="F126" t="inlineStr">
        <is>
          <t>I</t>
        </is>
      </c>
      <c r="G126" t="inlineStr">
        <is>
          <t>CA</t>
        </is>
      </c>
      <c r="H126" t="inlineStr"/>
      <c r="I126" t="inlineStr">
        <is>
          <t>WALC</t>
        </is>
      </c>
      <c r="J126" t="n">
        <v>25812.1</v>
      </c>
      <c r="K126" t="n">
        <v>133454</v>
      </c>
      <c r="L126" t="n">
        <v>8619</v>
      </c>
      <c r="M126" t="n">
        <v>5545.4</v>
      </c>
      <c r="N126" t="n">
        <v>29142</v>
      </c>
      <c r="O126" t="n">
        <v>1166</v>
      </c>
      <c r="P126" t="n">
        <v>244.7</v>
      </c>
      <c r="Q126" t="n">
        <v>2130</v>
      </c>
      <c r="R126" t="n">
        <v>26</v>
      </c>
      <c r="S126" t="n">
        <v>0</v>
      </c>
      <c r="T126" t="n">
        <v>0</v>
      </c>
      <c r="U126" t="n">
        <v>0</v>
      </c>
      <c r="V126" t="n">
        <v>31602.2</v>
      </c>
      <c r="W126" t="n">
        <v>164726</v>
      </c>
      <c r="X126" t="n">
        <v>9811</v>
      </c>
      <c r="Y126">
        <f>IF(ISNUMBER($W126),$W126,0)</f>
        <v/>
      </c>
      <c r="Z126">
        <f>IF(ISNUMBER(SEARCH("Adjustment",$C126)),"excluded",IF($H126="Behind the Meter","excluded",IF(NOT(OR($E126="Bundled",$E126="Energy")),"excluded",IF(OR($H126="Retail Power Marketer",$H126="Community Choice Aggregator",$E126="Energy"),"procurement",IF(OR($H126="Municipal",$H126="Cooperative",$H126="Federal",$H126="State",$H126="Political Subdivision"),"cost_service",IF($H126="Investor Owned",IF(AND(COUNTIF(Parameters!$A$4:$A$33,$G126)&gt;0,COUNTIF(Parameters!$B$4:$B$33,$B126)=0),"procurement","cost_service"),"unclassified"))))))</f>
        <v/>
      </c>
    </row>
    <row r="127">
      <c r="A127" t="n">
        <v>2024</v>
      </c>
      <c r="B127" t="n">
        <v>99999</v>
      </c>
      <c r="C127" t="inlineStr">
        <is>
          <t>Adjustment 2024</t>
        </is>
      </c>
      <c r="D127" t="inlineStr">
        <is>
          <t>A</t>
        </is>
      </c>
      <c r="E127" t="inlineStr">
        <is>
          <t>Bundled</t>
        </is>
      </c>
      <c r="F127" t="inlineStr">
        <is>
          <t>I</t>
        </is>
      </c>
      <c r="G127" t="inlineStr">
        <is>
          <t>CA</t>
        </is>
      </c>
      <c r="H127" t="inlineStr"/>
      <c r="I127" t="inlineStr">
        <is>
          <t>BANC</t>
        </is>
      </c>
      <c r="J127" t="n">
        <v>7270.1</v>
      </c>
      <c r="K127" t="n">
        <v>72875</v>
      </c>
      <c r="L127" t="n">
        <v>-16088</v>
      </c>
      <c r="M127" t="n">
        <v>3817.8</v>
      </c>
      <c r="N127" t="n">
        <v>37164</v>
      </c>
      <c r="O127" t="n">
        <v>1312</v>
      </c>
      <c r="P127" t="n">
        <v>718.1</v>
      </c>
      <c r="Q127" t="n">
        <v>10770</v>
      </c>
      <c r="R127" t="n">
        <v>1</v>
      </c>
      <c r="S127" t="n">
        <v>0</v>
      </c>
      <c r="T127" t="n">
        <v>0</v>
      </c>
      <c r="U127" t="n">
        <v>0</v>
      </c>
      <c r="V127" t="n">
        <v>11806</v>
      </c>
      <c r="W127" t="n">
        <v>120809</v>
      </c>
      <c r="X127" t="n">
        <v>-14775</v>
      </c>
      <c r="Y127">
        <f>IF(ISNUMBER($W127),$W127,0)</f>
        <v/>
      </c>
      <c r="Z127">
        <f>IF(ISNUMBER(SEARCH("Adjustment",$C127)),"excluded",IF($H127="Behind the Meter","excluded",IF(NOT(OR($E127="Bundled",$E127="Energy")),"excluded",IF(OR($H127="Retail Power Marketer",$H127="Community Choice Aggregator",$E127="Energy"),"procurement",IF(OR($H127="Municipal",$H127="Cooperative",$H127="Federal",$H127="State",$H127="Political Subdivision"),"cost_service",IF($H127="Investor Owned",IF(AND(COUNTIF(Parameters!$A$4:$A$33,$G127)&gt;0,COUNTIF(Parameters!$B$4:$B$33,$B127)=0),"procurement","cost_service"),"unclassified"))))))</f>
        <v/>
      </c>
    </row>
    <row r="128">
      <c r="A128" t="n">
        <v>2024</v>
      </c>
      <c r="B128" t="n">
        <v>99999</v>
      </c>
      <c r="C128" t="inlineStr">
        <is>
          <t>Adjustment 2024</t>
        </is>
      </c>
      <c r="D128" t="inlineStr">
        <is>
          <t>B</t>
        </is>
      </c>
      <c r="E128" t="inlineStr">
        <is>
          <t>Energy</t>
        </is>
      </c>
      <c r="F128" t="inlineStr">
        <is>
          <t>I</t>
        </is>
      </c>
      <c r="G128" t="inlineStr">
        <is>
          <t>CA</t>
        </is>
      </c>
      <c r="H128" t="inlineStr"/>
      <c r="I128" t="inlineStr">
        <is>
          <t>CISO</t>
        </is>
      </c>
      <c r="J128" t="n">
        <v>-71016.2</v>
      </c>
      <c r="K128" t="n">
        <v>-453810</v>
      </c>
      <c r="L128" t="n">
        <v>237746</v>
      </c>
      <c r="M128" t="n">
        <v>-135185.8</v>
      </c>
      <c r="N128" t="n">
        <v>-1076114</v>
      </c>
      <c r="O128" t="n">
        <v>107644</v>
      </c>
      <c r="P128" t="n">
        <v>400592.7</v>
      </c>
      <c r="Q128" t="n">
        <v>3212719</v>
      </c>
      <c r="R128" t="n">
        <v>-5800</v>
      </c>
      <c r="S128" t="n">
        <v>-569.3</v>
      </c>
      <c r="T128" t="n">
        <v>-5241</v>
      </c>
      <c r="U128" t="n">
        <v>-1</v>
      </c>
      <c r="V128" t="n">
        <v>193821.3</v>
      </c>
      <c r="W128" t="n">
        <v>1677554</v>
      </c>
      <c r="X128" t="n">
        <v>339589</v>
      </c>
      <c r="Y128">
        <f>IF(ISNUMBER($W128),$W128,0)</f>
        <v/>
      </c>
      <c r="Z128">
        <f>IF(ISNUMBER(SEARCH("Adjustment",$C128)),"excluded",IF($H128="Behind the Meter","excluded",IF(NOT(OR($E128="Bundled",$E128="Energy")),"excluded",IF(OR($H128="Retail Power Marketer",$H128="Community Choice Aggregator",$E128="Energy"),"procurement",IF(OR($H128="Municipal",$H128="Cooperative",$H128="Federal",$H128="State",$H128="Political Subdivision"),"cost_service",IF($H128="Investor Owned",IF(AND(COUNTIF(Parameters!$A$4:$A$33,$G128)&gt;0,COUNTIF(Parameters!$B$4:$B$33,$B128)=0),"procurement","cost_service"),"unclassified"))))))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CA</t>
        </is>
      </c>
      <c r="B2">
        <f>SUMIFS('EIA-861 Sales 2024'!$Y$4:$Y$128,'EIA-861 Sales 2024'!$Z$4:$Z$128,"cost_service")</f>
        <v/>
      </c>
      <c r="C2">
        <f>SUMIFS('EIA-861 Sales 2024'!$Y$4:$Y$128,'EIA-861 Sales 2024'!$Z$4:$Z$128,"procurement")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2026-06-02T20:15:27Z</dcterms:created>
  <dcterms:modified xmlns:dcterms="http://purl.org/dc/terms/" xmlns:xsi="http://www.w3.org/2001/XMLSchema-instance" xsi:type="dcterms:W3CDTF">2026-06-02T20:15:27Z</dcterms:modified>
</cp:coreProperties>
</file>