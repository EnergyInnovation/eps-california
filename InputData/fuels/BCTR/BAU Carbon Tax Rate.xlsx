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A\fuels\BCTR\"/>
    </mc:Choice>
  </mc:AlternateContent>
  <xr:revisionPtr revIDLastSave="0" documentId="8_{9803FC27-A436-4015-883F-DC7DC3013788}"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<sst xmlns="http://schemas.openxmlformats.org/spreadsheetml/2006/main" count="901" uniqueCount="564">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</sst>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122</v>
      </c>
      <c r="C1" s="12">
        <v>46267</v>
      </c>
    </row>
    <row r="2" spans="1:3" x14ac:dyDescent="0.45">
      <c r="A2" t="s">
        <v>2</v>
      </c>
      <c r="B2" t="str">
        <f>IFERROR(INDEX(Keys!$A:$A,MATCH($B$1,Keys!$B:$B,0)),"")</f>
        <v>CA</v>
      </c>
    </row>
    <row r="3" spans="1:3" x14ac:dyDescent="0.45">
      <c r="A3" t="s">
        <v>3</v>
      </c>
      <c r="B3" t="str">
        <f>IFERROR(INDEX(Keys!$C:$C,MATCH($B$1,Keys!$B:$B,0)),"none")</f>
        <v>CA</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15.116365842255545</v>
      </c>
      <c r="C2">
        <f>IFERROR(INDEX(Calcs!$B$30:$AF$35,MATCH(About!$B$3,Calcs!$A$30:$A$35,0),MATCH(C$1,Calcs!$B$29:$AF$29,0))*INDEX(Keys!$F$2:$M$7,MATCH(About!$B$3,Keys!$E$2:$E$7,0),MATCH($A2,Keys!$F$1:$M$1,0)),0)</f>
        <v>18.674583016570097</v>
      </c>
      <c r="D2">
        <f>IFERROR(INDEX(Calcs!$B$30:$AF$35,MATCH(About!$B$3,Calcs!$A$30:$A$35,0),MATCH(D$1,Calcs!$B$29:$AF$29,0))*INDEX(Keys!$F$2:$M$7,MATCH(About!$B$3,Keys!$E$2:$E$7,0),MATCH($A2,Keys!$F$1:$M$1,0)),0)</f>
        <v>22.319623105704672</v>
      </c>
      <c r="E2">
        <f>IFERROR(INDEX(Calcs!$B$30:$AF$35,MATCH(About!$B$3,Calcs!$A$30:$A$35,0),MATCH(E$1,Calcs!$B$29:$AF$29,0))*INDEX(Keys!$F$2:$M$7,MATCH(About!$B$3,Keys!$E$2:$E$7,0),MATCH($A2,Keys!$F$1:$M$1,0)),0)</f>
        <v>24.886334303680318</v>
      </c>
      <c r="F2">
        <f>IFERROR(INDEX(Calcs!$B$30:$AF$35,MATCH(About!$B$3,Calcs!$A$30:$A$35,0),MATCH(F$1,Calcs!$B$29:$AF$29,0))*INDEX(Keys!$F$2:$M$7,MATCH(About!$B$3,Keys!$E$2:$E$7,0),MATCH($A2,Keys!$F$1:$M$1,0)),0)</f>
        <v>25.786326442453426</v>
      </c>
      <c r="G2">
        <f>IFERROR(INDEX(Calcs!$B$30:$AF$35,MATCH(About!$B$3,Calcs!$A$30:$A$35,0),MATCH(G$1,Calcs!$B$29:$AF$29,0))*INDEX(Keys!$F$2:$M$7,MATCH(About!$B$3,Keys!$E$2:$E$7,0),MATCH($A2,Keys!$F$1:$M$1,0)),0)</f>
        <v>20.003912018619602</v>
      </c>
      <c r="H2">
        <f>IFERROR(INDEX(Calcs!$B$30:$AF$35,MATCH(About!$B$3,Calcs!$A$30:$A$35,0),MATCH(H$1,Calcs!$B$29:$AF$29,0))*INDEX(Keys!$F$2:$M$7,MATCH(About!$B$3,Keys!$E$2:$E$7,0),MATCH($A2,Keys!$F$1:$M$1,0)),0)</f>
        <v>26.455521180259893</v>
      </c>
      <c r="I2">
        <f>IFERROR(INDEX(Calcs!$B$30:$AF$35,MATCH(About!$B$3,Calcs!$A$30:$A$35,0),MATCH(I$1,Calcs!$B$29:$AF$29,0))*INDEX(Keys!$F$2:$M$7,MATCH(About!$B$3,Keys!$E$2:$E$7,0),MATCH($A2,Keys!$F$1:$M$1,0)),0)</f>
        <v>28.014138475088657</v>
      </c>
      <c r="J2">
        <f>IFERROR(INDEX(Calcs!$B$30:$AF$35,MATCH(About!$B$3,Calcs!$A$30:$A$35,0),MATCH(J$1,Calcs!$B$29:$AF$29,0))*INDEX(Keys!$F$2:$M$7,MATCH(About!$B$3,Keys!$E$2:$E$7,0),MATCH($A2,Keys!$F$1:$M$1,0)),0)</f>
        <v>29.572755769917421</v>
      </c>
      <c r="K2">
        <f>IFERROR(INDEX(Calcs!$B$30:$AF$35,MATCH(About!$B$3,Calcs!$A$30:$A$35,0),MATCH(K$1,Calcs!$B$29:$AF$29,0))*INDEX(Keys!$F$2:$M$7,MATCH(About!$B$3,Keys!$E$2:$E$7,0),MATCH($A2,Keys!$F$1:$M$1,0)),0)</f>
        <v>31.131373064746185</v>
      </c>
      <c r="L2">
        <f>IFERROR(INDEX(Calcs!$B$30:$AF$35,MATCH(About!$B$3,Calcs!$A$30:$A$35,0),MATCH(L$1,Calcs!$B$29:$AF$29,0))*INDEX(Keys!$F$2:$M$7,MATCH(About!$B$3,Keys!$E$2:$E$7,0),MATCH($A2,Keys!$F$1:$M$1,0)),0)</f>
        <v>32.689990359574949</v>
      </c>
      <c r="M2">
        <f>IFERROR(INDEX(Calcs!$B$30:$AF$35,MATCH(About!$B$3,Calcs!$A$30:$A$35,0),MATCH(M$1,Calcs!$B$29:$AF$29,0))*INDEX(Keys!$F$2:$M$7,MATCH(About!$B$3,Keys!$E$2:$E$7,0),MATCH($A2,Keys!$F$1:$M$1,0)),0)</f>
        <v>32.689990359574949</v>
      </c>
      <c r="N2">
        <f>IFERROR(INDEX(Calcs!$B$30:$AF$35,MATCH(About!$B$3,Calcs!$A$30:$A$35,0),MATCH(N$1,Calcs!$B$29:$AF$29,0))*INDEX(Keys!$F$2:$M$7,MATCH(About!$B$3,Keys!$E$2:$E$7,0),MATCH($A2,Keys!$F$1:$M$1,0)),0)</f>
        <v>32.689990359574949</v>
      </c>
      <c r="O2">
        <f>IFERROR(INDEX(Calcs!$B$30:$AF$35,MATCH(About!$B$3,Calcs!$A$30:$A$35,0),MATCH(O$1,Calcs!$B$29:$AF$29,0))*INDEX(Keys!$F$2:$M$7,MATCH(About!$B$3,Keys!$E$2:$E$7,0),MATCH($A2,Keys!$F$1:$M$1,0)),0)</f>
        <v>32.689990359574949</v>
      </c>
      <c r="P2">
        <f>IFERROR(INDEX(Calcs!$B$30:$AF$35,MATCH(About!$B$3,Calcs!$A$30:$A$35,0),MATCH(P$1,Calcs!$B$29:$AF$29,0))*INDEX(Keys!$F$2:$M$7,MATCH(About!$B$3,Keys!$E$2:$E$7,0),MATCH($A2,Keys!$F$1:$M$1,0)),0)</f>
        <v>32.689990359574949</v>
      </c>
      <c r="Q2">
        <f>IFERROR(INDEX(Calcs!$B$30:$AF$35,MATCH(About!$B$3,Calcs!$A$30:$A$35,0),MATCH(Q$1,Calcs!$B$29:$AF$29,0))*INDEX(Keys!$F$2:$M$7,MATCH(About!$B$3,Keys!$E$2:$E$7,0),MATCH($A2,Keys!$F$1:$M$1,0)),0)</f>
        <v>32.689990359574949</v>
      </c>
      <c r="R2">
        <f>IFERROR(INDEX(Calcs!$B$30:$AF$35,MATCH(About!$B$3,Calcs!$A$30:$A$35,0),MATCH(R$1,Calcs!$B$29:$AF$29,0))*INDEX(Keys!$F$2:$M$7,MATCH(About!$B$3,Keys!$E$2:$E$7,0),MATCH($A2,Keys!$F$1:$M$1,0)),0)</f>
        <v>32.689990359574949</v>
      </c>
      <c r="S2">
        <f>IFERROR(INDEX(Calcs!$B$30:$AF$35,MATCH(About!$B$3,Calcs!$A$30:$A$35,0),MATCH(S$1,Calcs!$B$29:$AF$29,0))*INDEX(Keys!$F$2:$M$7,MATCH(About!$B$3,Keys!$E$2:$E$7,0),MATCH($A2,Keys!$F$1:$M$1,0)),0)</f>
        <v>32.689990359574949</v>
      </c>
      <c r="T2">
        <f>IFERROR(INDEX(Calcs!$B$30:$AF$35,MATCH(About!$B$3,Calcs!$A$30:$A$35,0),MATCH(T$1,Calcs!$B$29:$AF$29,0))*INDEX(Keys!$F$2:$M$7,MATCH(About!$B$3,Keys!$E$2:$E$7,0),MATCH($A2,Keys!$F$1:$M$1,0)),0)</f>
        <v>32.689990359574949</v>
      </c>
      <c r="U2">
        <f>IFERROR(INDEX(Calcs!$B$30:$AF$35,MATCH(About!$B$3,Calcs!$A$30:$A$35,0),MATCH(U$1,Calcs!$B$29:$AF$29,0))*INDEX(Keys!$F$2:$M$7,MATCH(About!$B$3,Keys!$E$2:$E$7,0),MATCH($A2,Keys!$F$1:$M$1,0)),0)</f>
        <v>32.689990359574949</v>
      </c>
      <c r="V2">
        <f>IFERROR(INDEX(Calcs!$B$30:$AF$35,MATCH(About!$B$3,Calcs!$A$30:$A$35,0),MATCH(V$1,Calcs!$B$29:$AF$29,0))*INDEX(Keys!$F$2:$M$7,MATCH(About!$B$3,Keys!$E$2:$E$7,0),MATCH($A2,Keys!$F$1:$M$1,0)),0)</f>
        <v>32.689990359574949</v>
      </c>
      <c r="W2">
        <f>IFERROR(INDEX(Calcs!$B$30:$AF$35,MATCH(About!$B$3,Calcs!$A$30:$A$35,0),MATCH(W$1,Calcs!$B$29:$AF$29,0))*INDEX(Keys!$F$2:$M$7,MATCH(About!$B$3,Keys!$E$2:$E$7,0),MATCH($A2,Keys!$F$1:$M$1,0)),0)</f>
        <v>32.689990359574949</v>
      </c>
      <c r="X2">
        <f>IFERROR(INDEX(Calcs!$B$30:$AF$35,MATCH(About!$B$3,Calcs!$A$30:$A$35,0),MATCH(X$1,Calcs!$B$29:$AF$29,0))*INDEX(Keys!$F$2:$M$7,MATCH(About!$B$3,Keys!$E$2:$E$7,0),MATCH($A2,Keys!$F$1:$M$1,0)),0)</f>
        <v>32.689990359574949</v>
      </c>
      <c r="Y2">
        <f>IFERROR(INDEX(Calcs!$B$30:$AF$35,MATCH(About!$B$3,Calcs!$A$30:$A$35,0),MATCH(Y$1,Calcs!$B$29:$AF$29,0))*INDEX(Keys!$F$2:$M$7,MATCH(About!$B$3,Keys!$E$2:$E$7,0),MATCH($A2,Keys!$F$1:$M$1,0)),0)</f>
        <v>32.689990359574949</v>
      </c>
      <c r="Z2">
        <f>IFERROR(INDEX(Calcs!$B$30:$AF$35,MATCH(About!$B$3,Calcs!$A$30:$A$35,0),MATCH(Z$1,Calcs!$B$29:$AF$29,0))*INDEX(Keys!$F$2:$M$7,MATCH(About!$B$3,Keys!$E$2:$E$7,0),MATCH($A2,Keys!$F$1:$M$1,0)),0)</f>
        <v>32.689990359574949</v>
      </c>
      <c r="AA2">
        <f>IFERROR(INDEX(Calcs!$B$30:$AF$35,MATCH(About!$B$3,Calcs!$A$30:$A$35,0),MATCH(AA$1,Calcs!$B$29:$AF$29,0))*INDEX(Keys!$F$2:$M$7,MATCH(About!$B$3,Keys!$E$2:$E$7,0),MATCH($A2,Keys!$F$1:$M$1,0)),0)</f>
        <v>32.689990359574949</v>
      </c>
      <c r="AB2">
        <f>IFERROR(INDEX(Calcs!$B$30:$AF$35,MATCH(About!$B$3,Calcs!$A$30:$A$35,0),MATCH(AB$1,Calcs!$B$29:$AF$29,0))*INDEX(Keys!$F$2:$M$7,MATCH(About!$B$3,Keys!$E$2:$E$7,0),MATCH($A2,Keys!$F$1:$M$1,0)),0)</f>
        <v>32.689990359574949</v>
      </c>
      <c r="AC2">
        <f>IFERROR(INDEX(Calcs!$B$30:$AF$35,MATCH(About!$B$3,Calcs!$A$30:$A$35,0),MATCH(AC$1,Calcs!$B$29:$AF$29,0))*INDEX(Keys!$F$2:$M$7,MATCH(About!$B$3,Keys!$E$2:$E$7,0),MATCH($A2,Keys!$F$1:$M$1,0)),0)</f>
        <v>32.689990359574949</v>
      </c>
      <c r="AD2">
        <f>IFERROR(INDEX(Calcs!$B$30:$AF$35,MATCH(About!$B$3,Calcs!$A$30:$A$35,0),MATCH(AD$1,Calcs!$B$29:$AF$29,0))*INDEX(Keys!$F$2:$M$7,MATCH(About!$B$3,Keys!$E$2:$E$7,0),MATCH($A2,Keys!$F$1:$M$1,0)),0)</f>
        <v>32.689990359574949</v>
      </c>
      <c r="AE2">
        <f>IFERROR(INDEX(Calcs!$B$30:$AF$35,MATCH(About!$B$3,Calcs!$A$30:$A$35,0),MATCH(AE$1,Calcs!$B$29:$AF$29,0))*INDEX(Keys!$F$2:$M$7,MATCH(About!$B$3,Keys!$E$2:$E$7,0),MATCH($A2,Keys!$F$1:$M$1,0)),0)</f>
        <v>32.689990359574949</v>
      </c>
      <c r="AF2">
        <f>IFERROR(INDEX(Calcs!$B$30:$AF$35,MATCH(About!$B$3,Calcs!$A$30:$A$35,0),MATCH(AF$1,Calcs!$B$29:$AF$29,0))*INDEX(Keys!$F$2:$M$7,MATCH(About!$B$3,Keys!$E$2:$E$7,0),MATCH($A2,Keys!$F$1:$M$1,0)),0)</f>
        <v>32.689990359574949</v>
      </c>
    </row>
    <row r="3" spans="1:32" x14ac:dyDescent="0.45">
      <c r="A3" t="s">
        <v>90</v>
      </c>
      <c r="B3">
        <f>IFERROR(INDEX(Calcs!$B$30:$AF$35,MATCH(About!$B$3,Calcs!$A$30:$A$35,0),MATCH(B$1,Calcs!$B$29:$AF$29,0))*INDEX(Keys!$F$2:$M$7,MATCH(About!$B$3,Keys!$E$2:$E$7,0),MATCH($A3,Keys!$F$1:$M$1,0)),0)</f>
        <v>15.116365842255545</v>
      </c>
      <c r="C3">
        <f>IFERROR(INDEX(Calcs!$B$30:$AF$35,MATCH(About!$B$3,Calcs!$A$30:$A$35,0),MATCH(C$1,Calcs!$B$29:$AF$29,0))*INDEX(Keys!$F$2:$M$7,MATCH(About!$B$3,Keys!$E$2:$E$7,0),MATCH($A3,Keys!$F$1:$M$1,0)),0)</f>
        <v>18.674583016570097</v>
      </c>
      <c r="D3">
        <f>IFERROR(INDEX(Calcs!$B$30:$AF$35,MATCH(About!$B$3,Calcs!$A$30:$A$35,0),MATCH(D$1,Calcs!$B$29:$AF$29,0))*INDEX(Keys!$F$2:$M$7,MATCH(About!$B$3,Keys!$E$2:$E$7,0),MATCH($A3,Keys!$F$1:$M$1,0)),0)</f>
        <v>22.319623105704672</v>
      </c>
      <c r="E3">
        <f>IFERROR(INDEX(Calcs!$B$30:$AF$35,MATCH(About!$B$3,Calcs!$A$30:$A$35,0),MATCH(E$1,Calcs!$B$29:$AF$29,0))*INDEX(Keys!$F$2:$M$7,MATCH(About!$B$3,Keys!$E$2:$E$7,0),MATCH($A3,Keys!$F$1:$M$1,0)),0)</f>
        <v>24.886334303680318</v>
      </c>
      <c r="F3">
        <f>IFERROR(INDEX(Calcs!$B$30:$AF$35,MATCH(About!$B$3,Calcs!$A$30:$A$35,0),MATCH(F$1,Calcs!$B$29:$AF$29,0))*INDEX(Keys!$F$2:$M$7,MATCH(About!$B$3,Keys!$E$2:$E$7,0),MATCH($A3,Keys!$F$1:$M$1,0)),0)</f>
        <v>25.786326442453426</v>
      </c>
      <c r="G3">
        <f>IFERROR(INDEX(Calcs!$B$30:$AF$35,MATCH(About!$B$3,Calcs!$A$30:$A$35,0),MATCH(G$1,Calcs!$B$29:$AF$29,0))*INDEX(Keys!$F$2:$M$7,MATCH(About!$B$3,Keys!$E$2:$E$7,0),MATCH($A3,Keys!$F$1:$M$1,0)),0)</f>
        <v>20.003912018619602</v>
      </c>
      <c r="H3">
        <f>IFERROR(INDEX(Calcs!$B$30:$AF$35,MATCH(About!$B$3,Calcs!$A$30:$A$35,0),MATCH(H$1,Calcs!$B$29:$AF$29,0))*INDEX(Keys!$F$2:$M$7,MATCH(About!$B$3,Keys!$E$2:$E$7,0),MATCH($A3,Keys!$F$1:$M$1,0)),0)</f>
        <v>26.455521180259893</v>
      </c>
      <c r="I3">
        <f>IFERROR(INDEX(Calcs!$B$30:$AF$35,MATCH(About!$B$3,Calcs!$A$30:$A$35,0),MATCH(I$1,Calcs!$B$29:$AF$29,0))*INDEX(Keys!$F$2:$M$7,MATCH(About!$B$3,Keys!$E$2:$E$7,0),MATCH($A3,Keys!$F$1:$M$1,0)),0)</f>
        <v>28.014138475088657</v>
      </c>
      <c r="J3">
        <f>IFERROR(INDEX(Calcs!$B$30:$AF$35,MATCH(About!$B$3,Calcs!$A$30:$A$35,0),MATCH(J$1,Calcs!$B$29:$AF$29,0))*INDEX(Keys!$F$2:$M$7,MATCH(About!$B$3,Keys!$E$2:$E$7,0),MATCH($A3,Keys!$F$1:$M$1,0)),0)</f>
        <v>29.572755769917421</v>
      </c>
      <c r="K3">
        <f>IFERROR(INDEX(Calcs!$B$30:$AF$35,MATCH(About!$B$3,Calcs!$A$30:$A$35,0),MATCH(K$1,Calcs!$B$29:$AF$29,0))*INDEX(Keys!$F$2:$M$7,MATCH(About!$B$3,Keys!$E$2:$E$7,0),MATCH($A3,Keys!$F$1:$M$1,0)),0)</f>
        <v>31.131373064746185</v>
      </c>
      <c r="L3">
        <f>IFERROR(INDEX(Calcs!$B$30:$AF$35,MATCH(About!$B$3,Calcs!$A$30:$A$35,0),MATCH(L$1,Calcs!$B$29:$AF$29,0))*INDEX(Keys!$F$2:$M$7,MATCH(About!$B$3,Keys!$E$2:$E$7,0),MATCH($A3,Keys!$F$1:$M$1,0)),0)</f>
        <v>32.689990359574949</v>
      </c>
      <c r="M3">
        <f>IFERROR(INDEX(Calcs!$B$30:$AF$35,MATCH(About!$B$3,Calcs!$A$30:$A$35,0),MATCH(M$1,Calcs!$B$29:$AF$29,0))*INDEX(Keys!$F$2:$M$7,MATCH(About!$B$3,Keys!$E$2:$E$7,0),MATCH($A3,Keys!$F$1:$M$1,0)),0)</f>
        <v>32.689990359574949</v>
      </c>
      <c r="N3">
        <f>IFERROR(INDEX(Calcs!$B$30:$AF$35,MATCH(About!$B$3,Calcs!$A$30:$A$35,0),MATCH(N$1,Calcs!$B$29:$AF$29,0))*INDEX(Keys!$F$2:$M$7,MATCH(About!$B$3,Keys!$E$2:$E$7,0),MATCH($A3,Keys!$F$1:$M$1,0)),0)</f>
        <v>32.689990359574949</v>
      </c>
      <c r="O3">
        <f>IFERROR(INDEX(Calcs!$B$30:$AF$35,MATCH(About!$B$3,Calcs!$A$30:$A$35,0),MATCH(O$1,Calcs!$B$29:$AF$29,0))*INDEX(Keys!$F$2:$M$7,MATCH(About!$B$3,Keys!$E$2:$E$7,0),MATCH($A3,Keys!$F$1:$M$1,0)),0)</f>
        <v>32.689990359574949</v>
      </c>
      <c r="P3">
        <f>IFERROR(INDEX(Calcs!$B$30:$AF$35,MATCH(About!$B$3,Calcs!$A$30:$A$35,0),MATCH(P$1,Calcs!$B$29:$AF$29,0))*INDEX(Keys!$F$2:$M$7,MATCH(About!$B$3,Keys!$E$2:$E$7,0),MATCH($A3,Keys!$F$1:$M$1,0)),0)</f>
        <v>32.689990359574949</v>
      </c>
      <c r="Q3">
        <f>IFERROR(INDEX(Calcs!$B$30:$AF$35,MATCH(About!$B$3,Calcs!$A$30:$A$35,0),MATCH(Q$1,Calcs!$B$29:$AF$29,0))*INDEX(Keys!$F$2:$M$7,MATCH(About!$B$3,Keys!$E$2:$E$7,0),MATCH($A3,Keys!$F$1:$M$1,0)),0)</f>
        <v>32.689990359574949</v>
      </c>
      <c r="R3">
        <f>IFERROR(INDEX(Calcs!$B$30:$AF$35,MATCH(About!$B$3,Calcs!$A$30:$A$35,0),MATCH(R$1,Calcs!$B$29:$AF$29,0))*INDEX(Keys!$F$2:$M$7,MATCH(About!$B$3,Keys!$E$2:$E$7,0),MATCH($A3,Keys!$F$1:$M$1,0)),0)</f>
        <v>32.689990359574949</v>
      </c>
      <c r="S3">
        <f>IFERROR(INDEX(Calcs!$B$30:$AF$35,MATCH(About!$B$3,Calcs!$A$30:$A$35,0),MATCH(S$1,Calcs!$B$29:$AF$29,0))*INDEX(Keys!$F$2:$M$7,MATCH(About!$B$3,Keys!$E$2:$E$7,0),MATCH($A3,Keys!$F$1:$M$1,0)),0)</f>
        <v>32.689990359574949</v>
      </c>
      <c r="T3">
        <f>IFERROR(INDEX(Calcs!$B$30:$AF$35,MATCH(About!$B$3,Calcs!$A$30:$A$35,0),MATCH(T$1,Calcs!$B$29:$AF$29,0))*INDEX(Keys!$F$2:$M$7,MATCH(About!$B$3,Keys!$E$2:$E$7,0),MATCH($A3,Keys!$F$1:$M$1,0)),0)</f>
        <v>32.689990359574949</v>
      </c>
      <c r="U3">
        <f>IFERROR(INDEX(Calcs!$B$30:$AF$35,MATCH(About!$B$3,Calcs!$A$30:$A$35,0),MATCH(U$1,Calcs!$B$29:$AF$29,0))*INDEX(Keys!$F$2:$M$7,MATCH(About!$B$3,Keys!$E$2:$E$7,0),MATCH($A3,Keys!$F$1:$M$1,0)),0)</f>
        <v>32.689990359574949</v>
      </c>
      <c r="V3">
        <f>IFERROR(INDEX(Calcs!$B$30:$AF$35,MATCH(About!$B$3,Calcs!$A$30:$A$35,0),MATCH(V$1,Calcs!$B$29:$AF$29,0))*INDEX(Keys!$F$2:$M$7,MATCH(About!$B$3,Keys!$E$2:$E$7,0),MATCH($A3,Keys!$F$1:$M$1,0)),0)</f>
        <v>32.689990359574949</v>
      </c>
      <c r="W3">
        <f>IFERROR(INDEX(Calcs!$B$30:$AF$35,MATCH(About!$B$3,Calcs!$A$30:$A$35,0),MATCH(W$1,Calcs!$B$29:$AF$29,0))*INDEX(Keys!$F$2:$M$7,MATCH(About!$B$3,Keys!$E$2:$E$7,0),MATCH($A3,Keys!$F$1:$M$1,0)),0)</f>
        <v>32.689990359574949</v>
      </c>
      <c r="X3">
        <f>IFERROR(INDEX(Calcs!$B$30:$AF$35,MATCH(About!$B$3,Calcs!$A$30:$A$35,0),MATCH(X$1,Calcs!$B$29:$AF$29,0))*INDEX(Keys!$F$2:$M$7,MATCH(About!$B$3,Keys!$E$2:$E$7,0),MATCH($A3,Keys!$F$1:$M$1,0)),0)</f>
        <v>32.689990359574949</v>
      </c>
      <c r="Y3">
        <f>IFERROR(INDEX(Calcs!$B$30:$AF$35,MATCH(About!$B$3,Calcs!$A$30:$A$35,0),MATCH(Y$1,Calcs!$B$29:$AF$29,0))*INDEX(Keys!$F$2:$M$7,MATCH(About!$B$3,Keys!$E$2:$E$7,0),MATCH($A3,Keys!$F$1:$M$1,0)),0)</f>
        <v>32.689990359574949</v>
      </c>
      <c r="Z3">
        <f>IFERROR(INDEX(Calcs!$B$30:$AF$35,MATCH(About!$B$3,Calcs!$A$30:$A$35,0),MATCH(Z$1,Calcs!$B$29:$AF$29,0))*INDEX(Keys!$F$2:$M$7,MATCH(About!$B$3,Keys!$E$2:$E$7,0),MATCH($A3,Keys!$F$1:$M$1,0)),0)</f>
        <v>32.689990359574949</v>
      </c>
      <c r="AA3">
        <f>IFERROR(INDEX(Calcs!$B$30:$AF$35,MATCH(About!$B$3,Calcs!$A$30:$A$35,0),MATCH(AA$1,Calcs!$B$29:$AF$29,0))*INDEX(Keys!$F$2:$M$7,MATCH(About!$B$3,Keys!$E$2:$E$7,0),MATCH($A3,Keys!$F$1:$M$1,0)),0)</f>
        <v>32.689990359574949</v>
      </c>
      <c r="AB3">
        <f>IFERROR(INDEX(Calcs!$B$30:$AF$35,MATCH(About!$B$3,Calcs!$A$30:$A$35,0),MATCH(AB$1,Calcs!$B$29:$AF$29,0))*INDEX(Keys!$F$2:$M$7,MATCH(About!$B$3,Keys!$E$2:$E$7,0),MATCH($A3,Keys!$F$1:$M$1,0)),0)</f>
        <v>32.689990359574949</v>
      </c>
      <c r="AC3">
        <f>IFERROR(INDEX(Calcs!$B$30:$AF$35,MATCH(About!$B$3,Calcs!$A$30:$A$35,0),MATCH(AC$1,Calcs!$B$29:$AF$29,0))*INDEX(Keys!$F$2:$M$7,MATCH(About!$B$3,Keys!$E$2:$E$7,0),MATCH($A3,Keys!$F$1:$M$1,0)),0)</f>
        <v>32.689990359574949</v>
      </c>
      <c r="AD3">
        <f>IFERROR(INDEX(Calcs!$B$30:$AF$35,MATCH(About!$B$3,Calcs!$A$30:$A$35,0),MATCH(AD$1,Calcs!$B$29:$AF$29,0))*INDEX(Keys!$F$2:$M$7,MATCH(About!$B$3,Keys!$E$2:$E$7,0),MATCH($A3,Keys!$F$1:$M$1,0)),0)</f>
        <v>32.689990359574949</v>
      </c>
      <c r="AE3">
        <f>IFERROR(INDEX(Calcs!$B$30:$AF$35,MATCH(About!$B$3,Calcs!$A$30:$A$35,0),MATCH(AE$1,Calcs!$B$29:$AF$29,0))*INDEX(Keys!$F$2:$M$7,MATCH(About!$B$3,Keys!$E$2:$E$7,0),MATCH($A3,Keys!$F$1:$M$1,0)),0)</f>
        <v>32.689990359574949</v>
      </c>
      <c r="AF3">
        <f>IFERROR(INDEX(Calcs!$B$30:$AF$35,MATCH(About!$B$3,Calcs!$A$30:$A$35,0),MATCH(AF$1,Calcs!$B$29:$AF$29,0))*INDEX(Keys!$F$2:$M$7,MATCH(About!$B$3,Keys!$E$2:$E$7,0),MATCH($A3,Keys!$F$1:$M$1,0)),0)</f>
        <v>32.689990359574949</v>
      </c>
    </row>
    <row r="4" spans="1:32" x14ac:dyDescent="0.45">
      <c r="A4" t="s">
        <v>91</v>
      </c>
      <c r="B4">
        <f>IFERROR(INDEX(Calcs!$B$30:$AF$35,MATCH(About!$B$3,Calcs!$A$30:$A$35,0),MATCH(B$1,Calcs!$B$29:$AF$29,0))*INDEX(Keys!$F$2:$M$7,MATCH(About!$B$3,Keys!$E$2:$E$7,0),MATCH($A4,Keys!$F$1:$M$1,0)),0)</f>
        <v>15.116365842255545</v>
      </c>
      <c r="C4">
        <f>IFERROR(INDEX(Calcs!$B$30:$AF$35,MATCH(About!$B$3,Calcs!$A$30:$A$35,0),MATCH(C$1,Calcs!$B$29:$AF$29,0))*INDEX(Keys!$F$2:$M$7,MATCH(About!$B$3,Keys!$E$2:$E$7,0),MATCH($A4,Keys!$F$1:$M$1,0)),0)</f>
        <v>18.674583016570097</v>
      </c>
      <c r="D4">
        <f>IFERROR(INDEX(Calcs!$B$30:$AF$35,MATCH(About!$B$3,Calcs!$A$30:$A$35,0),MATCH(D$1,Calcs!$B$29:$AF$29,0))*INDEX(Keys!$F$2:$M$7,MATCH(About!$B$3,Keys!$E$2:$E$7,0),MATCH($A4,Keys!$F$1:$M$1,0)),0)</f>
        <v>22.319623105704672</v>
      </c>
      <c r="E4">
        <f>IFERROR(INDEX(Calcs!$B$30:$AF$35,MATCH(About!$B$3,Calcs!$A$30:$A$35,0),MATCH(E$1,Calcs!$B$29:$AF$29,0))*INDEX(Keys!$F$2:$M$7,MATCH(About!$B$3,Keys!$E$2:$E$7,0),MATCH($A4,Keys!$F$1:$M$1,0)),0)</f>
        <v>24.886334303680318</v>
      </c>
      <c r="F4">
        <f>IFERROR(INDEX(Calcs!$B$30:$AF$35,MATCH(About!$B$3,Calcs!$A$30:$A$35,0),MATCH(F$1,Calcs!$B$29:$AF$29,0))*INDEX(Keys!$F$2:$M$7,MATCH(About!$B$3,Keys!$E$2:$E$7,0),MATCH($A4,Keys!$F$1:$M$1,0)),0)</f>
        <v>25.786326442453426</v>
      </c>
      <c r="G4">
        <f>IFERROR(INDEX(Calcs!$B$30:$AF$35,MATCH(About!$B$3,Calcs!$A$30:$A$35,0),MATCH(G$1,Calcs!$B$29:$AF$29,0))*INDEX(Keys!$F$2:$M$7,MATCH(About!$B$3,Keys!$E$2:$E$7,0),MATCH($A4,Keys!$F$1:$M$1,0)),0)</f>
        <v>20.003912018619602</v>
      </c>
      <c r="H4">
        <f>IFERROR(INDEX(Calcs!$B$30:$AF$35,MATCH(About!$B$3,Calcs!$A$30:$A$35,0),MATCH(H$1,Calcs!$B$29:$AF$29,0))*INDEX(Keys!$F$2:$M$7,MATCH(About!$B$3,Keys!$E$2:$E$7,0),MATCH($A4,Keys!$F$1:$M$1,0)),0)</f>
        <v>26.455521180259893</v>
      </c>
      <c r="I4">
        <f>IFERROR(INDEX(Calcs!$B$30:$AF$35,MATCH(About!$B$3,Calcs!$A$30:$A$35,0),MATCH(I$1,Calcs!$B$29:$AF$29,0))*INDEX(Keys!$F$2:$M$7,MATCH(About!$B$3,Keys!$E$2:$E$7,0),MATCH($A4,Keys!$F$1:$M$1,0)),0)</f>
        <v>28.014138475088657</v>
      </c>
      <c r="J4">
        <f>IFERROR(INDEX(Calcs!$B$30:$AF$35,MATCH(About!$B$3,Calcs!$A$30:$A$35,0),MATCH(J$1,Calcs!$B$29:$AF$29,0))*INDEX(Keys!$F$2:$M$7,MATCH(About!$B$3,Keys!$E$2:$E$7,0),MATCH($A4,Keys!$F$1:$M$1,0)),0)</f>
        <v>29.572755769917421</v>
      </c>
      <c r="K4">
        <f>IFERROR(INDEX(Calcs!$B$30:$AF$35,MATCH(About!$B$3,Calcs!$A$30:$A$35,0),MATCH(K$1,Calcs!$B$29:$AF$29,0))*INDEX(Keys!$F$2:$M$7,MATCH(About!$B$3,Keys!$E$2:$E$7,0),MATCH($A4,Keys!$F$1:$M$1,0)),0)</f>
        <v>31.131373064746185</v>
      </c>
      <c r="L4">
        <f>IFERROR(INDEX(Calcs!$B$30:$AF$35,MATCH(About!$B$3,Calcs!$A$30:$A$35,0),MATCH(L$1,Calcs!$B$29:$AF$29,0))*INDEX(Keys!$F$2:$M$7,MATCH(About!$B$3,Keys!$E$2:$E$7,0),MATCH($A4,Keys!$F$1:$M$1,0)),0)</f>
        <v>32.689990359574949</v>
      </c>
      <c r="M4">
        <f>IFERROR(INDEX(Calcs!$B$30:$AF$35,MATCH(About!$B$3,Calcs!$A$30:$A$35,0),MATCH(M$1,Calcs!$B$29:$AF$29,0))*INDEX(Keys!$F$2:$M$7,MATCH(About!$B$3,Keys!$E$2:$E$7,0),MATCH($A4,Keys!$F$1:$M$1,0)),0)</f>
        <v>32.689990359574949</v>
      </c>
      <c r="N4">
        <f>IFERROR(INDEX(Calcs!$B$30:$AF$35,MATCH(About!$B$3,Calcs!$A$30:$A$35,0),MATCH(N$1,Calcs!$B$29:$AF$29,0))*INDEX(Keys!$F$2:$M$7,MATCH(About!$B$3,Keys!$E$2:$E$7,0),MATCH($A4,Keys!$F$1:$M$1,0)),0)</f>
        <v>32.689990359574949</v>
      </c>
      <c r="O4">
        <f>IFERROR(INDEX(Calcs!$B$30:$AF$35,MATCH(About!$B$3,Calcs!$A$30:$A$35,0),MATCH(O$1,Calcs!$B$29:$AF$29,0))*INDEX(Keys!$F$2:$M$7,MATCH(About!$B$3,Keys!$E$2:$E$7,0),MATCH($A4,Keys!$F$1:$M$1,0)),0)</f>
        <v>32.689990359574949</v>
      </c>
      <c r="P4">
        <f>IFERROR(INDEX(Calcs!$B$30:$AF$35,MATCH(About!$B$3,Calcs!$A$30:$A$35,0),MATCH(P$1,Calcs!$B$29:$AF$29,0))*INDEX(Keys!$F$2:$M$7,MATCH(About!$B$3,Keys!$E$2:$E$7,0),MATCH($A4,Keys!$F$1:$M$1,0)),0)</f>
        <v>32.689990359574949</v>
      </c>
      <c r="Q4">
        <f>IFERROR(INDEX(Calcs!$B$30:$AF$35,MATCH(About!$B$3,Calcs!$A$30:$A$35,0),MATCH(Q$1,Calcs!$B$29:$AF$29,0))*INDEX(Keys!$F$2:$M$7,MATCH(About!$B$3,Keys!$E$2:$E$7,0),MATCH($A4,Keys!$F$1:$M$1,0)),0)</f>
        <v>32.689990359574949</v>
      </c>
      <c r="R4">
        <f>IFERROR(INDEX(Calcs!$B$30:$AF$35,MATCH(About!$B$3,Calcs!$A$30:$A$35,0),MATCH(R$1,Calcs!$B$29:$AF$29,0))*INDEX(Keys!$F$2:$M$7,MATCH(About!$B$3,Keys!$E$2:$E$7,0),MATCH($A4,Keys!$F$1:$M$1,0)),0)</f>
        <v>32.689990359574949</v>
      </c>
      <c r="S4">
        <f>IFERROR(INDEX(Calcs!$B$30:$AF$35,MATCH(About!$B$3,Calcs!$A$30:$A$35,0),MATCH(S$1,Calcs!$B$29:$AF$29,0))*INDEX(Keys!$F$2:$M$7,MATCH(About!$B$3,Keys!$E$2:$E$7,0),MATCH($A4,Keys!$F$1:$M$1,0)),0)</f>
        <v>32.689990359574949</v>
      </c>
      <c r="T4">
        <f>IFERROR(INDEX(Calcs!$B$30:$AF$35,MATCH(About!$B$3,Calcs!$A$30:$A$35,0),MATCH(T$1,Calcs!$B$29:$AF$29,0))*INDEX(Keys!$F$2:$M$7,MATCH(About!$B$3,Keys!$E$2:$E$7,0),MATCH($A4,Keys!$F$1:$M$1,0)),0)</f>
        <v>32.689990359574949</v>
      </c>
      <c r="U4">
        <f>IFERROR(INDEX(Calcs!$B$30:$AF$35,MATCH(About!$B$3,Calcs!$A$30:$A$35,0),MATCH(U$1,Calcs!$B$29:$AF$29,0))*INDEX(Keys!$F$2:$M$7,MATCH(About!$B$3,Keys!$E$2:$E$7,0),MATCH($A4,Keys!$F$1:$M$1,0)),0)</f>
        <v>32.689990359574949</v>
      </c>
      <c r="V4">
        <f>IFERROR(INDEX(Calcs!$B$30:$AF$35,MATCH(About!$B$3,Calcs!$A$30:$A$35,0),MATCH(V$1,Calcs!$B$29:$AF$29,0))*INDEX(Keys!$F$2:$M$7,MATCH(About!$B$3,Keys!$E$2:$E$7,0),MATCH($A4,Keys!$F$1:$M$1,0)),0)</f>
        <v>32.689990359574949</v>
      </c>
      <c r="W4">
        <f>IFERROR(INDEX(Calcs!$B$30:$AF$35,MATCH(About!$B$3,Calcs!$A$30:$A$35,0),MATCH(W$1,Calcs!$B$29:$AF$29,0))*INDEX(Keys!$F$2:$M$7,MATCH(About!$B$3,Keys!$E$2:$E$7,0),MATCH($A4,Keys!$F$1:$M$1,0)),0)</f>
        <v>32.689990359574949</v>
      </c>
      <c r="X4">
        <f>IFERROR(INDEX(Calcs!$B$30:$AF$35,MATCH(About!$B$3,Calcs!$A$30:$A$35,0),MATCH(X$1,Calcs!$B$29:$AF$29,0))*INDEX(Keys!$F$2:$M$7,MATCH(About!$B$3,Keys!$E$2:$E$7,0),MATCH($A4,Keys!$F$1:$M$1,0)),0)</f>
        <v>32.689990359574949</v>
      </c>
      <c r="Y4">
        <f>IFERROR(INDEX(Calcs!$B$30:$AF$35,MATCH(About!$B$3,Calcs!$A$30:$A$35,0),MATCH(Y$1,Calcs!$B$29:$AF$29,0))*INDEX(Keys!$F$2:$M$7,MATCH(About!$B$3,Keys!$E$2:$E$7,0),MATCH($A4,Keys!$F$1:$M$1,0)),0)</f>
        <v>32.689990359574949</v>
      </c>
      <c r="Z4">
        <f>IFERROR(INDEX(Calcs!$B$30:$AF$35,MATCH(About!$B$3,Calcs!$A$30:$A$35,0),MATCH(Z$1,Calcs!$B$29:$AF$29,0))*INDEX(Keys!$F$2:$M$7,MATCH(About!$B$3,Keys!$E$2:$E$7,0),MATCH($A4,Keys!$F$1:$M$1,0)),0)</f>
        <v>32.689990359574949</v>
      </c>
      <c r="AA4">
        <f>IFERROR(INDEX(Calcs!$B$30:$AF$35,MATCH(About!$B$3,Calcs!$A$30:$A$35,0),MATCH(AA$1,Calcs!$B$29:$AF$29,0))*INDEX(Keys!$F$2:$M$7,MATCH(About!$B$3,Keys!$E$2:$E$7,0),MATCH($A4,Keys!$F$1:$M$1,0)),0)</f>
        <v>32.689990359574949</v>
      </c>
      <c r="AB4">
        <f>IFERROR(INDEX(Calcs!$B$30:$AF$35,MATCH(About!$B$3,Calcs!$A$30:$A$35,0),MATCH(AB$1,Calcs!$B$29:$AF$29,0))*INDEX(Keys!$F$2:$M$7,MATCH(About!$B$3,Keys!$E$2:$E$7,0),MATCH($A4,Keys!$F$1:$M$1,0)),0)</f>
        <v>32.689990359574949</v>
      </c>
      <c r="AC4">
        <f>IFERROR(INDEX(Calcs!$B$30:$AF$35,MATCH(About!$B$3,Calcs!$A$30:$A$35,0),MATCH(AC$1,Calcs!$B$29:$AF$29,0))*INDEX(Keys!$F$2:$M$7,MATCH(About!$B$3,Keys!$E$2:$E$7,0),MATCH($A4,Keys!$F$1:$M$1,0)),0)</f>
        <v>32.689990359574949</v>
      </c>
      <c r="AD4">
        <f>IFERROR(INDEX(Calcs!$B$30:$AF$35,MATCH(About!$B$3,Calcs!$A$30:$A$35,0),MATCH(AD$1,Calcs!$B$29:$AF$29,0))*INDEX(Keys!$F$2:$M$7,MATCH(About!$B$3,Keys!$E$2:$E$7,0),MATCH($A4,Keys!$F$1:$M$1,0)),0)</f>
        <v>32.689990359574949</v>
      </c>
      <c r="AE4">
        <f>IFERROR(INDEX(Calcs!$B$30:$AF$35,MATCH(About!$B$3,Calcs!$A$30:$A$35,0),MATCH(AE$1,Calcs!$B$29:$AF$29,0))*INDEX(Keys!$F$2:$M$7,MATCH(About!$B$3,Keys!$E$2:$E$7,0),MATCH($A4,Keys!$F$1:$M$1,0)),0)</f>
        <v>32.689990359574949</v>
      </c>
      <c r="AF4">
        <f>IFERROR(INDEX(Calcs!$B$30:$AF$35,MATCH(About!$B$3,Calcs!$A$30:$A$35,0),MATCH(AF$1,Calcs!$B$29:$AF$29,0))*INDEX(Keys!$F$2:$M$7,MATCH(About!$B$3,Keys!$E$2:$E$7,0),MATCH($A4,Keys!$F$1:$M$1,0)),0)</f>
        <v>32.689990359574949</v>
      </c>
    </row>
    <row r="5" spans="1:32" x14ac:dyDescent="0.45">
      <c r="A5" t="s">
        <v>92</v>
      </c>
      <c r="B5">
        <f>IFERROR(INDEX(Calcs!$B$30:$AF$35,MATCH(About!$B$3,Calcs!$A$30:$A$35,0),MATCH(B$1,Calcs!$B$29:$AF$29,0))*INDEX(Keys!$F$2:$M$7,MATCH(About!$B$3,Keys!$E$2:$E$7,0),MATCH($A5,Keys!$F$1:$M$1,0)),0)</f>
        <v>15.116365842255545</v>
      </c>
      <c r="C5">
        <f>IFERROR(INDEX(Calcs!$B$30:$AF$35,MATCH(About!$B$3,Calcs!$A$30:$A$35,0),MATCH(C$1,Calcs!$B$29:$AF$29,0))*INDEX(Keys!$F$2:$M$7,MATCH(About!$B$3,Keys!$E$2:$E$7,0),MATCH($A5,Keys!$F$1:$M$1,0)),0)</f>
        <v>18.674583016570097</v>
      </c>
      <c r="D5">
        <f>IFERROR(INDEX(Calcs!$B$30:$AF$35,MATCH(About!$B$3,Calcs!$A$30:$A$35,0),MATCH(D$1,Calcs!$B$29:$AF$29,0))*INDEX(Keys!$F$2:$M$7,MATCH(About!$B$3,Keys!$E$2:$E$7,0),MATCH($A5,Keys!$F$1:$M$1,0)),0)</f>
        <v>22.319623105704672</v>
      </c>
      <c r="E5">
        <f>IFERROR(INDEX(Calcs!$B$30:$AF$35,MATCH(About!$B$3,Calcs!$A$30:$A$35,0),MATCH(E$1,Calcs!$B$29:$AF$29,0))*INDEX(Keys!$F$2:$M$7,MATCH(About!$B$3,Keys!$E$2:$E$7,0),MATCH($A5,Keys!$F$1:$M$1,0)),0)</f>
        <v>24.886334303680318</v>
      </c>
      <c r="F5">
        <f>IFERROR(INDEX(Calcs!$B$30:$AF$35,MATCH(About!$B$3,Calcs!$A$30:$A$35,0),MATCH(F$1,Calcs!$B$29:$AF$29,0))*INDEX(Keys!$F$2:$M$7,MATCH(About!$B$3,Keys!$E$2:$E$7,0),MATCH($A5,Keys!$F$1:$M$1,0)),0)</f>
        <v>25.786326442453426</v>
      </c>
      <c r="G5">
        <f>IFERROR(INDEX(Calcs!$B$30:$AF$35,MATCH(About!$B$3,Calcs!$A$30:$A$35,0),MATCH(G$1,Calcs!$B$29:$AF$29,0))*INDEX(Keys!$F$2:$M$7,MATCH(About!$B$3,Keys!$E$2:$E$7,0),MATCH($A5,Keys!$F$1:$M$1,0)),0)</f>
        <v>20.003912018619602</v>
      </c>
      <c r="H5">
        <f>IFERROR(INDEX(Calcs!$B$30:$AF$35,MATCH(About!$B$3,Calcs!$A$30:$A$35,0),MATCH(H$1,Calcs!$B$29:$AF$29,0))*INDEX(Keys!$F$2:$M$7,MATCH(About!$B$3,Keys!$E$2:$E$7,0),MATCH($A5,Keys!$F$1:$M$1,0)),0)</f>
        <v>26.455521180259893</v>
      </c>
      <c r="I5">
        <f>IFERROR(INDEX(Calcs!$B$30:$AF$35,MATCH(About!$B$3,Calcs!$A$30:$A$35,0),MATCH(I$1,Calcs!$B$29:$AF$29,0))*INDEX(Keys!$F$2:$M$7,MATCH(About!$B$3,Keys!$E$2:$E$7,0),MATCH($A5,Keys!$F$1:$M$1,0)),0)</f>
        <v>28.014138475088657</v>
      </c>
      <c r="J5">
        <f>IFERROR(INDEX(Calcs!$B$30:$AF$35,MATCH(About!$B$3,Calcs!$A$30:$A$35,0),MATCH(J$1,Calcs!$B$29:$AF$29,0))*INDEX(Keys!$F$2:$M$7,MATCH(About!$B$3,Keys!$E$2:$E$7,0),MATCH($A5,Keys!$F$1:$M$1,0)),0)</f>
        <v>29.572755769917421</v>
      </c>
      <c r="K5">
        <f>IFERROR(INDEX(Calcs!$B$30:$AF$35,MATCH(About!$B$3,Calcs!$A$30:$A$35,0),MATCH(K$1,Calcs!$B$29:$AF$29,0))*INDEX(Keys!$F$2:$M$7,MATCH(About!$B$3,Keys!$E$2:$E$7,0),MATCH($A5,Keys!$F$1:$M$1,0)),0)</f>
        <v>31.131373064746185</v>
      </c>
      <c r="L5">
        <f>IFERROR(INDEX(Calcs!$B$30:$AF$35,MATCH(About!$B$3,Calcs!$A$30:$A$35,0),MATCH(L$1,Calcs!$B$29:$AF$29,0))*INDEX(Keys!$F$2:$M$7,MATCH(About!$B$3,Keys!$E$2:$E$7,0),MATCH($A5,Keys!$F$1:$M$1,0)),0)</f>
        <v>32.689990359574949</v>
      </c>
      <c r="M5">
        <f>IFERROR(INDEX(Calcs!$B$30:$AF$35,MATCH(About!$B$3,Calcs!$A$30:$A$35,0),MATCH(M$1,Calcs!$B$29:$AF$29,0))*INDEX(Keys!$F$2:$M$7,MATCH(About!$B$3,Keys!$E$2:$E$7,0),MATCH($A5,Keys!$F$1:$M$1,0)),0)</f>
        <v>32.689990359574949</v>
      </c>
      <c r="N5">
        <f>IFERROR(INDEX(Calcs!$B$30:$AF$35,MATCH(About!$B$3,Calcs!$A$30:$A$35,0),MATCH(N$1,Calcs!$B$29:$AF$29,0))*INDEX(Keys!$F$2:$M$7,MATCH(About!$B$3,Keys!$E$2:$E$7,0),MATCH($A5,Keys!$F$1:$M$1,0)),0)</f>
        <v>32.689990359574949</v>
      </c>
      <c r="O5">
        <f>IFERROR(INDEX(Calcs!$B$30:$AF$35,MATCH(About!$B$3,Calcs!$A$30:$A$35,0),MATCH(O$1,Calcs!$B$29:$AF$29,0))*INDEX(Keys!$F$2:$M$7,MATCH(About!$B$3,Keys!$E$2:$E$7,0),MATCH($A5,Keys!$F$1:$M$1,0)),0)</f>
        <v>32.689990359574949</v>
      </c>
      <c r="P5">
        <f>IFERROR(INDEX(Calcs!$B$30:$AF$35,MATCH(About!$B$3,Calcs!$A$30:$A$35,0),MATCH(P$1,Calcs!$B$29:$AF$29,0))*INDEX(Keys!$F$2:$M$7,MATCH(About!$B$3,Keys!$E$2:$E$7,0),MATCH($A5,Keys!$F$1:$M$1,0)),0)</f>
        <v>32.689990359574949</v>
      </c>
      <c r="Q5">
        <f>IFERROR(INDEX(Calcs!$B$30:$AF$35,MATCH(About!$B$3,Calcs!$A$30:$A$35,0),MATCH(Q$1,Calcs!$B$29:$AF$29,0))*INDEX(Keys!$F$2:$M$7,MATCH(About!$B$3,Keys!$E$2:$E$7,0),MATCH($A5,Keys!$F$1:$M$1,0)),0)</f>
        <v>32.689990359574949</v>
      </c>
      <c r="R5">
        <f>IFERROR(INDEX(Calcs!$B$30:$AF$35,MATCH(About!$B$3,Calcs!$A$30:$A$35,0),MATCH(R$1,Calcs!$B$29:$AF$29,0))*INDEX(Keys!$F$2:$M$7,MATCH(About!$B$3,Keys!$E$2:$E$7,0),MATCH($A5,Keys!$F$1:$M$1,0)),0)</f>
        <v>32.689990359574949</v>
      </c>
      <c r="S5">
        <f>IFERROR(INDEX(Calcs!$B$30:$AF$35,MATCH(About!$B$3,Calcs!$A$30:$A$35,0),MATCH(S$1,Calcs!$B$29:$AF$29,0))*INDEX(Keys!$F$2:$M$7,MATCH(About!$B$3,Keys!$E$2:$E$7,0),MATCH($A5,Keys!$F$1:$M$1,0)),0)</f>
        <v>32.689990359574949</v>
      </c>
      <c r="T5">
        <f>IFERROR(INDEX(Calcs!$B$30:$AF$35,MATCH(About!$B$3,Calcs!$A$30:$A$35,0),MATCH(T$1,Calcs!$B$29:$AF$29,0))*INDEX(Keys!$F$2:$M$7,MATCH(About!$B$3,Keys!$E$2:$E$7,0),MATCH($A5,Keys!$F$1:$M$1,0)),0)</f>
        <v>32.689990359574949</v>
      </c>
      <c r="U5">
        <f>IFERROR(INDEX(Calcs!$B$30:$AF$35,MATCH(About!$B$3,Calcs!$A$30:$A$35,0),MATCH(U$1,Calcs!$B$29:$AF$29,0))*INDEX(Keys!$F$2:$M$7,MATCH(About!$B$3,Keys!$E$2:$E$7,0),MATCH($A5,Keys!$F$1:$M$1,0)),0)</f>
        <v>32.689990359574949</v>
      </c>
      <c r="V5">
        <f>IFERROR(INDEX(Calcs!$B$30:$AF$35,MATCH(About!$B$3,Calcs!$A$30:$A$35,0),MATCH(V$1,Calcs!$B$29:$AF$29,0))*INDEX(Keys!$F$2:$M$7,MATCH(About!$B$3,Keys!$E$2:$E$7,0),MATCH($A5,Keys!$F$1:$M$1,0)),0)</f>
        <v>32.689990359574949</v>
      </c>
      <c r="W5">
        <f>IFERROR(INDEX(Calcs!$B$30:$AF$35,MATCH(About!$B$3,Calcs!$A$30:$A$35,0),MATCH(W$1,Calcs!$B$29:$AF$29,0))*INDEX(Keys!$F$2:$M$7,MATCH(About!$B$3,Keys!$E$2:$E$7,0),MATCH($A5,Keys!$F$1:$M$1,0)),0)</f>
        <v>32.689990359574949</v>
      </c>
      <c r="X5">
        <f>IFERROR(INDEX(Calcs!$B$30:$AF$35,MATCH(About!$B$3,Calcs!$A$30:$A$35,0),MATCH(X$1,Calcs!$B$29:$AF$29,0))*INDEX(Keys!$F$2:$M$7,MATCH(About!$B$3,Keys!$E$2:$E$7,0),MATCH($A5,Keys!$F$1:$M$1,0)),0)</f>
        <v>32.689990359574949</v>
      </c>
      <c r="Y5">
        <f>IFERROR(INDEX(Calcs!$B$30:$AF$35,MATCH(About!$B$3,Calcs!$A$30:$A$35,0),MATCH(Y$1,Calcs!$B$29:$AF$29,0))*INDEX(Keys!$F$2:$M$7,MATCH(About!$B$3,Keys!$E$2:$E$7,0),MATCH($A5,Keys!$F$1:$M$1,0)),0)</f>
        <v>32.689990359574949</v>
      </c>
      <c r="Z5">
        <f>IFERROR(INDEX(Calcs!$B$30:$AF$35,MATCH(About!$B$3,Calcs!$A$30:$A$35,0),MATCH(Z$1,Calcs!$B$29:$AF$29,0))*INDEX(Keys!$F$2:$M$7,MATCH(About!$B$3,Keys!$E$2:$E$7,0),MATCH($A5,Keys!$F$1:$M$1,0)),0)</f>
        <v>32.689990359574949</v>
      </c>
      <c r="AA5">
        <f>IFERROR(INDEX(Calcs!$B$30:$AF$35,MATCH(About!$B$3,Calcs!$A$30:$A$35,0),MATCH(AA$1,Calcs!$B$29:$AF$29,0))*INDEX(Keys!$F$2:$M$7,MATCH(About!$B$3,Keys!$E$2:$E$7,0),MATCH($A5,Keys!$F$1:$M$1,0)),0)</f>
        <v>32.689990359574949</v>
      </c>
      <c r="AB5">
        <f>IFERROR(INDEX(Calcs!$B$30:$AF$35,MATCH(About!$B$3,Calcs!$A$30:$A$35,0),MATCH(AB$1,Calcs!$B$29:$AF$29,0))*INDEX(Keys!$F$2:$M$7,MATCH(About!$B$3,Keys!$E$2:$E$7,0),MATCH($A5,Keys!$F$1:$M$1,0)),0)</f>
        <v>32.689990359574949</v>
      </c>
      <c r="AC5">
        <f>IFERROR(INDEX(Calcs!$B$30:$AF$35,MATCH(About!$B$3,Calcs!$A$30:$A$35,0),MATCH(AC$1,Calcs!$B$29:$AF$29,0))*INDEX(Keys!$F$2:$M$7,MATCH(About!$B$3,Keys!$E$2:$E$7,0),MATCH($A5,Keys!$F$1:$M$1,0)),0)</f>
        <v>32.689990359574949</v>
      </c>
      <c r="AD5">
        <f>IFERROR(INDEX(Calcs!$B$30:$AF$35,MATCH(About!$B$3,Calcs!$A$30:$A$35,0),MATCH(AD$1,Calcs!$B$29:$AF$29,0))*INDEX(Keys!$F$2:$M$7,MATCH(About!$B$3,Keys!$E$2:$E$7,0),MATCH($A5,Keys!$F$1:$M$1,0)),0)</f>
        <v>32.689990359574949</v>
      </c>
      <c r="AE5">
        <f>IFERROR(INDEX(Calcs!$B$30:$AF$35,MATCH(About!$B$3,Calcs!$A$30:$A$35,0),MATCH(AE$1,Calcs!$B$29:$AF$29,0))*INDEX(Keys!$F$2:$M$7,MATCH(About!$B$3,Keys!$E$2:$E$7,0),MATCH($A5,Keys!$F$1:$M$1,0)),0)</f>
        <v>32.689990359574949</v>
      </c>
      <c r="AF5">
        <f>IFERROR(INDEX(Calcs!$B$30:$AF$35,MATCH(About!$B$3,Calcs!$A$30:$A$35,0),MATCH(AF$1,Calcs!$B$29:$AF$29,0))*INDEX(Keys!$F$2:$M$7,MATCH(About!$B$3,Keys!$E$2:$E$7,0),MATCH($A5,Keys!$F$1:$M$1,0)),0)</f>
        <v>32.689990359574949</v>
      </c>
    </row>
    <row r="6" spans="1:32" x14ac:dyDescent="0.45">
      <c r="A6" t="s">
        <v>93</v>
      </c>
      <c r="B6">
        <f>IFERROR(INDEX(Calcs!$B$30:$AF$35,MATCH(About!$B$3,Calcs!$A$30:$A$35,0),MATCH(B$1,Calcs!$B$29:$AF$29,0))*INDEX(Keys!$F$2:$M$7,MATCH(About!$B$3,Keys!$E$2:$E$7,0),MATCH($A6,Keys!$F$1:$M$1,0)),0)</f>
        <v>15.116365842255545</v>
      </c>
      <c r="C6">
        <f>IFERROR(INDEX(Calcs!$B$30:$AF$35,MATCH(About!$B$3,Calcs!$A$30:$A$35,0),MATCH(C$1,Calcs!$B$29:$AF$29,0))*INDEX(Keys!$F$2:$M$7,MATCH(About!$B$3,Keys!$E$2:$E$7,0),MATCH($A6,Keys!$F$1:$M$1,0)),0)</f>
        <v>18.674583016570097</v>
      </c>
      <c r="D6">
        <f>IFERROR(INDEX(Calcs!$B$30:$AF$35,MATCH(About!$B$3,Calcs!$A$30:$A$35,0),MATCH(D$1,Calcs!$B$29:$AF$29,0))*INDEX(Keys!$F$2:$M$7,MATCH(About!$B$3,Keys!$E$2:$E$7,0),MATCH($A6,Keys!$F$1:$M$1,0)),0)</f>
        <v>22.319623105704672</v>
      </c>
      <c r="E6">
        <f>IFERROR(INDEX(Calcs!$B$30:$AF$35,MATCH(About!$B$3,Calcs!$A$30:$A$35,0),MATCH(E$1,Calcs!$B$29:$AF$29,0))*INDEX(Keys!$F$2:$M$7,MATCH(About!$B$3,Keys!$E$2:$E$7,0),MATCH($A6,Keys!$F$1:$M$1,0)),0)</f>
        <v>24.886334303680318</v>
      </c>
      <c r="F6">
        <f>IFERROR(INDEX(Calcs!$B$30:$AF$35,MATCH(About!$B$3,Calcs!$A$30:$A$35,0),MATCH(F$1,Calcs!$B$29:$AF$29,0))*INDEX(Keys!$F$2:$M$7,MATCH(About!$B$3,Keys!$E$2:$E$7,0),MATCH($A6,Keys!$F$1:$M$1,0)),0)</f>
        <v>25.786326442453426</v>
      </c>
      <c r="G6">
        <f>IFERROR(INDEX(Calcs!$B$30:$AF$35,MATCH(About!$B$3,Calcs!$A$30:$A$35,0),MATCH(G$1,Calcs!$B$29:$AF$29,0))*INDEX(Keys!$F$2:$M$7,MATCH(About!$B$3,Keys!$E$2:$E$7,0),MATCH($A6,Keys!$F$1:$M$1,0)),0)</f>
        <v>20.003912018619602</v>
      </c>
      <c r="H6">
        <f>IFERROR(INDEX(Calcs!$B$30:$AF$35,MATCH(About!$B$3,Calcs!$A$30:$A$35,0),MATCH(H$1,Calcs!$B$29:$AF$29,0))*INDEX(Keys!$F$2:$M$7,MATCH(About!$B$3,Keys!$E$2:$E$7,0),MATCH($A6,Keys!$F$1:$M$1,0)),0)</f>
        <v>26.455521180259893</v>
      </c>
      <c r="I6">
        <f>IFERROR(INDEX(Calcs!$B$30:$AF$35,MATCH(About!$B$3,Calcs!$A$30:$A$35,0),MATCH(I$1,Calcs!$B$29:$AF$29,0))*INDEX(Keys!$F$2:$M$7,MATCH(About!$B$3,Keys!$E$2:$E$7,0),MATCH($A6,Keys!$F$1:$M$1,0)),0)</f>
        <v>28.014138475088657</v>
      </c>
      <c r="J6">
        <f>IFERROR(INDEX(Calcs!$B$30:$AF$35,MATCH(About!$B$3,Calcs!$A$30:$A$35,0),MATCH(J$1,Calcs!$B$29:$AF$29,0))*INDEX(Keys!$F$2:$M$7,MATCH(About!$B$3,Keys!$E$2:$E$7,0),MATCH($A6,Keys!$F$1:$M$1,0)),0)</f>
        <v>29.572755769917421</v>
      </c>
      <c r="K6">
        <f>IFERROR(INDEX(Calcs!$B$30:$AF$35,MATCH(About!$B$3,Calcs!$A$30:$A$35,0),MATCH(K$1,Calcs!$B$29:$AF$29,0))*INDEX(Keys!$F$2:$M$7,MATCH(About!$B$3,Keys!$E$2:$E$7,0),MATCH($A6,Keys!$F$1:$M$1,0)),0)</f>
        <v>31.131373064746185</v>
      </c>
      <c r="L6">
        <f>IFERROR(INDEX(Calcs!$B$30:$AF$35,MATCH(About!$B$3,Calcs!$A$30:$A$35,0),MATCH(L$1,Calcs!$B$29:$AF$29,0))*INDEX(Keys!$F$2:$M$7,MATCH(About!$B$3,Keys!$E$2:$E$7,0),MATCH($A6,Keys!$F$1:$M$1,0)),0)</f>
        <v>32.689990359574949</v>
      </c>
      <c r="M6">
        <f>IFERROR(INDEX(Calcs!$B$30:$AF$35,MATCH(About!$B$3,Calcs!$A$30:$A$35,0),MATCH(M$1,Calcs!$B$29:$AF$29,0))*INDEX(Keys!$F$2:$M$7,MATCH(About!$B$3,Keys!$E$2:$E$7,0),MATCH($A6,Keys!$F$1:$M$1,0)),0)</f>
        <v>32.689990359574949</v>
      </c>
      <c r="N6">
        <f>IFERROR(INDEX(Calcs!$B$30:$AF$35,MATCH(About!$B$3,Calcs!$A$30:$A$35,0),MATCH(N$1,Calcs!$B$29:$AF$29,0))*INDEX(Keys!$F$2:$M$7,MATCH(About!$B$3,Keys!$E$2:$E$7,0),MATCH($A6,Keys!$F$1:$M$1,0)),0)</f>
        <v>32.689990359574949</v>
      </c>
      <c r="O6">
        <f>IFERROR(INDEX(Calcs!$B$30:$AF$35,MATCH(About!$B$3,Calcs!$A$30:$A$35,0),MATCH(O$1,Calcs!$B$29:$AF$29,0))*INDEX(Keys!$F$2:$M$7,MATCH(About!$B$3,Keys!$E$2:$E$7,0),MATCH($A6,Keys!$F$1:$M$1,0)),0)</f>
        <v>32.689990359574949</v>
      </c>
      <c r="P6">
        <f>IFERROR(INDEX(Calcs!$B$30:$AF$35,MATCH(About!$B$3,Calcs!$A$30:$A$35,0),MATCH(P$1,Calcs!$B$29:$AF$29,0))*INDEX(Keys!$F$2:$M$7,MATCH(About!$B$3,Keys!$E$2:$E$7,0),MATCH($A6,Keys!$F$1:$M$1,0)),0)</f>
        <v>32.689990359574949</v>
      </c>
      <c r="Q6">
        <f>IFERROR(INDEX(Calcs!$B$30:$AF$35,MATCH(About!$B$3,Calcs!$A$30:$A$35,0),MATCH(Q$1,Calcs!$B$29:$AF$29,0))*INDEX(Keys!$F$2:$M$7,MATCH(About!$B$3,Keys!$E$2:$E$7,0),MATCH($A6,Keys!$F$1:$M$1,0)),0)</f>
        <v>32.689990359574949</v>
      </c>
      <c r="R6">
        <f>IFERROR(INDEX(Calcs!$B$30:$AF$35,MATCH(About!$B$3,Calcs!$A$30:$A$35,0),MATCH(R$1,Calcs!$B$29:$AF$29,0))*INDEX(Keys!$F$2:$M$7,MATCH(About!$B$3,Keys!$E$2:$E$7,0),MATCH($A6,Keys!$F$1:$M$1,0)),0)</f>
        <v>32.689990359574949</v>
      </c>
      <c r="S6">
        <f>IFERROR(INDEX(Calcs!$B$30:$AF$35,MATCH(About!$B$3,Calcs!$A$30:$A$35,0),MATCH(S$1,Calcs!$B$29:$AF$29,0))*INDEX(Keys!$F$2:$M$7,MATCH(About!$B$3,Keys!$E$2:$E$7,0),MATCH($A6,Keys!$F$1:$M$1,0)),0)</f>
        <v>32.689990359574949</v>
      </c>
      <c r="T6">
        <f>IFERROR(INDEX(Calcs!$B$30:$AF$35,MATCH(About!$B$3,Calcs!$A$30:$A$35,0),MATCH(T$1,Calcs!$B$29:$AF$29,0))*INDEX(Keys!$F$2:$M$7,MATCH(About!$B$3,Keys!$E$2:$E$7,0),MATCH($A6,Keys!$F$1:$M$1,0)),0)</f>
        <v>32.689990359574949</v>
      </c>
      <c r="U6">
        <f>IFERROR(INDEX(Calcs!$B$30:$AF$35,MATCH(About!$B$3,Calcs!$A$30:$A$35,0),MATCH(U$1,Calcs!$B$29:$AF$29,0))*INDEX(Keys!$F$2:$M$7,MATCH(About!$B$3,Keys!$E$2:$E$7,0),MATCH($A6,Keys!$F$1:$M$1,0)),0)</f>
        <v>32.689990359574949</v>
      </c>
      <c r="V6">
        <f>IFERROR(INDEX(Calcs!$B$30:$AF$35,MATCH(About!$B$3,Calcs!$A$30:$A$35,0),MATCH(V$1,Calcs!$B$29:$AF$29,0))*INDEX(Keys!$F$2:$M$7,MATCH(About!$B$3,Keys!$E$2:$E$7,0),MATCH($A6,Keys!$F$1:$M$1,0)),0)</f>
        <v>32.689990359574949</v>
      </c>
      <c r="W6">
        <f>IFERROR(INDEX(Calcs!$B$30:$AF$35,MATCH(About!$B$3,Calcs!$A$30:$A$35,0),MATCH(W$1,Calcs!$B$29:$AF$29,0))*INDEX(Keys!$F$2:$M$7,MATCH(About!$B$3,Keys!$E$2:$E$7,0),MATCH($A6,Keys!$F$1:$M$1,0)),0)</f>
        <v>32.689990359574949</v>
      </c>
      <c r="X6">
        <f>IFERROR(INDEX(Calcs!$B$30:$AF$35,MATCH(About!$B$3,Calcs!$A$30:$A$35,0),MATCH(X$1,Calcs!$B$29:$AF$29,0))*INDEX(Keys!$F$2:$M$7,MATCH(About!$B$3,Keys!$E$2:$E$7,0),MATCH($A6,Keys!$F$1:$M$1,0)),0)</f>
        <v>32.689990359574949</v>
      </c>
      <c r="Y6">
        <f>IFERROR(INDEX(Calcs!$B$30:$AF$35,MATCH(About!$B$3,Calcs!$A$30:$A$35,0),MATCH(Y$1,Calcs!$B$29:$AF$29,0))*INDEX(Keys!$F$2:$M$7,MATCH(About!$B$3,Keys!$E$2:$E$7,0),MATCH($A6,Keys!$F$1:$M$1,0)),0)</f>
        <v>32.689990359574949</v>
      </c>
      <c r="Z6">
        <f>IFERROR(INDEX(Calcs!$B$30:$AF$35,MATCH(About!$B$3,Calcs!$A$30:$A$35,0),MATCH(Z$1,Calcs!$B$29:$AF$29,0))*INDEX(Keys!$F$2:$M$7,MATCH(About!$B$3,Keys!$E$2:$E$7,0),MATCH($A6,Keys!$F$1:$M$1,0)),0)</f>
        <v>32.689990359574949</v>
      </c>
      <c r="AA6">
        <f>IFERROR(INDEX(Calcs!$B$30:$AF$35,MATCH(About!$B$3,Calcs!$A$30:$A$35,0),MATCH(AA$1,Calcs!$B$29:$AF$29,0))*INDEX(Keys!$F$2:$M$7,MATCH(About!$B$3,Keys!$E$2:$E$7,0),MATCH($A6,Keys!$F$1:$M$1,0)),0)</f>
        <v>32.689990359574949</v>
      </c>
      <c r="AB6">
        <f>IFERROR(INDEX(Calcs!$B$30:$AF$35,MATCH(About!$B$3,Calcs!$A$30:$A$35,0),MATCH(AB$1,Calcs!$B$29:$AF$29,0))*INDEX(Keys!$F$2:$M$7,MATCH(About!$B$3,Keys!$E$2:$E$7,0),MATCH($A6,Keys!$F$1:$M$1,0)),0)</f>
        <v>32.689990359574949</v>
      </c>
      <c r="AC6">
        <f>IFERROR(INDEX(Calcs!$B$30:$AF$35,MATCH(About!$B$3,Calcs!$A$30:$A$35,0),MATCH(AC$1,Calcs!$B$29:$AF$29,0))*INDEX(Keys!$F$2:$M$7,MATCH(About!$B$3,Keys!$E$2:$E$7,0),MATCH($A6,Keys!$F$1:$M$1,0)),0)</f>
        <v>32.689990359574949</v>
      </c>
      <c r="AD6">
        <f>IFERROR(INDEX(Calcs!$B$30:$AF$35,MATCH(About!$B$3,Calcs!$A$30:$A$35,0),MATCH(AD$1,Calcs!$B$29:$AF$29,0))*INDEX(Keys!$F$2:$M$7,MATCH(About!$B$3,Keys!$E$2:$E$7,0),MATCH($A6,Keys!$F$1:$M$1,0)),0)</f>
        <v>32.689990359574949</v>
      </c>
      <c r="AE6">
        <f>IFERROR(INDEX(Calcs!$B$30:$AF$35,MATCH(About!$B$3,Calcs!$A$30:$A$35,0),MATCH(AE$1,Calcs!$B$29:$AF$29,0))*INDEX(Keys!$F$2:$M$7,MATCH(About!$B$3,Keys!$E$2:$E$7,0),MATCH($A6,Keys!$F$1:$M$1,0)),0)</f>
        <v>32.689990359574949</v>
      </c>
      <c r="AF6">
        <f>IFERROR(INDEX(Calcs!$B$30:$AF$35,MATCH(About!$B$3,Calcs!$A$30:$A$35,0),MATCH(AF$1,Calcs!$B$29:$AF$29,0))*INDEX(Keys!$F$2:$M$7,MATCH(About!$B$3,Keys!$E$2:$E$7,0),MATCH($A6,Keys!$F$1:$M$1,0)),0)</f>
        <v>32.689990359574949</v>
      </c>
    </row>
    <row r="7" spans="1:32" x14ac:dyDescent="0.45">
      <c r="A7" t="s">
        <v>94</v>
      </c>
      <c r="B7">
        <f>IFERROR(INDEX(Calcs!$B$30:$AF$35,MATCH(About!$B$3,Calcs!$A$30:$A$35,0),MATCH(B$1,Calcs!$B$29:$AF$29,0))*INDEX(Keys!$F$2:$M$7,MATCH(About!$B$3,Keys!$E$2:$E$7,0),MATCH($A7,Keys!$F$1:$M$1,0)),0)</f>
        <v>15.116365842255545</v>
      </c>
      <c r="C7">
        <f>IFERROR(INDEX(Calcs!$B$30:$AF$35,MATCH(About!$B$3,Calcs!$A$30:$A$35,0),MATCH(C$1,Calcs!$B$29:$AF$29,0))*INDEX(Keys!$F$2:$M$7,MATCH(About!$B$3,Keys!$E$2:$E$7,0),MATCH($A7,Keys!$F$1:$M$1,0)),0)</f>
        <v>18.674583016570097</v>
      </c>
      <c r="D7">
        <f>IFERROR(INDEX(Calcs!$B$30:$AF$35,MATCH(About!$B$3,Calcs!$A$30:$A$35,0),MATCH(D$1,Calcs!$B$29:$AF$29,0))*INDEX(Keys!$F$2:$M$7,MATCH(About!$B$3,Keys!$E$2:$E$7,0),MATCH($A7,Keys!$F$1:$M$1,0)),0)</f>
        <v>22.319623105704672</v>
      </c>
      <c r="E7">
        <f>IFERROR(INDEX(Calcs!$B$30:$AF$35,MATCH(About!$B$3,Calcs!$A$30:$A$35,0),MATCH(E$1,Calcs!$B$29:$AF$29,0))*INDEX(Keys!$F$2:$M$7,MATCH(About!$B$3,Keys!$E$2:$E$7,0),MATCH($A7,Keys!$F$1:$M$1,0)),0)</f>
        <v>24.886334303680318</v>
      </c>
      <c r="F7">
        <f>IFERROR(INDEX(Calcs!$B$30:$AF$35,MATCH(About!$B$3,Calcs!$A$30:$A$35,0),MATCH(F$1,Calcs!$B$29:$AF$29,0))*INDEX(Keys!$F$2:$M$7,MATCH(About!$B$3,Keys!$E$2:$E$7,0),MATCH($A7,Keys!$F$1:$M$1,0)),0)</f>
        <v>25.786326442453426</v>
      </c>
      <c r="G7">
        <f>IFERROR(INDEX(Calcs!$B$30:$AF$35,MATCH(About!$B$3,Calcs!$A$30:$A$35,0),MATCH(G$1,Calcs!$B$29:$AF$29,0))*INDEX(Keys!$F$2:$M$7,MATCH(About!$B$3,Keys!$E$2:$E$7,0),MATCH($A7,Keys!$F$1:$M$1,0)),0)</f>
        <v>20.003912018619602</v>
      </c>
      <c r="H7">
        <f>IFERROR(INDEX(Calcs!$B$30:$AF$35,MATCH(About!$B$3,Calcs!$A$30:$A$35,0),MATCH(H$1,Calcs!$B$29:$AF$29,0))*INDEX(Keys!$F$2:$M$7,MATCH(About!$B$3,Keys!$E$2:$E$7,0),MATCH($A7,Keys!$F$1:$M$1,0)),0)</f>
        <v>26.455521180259893</v>
      </c>
      <c r="I7">
        <f>IFERROR(INDEX(Calcs!$B$30:$AF$35,MATCH(About!$B$3,Calcs!$A$30:$A$35,0),MATCH(I$1,Calcs!$B$29:$AF$29,0))*INDEX(Keys!$F$2:$M$7,MATCH(About!$B$3,Keys!$E$2:$E$7,0),MATCH($A7,Keys!$F$1:$M$1,0)),0)</f>
        <v>28.014138475088657</v>
      </c>
      <c r="J7">
        <f>IFERROR(INDEX(Calcs!$B$30:$AF$35,MATCH(About!$B$3,Calcs!$A$30:$A$35,0),MATCH(J$1,Calcs!$B$29:$AF$29,0))*INDEX(Keys!$F$2:$M$7,MATCH(About!$B$3,Keys!$E$2:$E$7,0),MATCH($A7,Keys!$F$1:$M$1,0)),0)</f>
        <v>29.572755769917421</v>
      </c>
      <c r="K7">
        <f>IFERROR(INDEX(Calcs!$B$30:$AF$35,MATCH(About!$B$3,Calcs!$A$30:$A$35,0),MATCH(K$1,Calcs!$B$29:$AF$29,0))*INDEX(Keys!$F$2:$M$7,MATCH(About!$B$3,Keys!$E$2:$E$7,0),MATCH($A7,Keys!$F$1:$M$1,0)),0)</f>
        <v>31.131373064746185</v>
      </c>
      <c r="L7">
        <f>IFERROR(INDEX(Calcs!$B$30:$AF$35,MATCH(About!$B$3,Calcs!$A$30:$A$35,0),MATCH(L$1,Calcs!$B$29:$AF$29,0))*INDEX(Keys!$F$2:$M$7,MATCH(About!$B$3,Keys!$E$2:$E$7,0),MATCH($A7,Keys!$F$1:$M$1,0)),0)</f>
        <v>32.689990359574949</v>
      </c>
      <c r="M7">
        <f>IFERROR(INDEX(Calcs!$B$30:$AF$35,MATCH(About!$B$3,Calcs!$A$30:$A$35,0),MATCH(M$1,Calcs!$B$29:$AF$29,0))*INDEX(Keys!$F$2:$M$7,MATCH(About!$B$3,Keys!$E$2:$E$7,0),MATCH($A7,Keys!$F$1:$M$1,0)),0)</f>
        <v>32.689990359574949</v>
      </c>
      <c r="N7">
        <f>IFERROR(INDEX(Calcs!$B$30:$AF$35,MATCH(About!$B$3,Calcs!$A$30:$A$35,0),MATCH(N$1,Calcs!$B$29:$AF$29,0))*INDEX(Keys!$F$2:$M$7,MATCH(About!$B$3,Keys!$E$2:$E$7,0),MATCH($A7,Keys!$F$1:$M$1,0)),0)</f>
        <v>32.689990359574949</v>
      </c>
      <c r="O7">
        <f>IFERROR(INDEX(Calcs!$B$30:$AF$35,MATCH(About!$B$3,Calcs!$A$30:$A$35,0),MATCH(O$1,Calcs!$B$29:$AF$29,0))*INDEX(Keys!$F$2:$M$7,MATCH(About!$B$3,Keys!$E$2:$E$7,0),MATCH($A7,Keys!$F$1:$M$1,0)),0)</f>
        <v>32.689990359574949</v>
      </c>
      <c r="P7">
        <f>IFERROR(INDEX(Calcs!$B$30:$AF$35,MATCH(About!$B$3,Calcs!$A$30:$A$35,0),MATCH(P$1,Calcs!$B$29:$AF$29,0))*INDEX(Keys!$F$2:$M$7,MATCH(About!$B$3,Keys!$E$2:$E$7,0),MATCH($A7,Keys!$F$1:$M$1,0)),0)</f>
        <v>32.689990359574949</v>
      </c>
      <c r="Q7">
        <f>IFERROR(INDEX(Calcs!$B$30:$AF$35,MATCH(About!$B$3,Calcs!$A$30:$A$35,0),MATCH(Q$1,Calcs!$B$29:$AF$29,0))*INDEX(Keys!$F$2:$M$7,MATCH(About!$B$3,Keys!$E$2:$E$7,0),MATCH($A7,Keys!$F$1:$M$1,0)),0)</f>
        <v>32.689990359574949</v>
      </c>
      <c r="R7">
        <f>IFERROR(INDEX(Calcs!$B$30:$AF$35,MATCH(About!$B$3,Calcs!$A$30:$A$35,0),MATCH(R$1,Calcs!$B$29:$AF$29,0))*INDEX(Keys!$F$2:$M$7,MATCH(About!$B$3,Keys!$E$2:$E$7,0),MATCH($A7,Keys!$F$1:$M$1,0)),0)</f>
        <v>32.689990359574949</v>
      </c>
      <c r="S7">
        <f>IFERROR(INDEX(Calcs!$B$30:$AF$35,MATCH(About!$B$3,Calcs!$A$30:$A$35,0),MATCH(S$1,Calcs!$B$29:$AF$29,0))*INDEX(Keys!$F$2:$M$7,MATCH(About!$B$3,Keys!$E$2:$E$7,0),MATCH($A7,Keys!$F$1:$M$1,0)),0)</f>
        <v>32.689990359574949</v>
      </c>
      <c r="T7">
        <f>IFERROR(INDEX(Calcs!$B$30:$AF$35,MATCH(About!$B$3,Calcs!$A$30:$A$35,0),MATCH(T$1,Calcs!$B$29:$AF$29,0))*INDEX(Keys!$F$2:$M$7,MATCH(About!$B$3,Keys!$E$2:$E$7,0),MATCH($A7,Keys!$F$1:$M$1,0)),0)</f>
        <v>32.689990359574949</v>
      </c>
      <c r="U7">
        <f>IFERROR(INDEX(Calcs!$B$30:$AF$35,MATCH(About!$B$3,Calcs!$A$30:$A$35,0),MATCH(U$1,Calcs!$B$29:$AF$29,0))*INDEX(Keys!$F$2:$M$7,MATCH(About!$B$3,Keys!$E$2:$E$7,0),MATCH($A7,Keys!$F$1:$M$1,0)),0)</f>
        <v>32.689990359574949</v>
      </c>
      <c r="V7">
        <f>IFERROR(INDEX(Calcs!$B$30:$AF$35,MATCH(About!$B$3,Calcs!$A$30:$A$35,0),MATCH(V$1,Calcs!$B$29:$AF$29,0))*INDEX(Keys!$F$2:$M$7,MATCH(About!$B$3,Keys!$E$2:$E$7,0),MATCH($A7,Keys!$F$1:$M$1,0)),0)</f>
        <v>32.689990359574949</v>
      </c>
      <c r="W7">
        <f>IFERROR(INDEX(Calcs!$B$30:$AF$35,MATCH(About!$B$3,Calcs!$A$30:$A$35,0),MATCH(W$1,Calcs!$B$29:$AF$29,0))*INDEX(Keys!$F$2:$M$7,MATCH(About!$B$3,Keys!$E$2:$E$7,0),MATCH($A7,Keys!$F$1:$M$1,0)),0)</f>
        <v>32.689990359574949</v>
      </c>
      <c r="X7">
        <f>IFERROR(INDEX(Calcs!$B$30:$AF$35,MATCH(About!$B$3,Calcs!$A$30:$A$35,0),MATCH(X$1,Calcs!$B$29:$AF$29,0))*INDEX(Keys!$F$2:$M$7,MATCH(About!$B$3,Keys!$E$2:$E$7,0),MATCH($A7,Keys!$F$1:$M$1,0)),0)</f>
        <v>32.689990359574949</v>
      </c>
      <c r="Y7">
        <f>IFERROR(INDEX(Calcs!$B$30:$AF$35,MATCH(About!$B$3,Calcs!$A$30:$A$35,0),MATCH(Y$1,Calcs!$B$29:$AF$29,0))*INDEX(Keys!$F$2:$M$7,MATCH(About!$B$3,Keys!$E$2:$E$7,0),MATCH($A7,Keys!$F$1:$M$1,0)),0)</f>
        <v>32.689990359574949</v>
      </c>
      <c r="Z7">
        <f>IFERROR(INDEX(Calcs!$B$30:$AF$35,MATCH(About!$B$3,Calcs!$A$30:$A$35,0),MATCH(Z$1,Calcs!$B$29:$AF$29,0))*INDEX(Keys!$F$2:$M$7,MATCH(About!$B$3,Keys!$E$2:$E$7,0),MATCH($A7,Keys!$F$1:$M$1,0)),0)</f>
        <v>32.689990359574949</v>
      </c>
      <c r="AA7">
        <f>IFERROR(INDEX(Calcs!$B$30:$AF$35,MATCH(About!$B$3,Calcs!$A$30:$A$35,0),MATCH(AA$1,Calcs!$B$29:$AF$29,0))*INDEX(Keys!$F$2:$M$7,MATCH(About!$B$3,Keys!$E$2:$E$7,0),MATCH($A7,Keys!$F$1:$M$1,0)),0)</f>
        <v>32.689990359574949</v>
      </c>
      <c r="AB7">
        <f>IFERROR(INDEX(Calcs!$B$30:$AF$35,MATCH(About!$B$3,Calcs!$A$30:$A$35,0),MATCH(AB$1,Calcs!$B$29:$AF$29,0))*INDEX(Keys!$F$2:$M$7,MATCH(About!$B$3,Keys!$E$2:$E$7,0),MATCH($A7,Keys!$F$1:$M$1,0)),0)</f>
        <v>32.689990359574949</v>
      </c>
      <c r="AC7">
        <f>IFERROR(INDEX(Calcs!$B$30:$AF$35,MATCH(About!$B$3,Calcs!$A$30:$A$35,0),MATCH(AC$1,Calcs!$B$29:$AF$29,0))*INDEX(Keys!$F$2:$M$7,MATCH(About!$B$3,Keys!$E$2:$E$7,0),MATCH($A7,Keys!$F$1:$M$1,0)),0)</f>
        <v>32.689990359574949</v>
      </c>
      <c r="AD7">
        <f>IFERROR(INDEX(Calcs!$B$30:$AF$35,MATCH(About!$B$3,Calcs!$A$30:$A$35,0),MATCH(AD$1,Calcs!$B$29:$AF$29,0))*INDEX(Keys!$F$2:$M$7,MATCH(About!$B$3,Keys!$E$2:$E$7,0),MATCH($A7,Keys!$F$1:$M$1,0)),0)</f>
        <v>32.689990359574949</v>
      </c>
      <c r="AE7">
        <f>IFERROR(INDEX(Calcs!$B$30:$AF$35,MATCH(About!$B$3,Calcs!$A$30:$A$35,0),MATCH(AE$1,Calcs!$B$29:$AF$29,0))*INDEX(Keys!$F$2:$M$7,MATCH(About!$B$3,Keys!$E$2:$E$7,0),MATCH($A7,Keys!$F$1:$M$1,0)),0)</f>
        <v>32.689990359574949</v>
      </c>
      <c r="AF7">
        <f>IFERROR(INDEX(Calcs!$B$30:$AF$35,MATCH(About!$B$3,Calcs!$A$30:$A$35,0),MATCH(AF$1,Calcs!$B$29:$AF$29,0))*INDEX(Keys!$F$2:$M$7,MATCH(About!$B$3,Keys!$E$2:$E$7,0),MATCH($A7,Keys!$F$1:$M$1,0)),0)</f>
        <v>32.689990359574949</v>
      </c>
    </row>
    <row r="8" spans="1:32" x14ac:dyDescent="0.45">
      <c r="A8" t="s">
        <v>95</v>
      </c>
      <c r="B8">
        <f>IFERROR(INDEX(Calcs!$B$30:$AF$35,MATCH(About!$B$3,Calcs!$A$30:$A$35,0),MATCH(B$1,Calcs!$B$29:$AF$29,0))*INDEX(Keys!$F$2:$M$7,MATCH(About!$B$3,Keys!$E$2:$E$7,0),MATCH($A8,Keys!$F$1:$M$1,0)),0)</f>
        <v>15.116365842255545</v>
      </c>
      <c r="C8">
        <f>IFERROR(INDEX(Calcs!$B$30:$AF$35,MATCH(About!$B$3,Calcs!$A$30:$A$35,0),MATCH(C$1,Calcs!$B$29:$AF$29,0))*INDEX(Keys!$F$2:$M$7,MATCH(About!$B$3,Keys!$E$2:$E$7,0),MATCH($A8,Keys!$F$1:$M$1,0)),0)</f>
        <v>18.674583016570097</v>
      </c>
      <c r="D8">
        <f>IFERROR(INDEX(Calcs!$B$30:$AF$35,MATCH(About!$B$3,Calcs!$A$30:$A$35,0),MATCH(D$1,Calcs!$B$29:$AF$29,0))*INDEX(Keys!$F$2:$M$7,MATCH(About!$B$3,Keys!$E$2:$E$7,0),MATCH($A8,Keys!$F$1:$M$1,0)),0)</f>
        <v>22.319623105704672</v>
      </c>
      <c r="E8">
        <f>IFERROR(INDEX(Calcs!$B$30:$AF$35,MATCH(About!$B$3,Calcs!$A$30:$A$35,0),MATCH(E$1,Calcs!$B$29:$AF$29,0))*INDEX(Keys!$F$2:$M$7,MATCH(About!$B$3,Keys!$E$2:$E$7,0),MATCH($A8,Keys!$F$1:$M$1,0)),0)</f>
        <v>24.886334303680318</v>
      </c>
      <c r="F8">
        <f>IFERROR(INDEX(Calcs!$B$30:$AF$35,MATCH(About!$B$3,Calcs!$A$30:$A$35,0),MATCH(F$1,Calcs!$B$29:$AF$29,0))*INDEX(Keys!$F$2:$M$7,MATCH(About!$B$3,Keys!$E$2:$E$7,0),MATCH($A8,Keys!$F$1:$M$1,0)),0)</f>
        <v>25.786326442453426</v>
      </c>
      <c r="G8">
        <f>IFERROR(INDEX(Calcs!$B$30:$AF$35,MATCH(About!$B$3,Calcs!$A$30:$A$35,0),MATCH(G$1,Calcs!$B$29:$AF$29,0))*INDEX(Keys!$F$2:$M$7,MATCH(About!$B$3,Keys!$E$2:$E$7,0),MATCH($A8,Keys!$F$1:$M$1,0)),0)</f>
        <v>20.003912018619602</v>
      </c>
      <c r="H8">
        <f>IFERROR(INDEX(Calcs!$B$30:$AF$35,MATCH(About!$B$3,Calcs!$A$30:$A$35,0),MATCH(H$1,Calcs!$B$29:$AF$29,0))*INDEX(Keys!$F$2:$M$7,MATCH(About!$B$3,Keys!$E$2:$E$7,0),MATCH($A8,Keys!$F$1:$M$1,0)),0)</f>
        <v>26.455521180259893</v>
      </c>
      <c r="I8">
        <f>IFERROR(INDEX(Calcs!$B$30:$AF$35,MATCH(About!$B$3,Calcs!$A$30:$A$35,0),MATCH(I$1,Calcs!$B$29:$AF$29,0))*INDEX(Keys!$F$2:$M$7,MATCH(About!$B$3,Keys!$E$2:$E$7,0),MATCH($A8,Keys!$F$1:$M$1,0)),0)</f>
        <v>28.014138475088657</v>
      </c>
      <c r="J8">
        <f>IFERROR(INDEX(Calcs!$B$30:$AF$35,MATCH(About!$B$3,Calcs!$A$30:$A$35,0),MATCH(J$1,Calcs!$B$29:$AF$29,0))*INDEX(Keys!$F$2:$M$7,MATCH(About!$B$3,Keys!$E$2:$E$7,0),MATCH($A8,Keys!$F$1:$M$1,0)),0)</f>
        <v>29.572755769917421</v>
      </c>
      <c r="K8">
        <f>IFERROR(INDEX(Calcs!$B$30:$AF$35,MATCH(About!$B$3,Calcs!$A$30:$A$35,0),MATCH(K$1,Calcs!$B$29:$AF$29,0))*INDEX(Keys!$F$2:$M$7,MATCH(About!$B$3,Keys!$E$2:$E$7,0),MATCH($A8,Keys!$F$1:$M$1,0)),0)</f>
        <v>31.131373064746185</v>
      </c>
      <c r="L8">
        <f>IFERROR(INDEX(Calcs!$B$30:$AF$35,MATCH(About!$B$3,Calcs!$A$30:$A$35,0),MATCH(L$1,Calcs!$B$29:$AF$29,0))*INDEX(Keys!$F$2:$M$7,MATCH(About!$B$3,Keys!$E$2:$E$7,0),MATCH($A8,Keys!$F$1:$M$1,0)),0)</f>
        <v>32.689990359574949</v>
      </c>
      <c r="M8">
        <f>IFERROR(INDEX(Calcs!$B$30:$AF$35,MATCH(About!$B$3,Calcs!$A$30:$A$35,0),MATCH(M$1,Calcs!$B$29:$AF$29,0))*INDEX(Keys!$F$2:$M$7,MATCH(About!$B$3,Keys!$E$2:$E$7,0),MATCH($A8,Keys!$F$1:$M$1,0)),0)</f>
        <v>32.689990359574949</v>
      </c>
      <c r="N8">
        <f>IFERROR(INDEX(Calcs!$B$30:$AF$35,MATCH(About!$B$3,Calcs!$A$30:$A$35,0),MATCH(N$1,Calcs!$B$29:$AF$29,0))*INDEX(Keys!$F$2:$M$7,MATCH(About!$B$3,Keys!$E$2:$E$7,0),MATCH($A8,Keys!$F$1:$M$1,0)),0)</f>
        <v>32.689990359574949</v>
      </c>
      <c r="O8">
        <f>IFERROR(INDEX(Calcs!$B$30:$AF$35,MATCH(About!$B$3,Calcs!$A$30:$A$35,0),MATCH(O$1,Calcs!$B$29:$AF$29,0))*INDEX(Keys!$F$2:$M$7,MATCH(About!$B$3,Keys!$E$2:$E$7,0),MATCH($A8,Keys!$F$1:$M$1,0)),0)</f>
        <v>32.689990359574949</v>
      </c>
      <c r="P8">
        <f>IFERROR(INDEX(Calcs!$B$30:$AF$35,MATCH(About!$B$3,Calcs!$A$30:$A$35,0),MATCH(P$1,Calcs!$B$29:$AF$29,0))*INDEX(Keys!$F$2:$M$7,MATCH(About!$B$3,Keys!$E$2:$E$7,0),MATCH($A8,Keys!$F$1:$M$1,0)),0)</f>
        <v>32.689990359574949</v>
      </c>
      <c r="Q8">
        <f>IFERROR(INDEX(Calcs!$B$30:$AF$35,MATCH(About!$B$3,Calcs!$A$30:$A$35,0),MATCH(Q$1,Calcs!$B$29:$AF$29,0))*INDEX(Keys!$F$2:$M$7,MATCH(About!$B$3,Keys!$E$2:$E$7,0),MATCH($A8,Keys!$F$1:$M$1,0)),0)</f>
        <v>32.689990359574949</v>
      </c>
      <c r="R8">
        <f>IFERROR(INDEX(Calcs!$B$30:$AF$35,MATCH(About!$B$3,Calcs!$A$30:$A$35,0),MATCH(R$1,Calcs!$B$29:$AF$29,0))*INDEX(Keys!$F$2:$M$7,MATCH(About!$B$3,Keys!$E$2:$E$7,0),MATCH($A8,Keys!$F$1:$M$1,0)),0)</f>
        <v>32.689990359574949</v>
      </c>
      <c r="S8">
        <f>IFERROR(INDEX(Calcs!$B$30:$AF$35,MATCH(About!$B$3,Calcs!$A$30:$A$35,0),MATCH(S$1,Calcs!$B$29:$AF$29,0))*INDEX(Keys!$F$2:$M$7,MATCH(About!$B$3,Keys!$E$2:$E$7,0),MATCH($A8,Keys!$F$1:$M$1,0)),0)</f>
        <v>32.689990359574949</v>
      </c>
      <c r="T8">
        <f>IFERROR(INDEX(Calcs!$B$30:$AF$35,MATCH(About!$B$3,Calcs!$A$30:$A$35,0),MATCH(T$1,Calcs!$B$29:$AF$29,0))*INDEX(Keys!$F$2:$M$7,MATCH(About!$B$3,Keys!$E$2:$E$7,0),MATCH($A8,Keys!$F$1:$M$1,0)),0)</f>
        <v>32.689990359574949</v>
      </c>
      <c r="U8">
        <f>IFERROR(INDEX(Calcs!$B$30:$AF$35,MATCH(About!$B$3,Calcs!$A$30:$A$35,0),MATCH(U$1,Calcs!$B$29:$AF$29,0))*INDEX(Keys!$F$2:$M$7,MATCH(About!$B$3,Keys!$E$2:$E$7,0),MATCH($A8,Keys!$F$1:$M$1,0)),0)</f>
        <v>32.689990359574949</v>
      </c>
      <c r="V8">
        <f>IFERROR(INDEX(Calcs!$B$30:$AF$35,MATCH(About!$B$3,Calcs!$A$30:$A$35,0),MATCH(V$1,Calcs!$B$29:$AF$29,0))*INDEX(Keys!$F$2:$M$7,MATCH(About!$B$3,Keys!$E$2:$E$7,0),MATCH($A8,Keys!$F$1:$M$1,0)),0)</f>
        <v>32.689990359574949</v>
      </c>
      <c r="W8">
        <f>IFERROR(INDEX(Calcs!$B$30:$AF$35,MATCH(About!$B$3,Calcs!$A$30:$A$35,0),MATCH(W$1,Calcs!$B$29:$AF$29,0))*INDEX(Keys!$F$2:$M$7,MATCH(About!$B$3,Keys!$E$2:$E$7,0),MATCH($A8,Keys!$F$1:$M$1,0)),0)</f>
        <v>32.689990359574949</v>
      </c>
      <c r="X8">
        <f>IFERROR(INDEX(Calcs!$B$30:$AF$35,MATCH(About!$B$3,Calcs!$A$30:$A$35,0),MATCH(X$1,Calcs!$B$29:$AF$29,0))*INDEX(Keys!$F$2:$M$7,MATCH(About!$B$3,Keys!$E$2:$E$7,0),MATCH($A8,Keys!$F$1:$M$1,0)),0)</f>
        <v>32.689990359574949</v>
      </c>
      <c r="Y8">
        <f>IFERROR(INDEX(Calcs!$B$30:$AF$35,MATCH(About!$B$3,Calcs!$A$30:$A$35,0),MATCH(Y$1,Calcs!$B$29:$AF$29,0))*INDEX(Keys!$F$2:$M$7,MATCH(About!$B$3,Keys!$E$2:$E$7,0),MATCH($A8,Keys!$F$1:$M$1,0)),0)</f>
        <v>32.689990359574949</v>
      </c>
      <c r="Z8">
        <f>IFERROR(INDEX(Calcs!$B$30:$AF$35,MATCH(About!$B$3,Calcs!$A$30:$A$35,0),MATCH(Z$1,Calcs!$B$29:$AF$29,0))*INDEX(Keys!$F$2:$M$7,MATCH(About!$B$3,Keys!$E$2:$E$7,0),MATCH($A8,Keys!$F$1:$M$1,0)),0)</f>
        <v>32.689990359574949</v>
      </c>
      <c r="AA8">
        <f>IFERROR(INDEX(Calcs!$B$30:$AF$35,MATCH(About!$B$3,Calcs!$A$30:$A$35,0),MATCH(AA$1,Calcs!$B$29:$AF$29,0))*INDEX(Keys!$F$2:$M$7,MATCH(About!$B$3,Keys!$E$2:$E$7,0),MATCH($A8,Keys!$F$1:$M$1,0)),0)</f>
        <v>32.689990359574949</v>
      </c>
      <c r="AB8">
        <f>IFERROR(INDEX(Calcs!$B$30:$AF$35,MATCH(About!$B$3,Calcs!$A$30:$A$35,0),MATCH(AB$1,Calcs!$B$29:$AF$29,0))*INDEX(Keys!$F$2:$M$7,MATCH(About!$B$3,Keys!$E$2:$E$7,0),MATCH($A8,Keys!$F$1:$M$1,0)),0)</f>
        <v>32.689990359574949</v>
      </c>
      <c r="AC8">
        <f>IFERROR(INDEX(Calcs!$B$30:$AF$35,MATCH(About!$B$3,Calcs!$A$30:$A$35,0),MATCH(AC$1,Calcs!$B$29:$AF$29,0))*INDEX(Keys!$F$2:$M$7,MATCH(About!$B$3,Keys!$E$2:$E$7,0),MATCH($A8,Keys!$F$1:$M$1,0)),0)</f>
        <v>32.689990359574949</v>
      </c>
      <c r="AD8">
        <f>IFERROR(INDEX(Calcs!$B$30:$AF$35,MATCH(About!$B$3,Calcs!$A$30:$A$35,0),MATCH(AD$1,Calcs!$B$29:$AF$29,0))*INDEX(Keys!$F$2:$M$7,MATCH(About!$B$3,Keys!$E$2:$E$7,0),MATCH($A8,Keys!$F$1:$M$1,0)),0)</f>
        <v>32.689990359574949</v>
      </c>
      <c r="AE8">
        <f>IFERROR(INDEX(Calcs!$B$30:$AF$35,MATCH(About!$B$3,Calcs!$A$30:$A$35,0),MATCH(AE$1,Calcs!$B$29:$AF$29,0))*INDEX(Keys!$F$2:$M$7,MATCH(About!$B$3,Keys!$E$2:$E$7,0),MATCH($A8,Keys!$F$1:$M$1,0)),0)</f>
        <v>32.689990359574949</v>
      </c>
      <c r="AF8">
        <f>IFERROR(INDEX(Calcs!$B$30:$AF$35,MATCH(About!$B$3,Calcs!$A$30:$A$35,0),MATCH(AF$1,Calcs!$B$29:$AF$29,0))*INDEX(Keys!$F$2:$M$7,MATCH(About!$B$3,Keys!$E$2:$E$7,0),MATCH($A8,Keys!$F$1:$M$1,0)),0)</f>
        <v>32.689990359574949</v>
      </c>
    </row>
    <row r="9" spans="1:32" x14ac:dyDescent="0.45">
      <c r="A9" t="s">
        <v>96</v>
      </c>
      <c r="B9">
        <f>IFERROR(INDEX(Calcs!$B$30:$AF$35,MATCH(About!$B$3,Calcs!$A$30:$A$35,0),MATCH(B$1,Calcs!$B$29:$AF$29,0))*INDEX(Keys!$F$2:$M$7,MATCH(About!$B$3,Keys!$E$2:$E$7,0),MATCH($A9,Keys!$F$1:$M$1,0)),0)</f>
        <v>15.116365842255545</v>
      </c>
      <c r="C9">
        <f>IFERROR(INDEX(Calcs!$B$30:$AF$35,MATCH(About!$B$3,Calcs!$A$30:$A$35,0),MATCH(C$1,Calcs!$B$29:$AF$29,0))*INDEX(Keys!$F$2:$M$7,MATCH(About!$B$3,Keys!$E$2:$E$7,0),MATCH($A9,Keys!$F$1:$M$1,0)),0)</f>
        <v>18.674583016570097</v>
      </c>
      <c r="D9">
        <f>IFERROR(INDEX(Calcs!$B$30:$AF$35,MATCH(About!$B$3,Calcs!$A$30:$A$35,0),MATCH(D$1,Calcs!$B$29:$AF$29,0))*INDEX(Keys!$F$2:$M$7,MATCH(About!$B$3,Keys!$E$2:$E$7,0),MATCH($A9,Keys!$F$1:$M$1,0)),0)</f>
        <v>22.319623105704672</v>
      </c>
      <c r="E9">
        <f>IFERROR(INDEX(Calcs!$B$30:$AF$35,MATCH(About!$B$3,Calcs!$A$30:$A$35,0),MATCH(E$1,Calcs!$B$29:$AF$29,0))*INDEX(Keys!$F$2:$M$7,MATCH(About!$B$3,Keys!$E$2:$E$7,0),MATCH($A9,Keys!$F$1:$M$1,0)),0)</f>
        <v>24.886334303680318</v>
      </c>
      <c r="F9">
        <f>IFERROR(INDEX(Calcs!$B$30:$AF$35,MATCH(About!$B$3,Calcs!$A$30:$A$35,0),MATCH(F$1,Calcs!$B$29:$AF$29,0))*INDEX(Keys!$F$2:$M$7,MATCH(About!$B$3,Keys!$E$2:$E$7,0),MATCH($A9,Keys!$F$1:$M$1,0)),0)</f>
        <v>25.786326442453426</v>
      </c>
      <c r="G9">
        <f>IFERROR(INDEX(Calcs!$B$30:$AF$35,MATCH(About!$B$3,Calcs!$A$30:$A$35,0),MATCH(G$1,Calcs!$B$29:$AF$29,0))*INDEX(Keys!$F$2:$M$7,MATCH(About!$B$3,Keys!$E$2:$E$7,0),MATCH($A9,Keys!$F$1:$M$1,0)),0)</f>
        <v>20.003912018619602</v>
      </c>
      <c r="H9">
        <f>IFERROR(INDEX(Calcs!$B$30:$AF$35,MATCH(About!$B$3,Calcs!$A$30:$A$35,0),MATCH(H$1,Calcs!$B$29:$AF$29,0))*INDEX(Keys!$F$2:$M$7,MATCH(About!$B$3,Keys!$E$2:$E$7,0),MATCH($A9,Keys!$F$1:$M$1,0)),0)</f>
        <v>26.455521180259893</v>
      </c>
      <c r="I9">
        <f>IFERROR(INDEX(Calcs!$B$30:$AF$35,MATCH(About!$B$3,Calcs!$A$30:$A$35,0),MATCH(I$1,Calcs!$B$29:$AF$29,0))*INDEX(Keys!$F$2:$M$7,MATCH(About!$B$3,Keys!$E$2:$E$7,0),MATCH($A9,Keys!$F$1:$M$1,0)),0)</f>
        <v>28.014138475088657</v>
      </c>
      <c r="J9">
        <f>IFERROR(INDEX(Calcs!$B$30:$AF$35,MATCH(About!$B$3,Calcs!$A$30:$A$35,0),MATCH(J$1,Calcs!$B$29:$AF$29,0))*INDEX(Keys!$F$2:$M$7,MATCH(About!$B$3,Keys!$E$2:$E$7,0),MATCH($A9,Keys!$F$1:$M$1,0)),0)</f>
        <v>29.572755769917421</v>
      </c>
      <c r="K9">
        <f>IFERROR(INDEX(Calcs!$B$30:$AF$35,MATCH(About!$B$3,Calcs!$A$30:$A$35,0),MATCH(K$1,Calcs!$B$29:$AF$29,0))*INDEX(Keys!$F$2:$M$7,MATCH(About!$B$3,Keys!$E$2:$E$7,0),MATCH($A9,Keys!$F$1:$M$1,0)),0)</f>
        <v>31.131373064746185</v>
      </c>
      <c r="L9">
        <f>IFERROR(INDEX(Calcs!$B$30:$AF$35,MATCH(About!$B$3,Calcs!$A$30:$A$35,0),MATCH(L$1,Calcs!$B$29:$AF$29,0))*INDEX(Keys!$F$2:$M$7,MATCH(About!$B$3,Keys!$E$2:$E$7,0),MATCH($A9,Keys!$F$1:$M$1,0)),0)</f>
        <v>32.689990359574949</v>
      </c>
      <c r="M9">
        <f>IFERROR(INDEX(Calcs!$B$30:$AF$35,MATCH(About!$B$3,Calcs!$A$30:$A$35,0),MATCH(M$1,Calcs!$B$29:$AF$29,0))*INDEX(Keys!$F$2:$M$7,MATCH(About!$B$3,Keys!$E$2:$E$7,0),MATCH($A9,Keys!$F$1:$M$1,0)),0)</f>
        <v>32.689990359574949</v>
      </c>
      <c r="N9">
        <f>IFERROR(INDEX(Calcs!$B$30:$AF$35,MATCH(About!$B$3,Calcs!$A$30:$A$35,0),MATCH(N$1,Calcs!$B$29:$AF$29,0))*INDEX(Keys!$F$2:$M$7,MATCH(About!$B$3,Keys!$E$2:$E$7,0),MATCH($A9,Keys!$F$1:$M$1,0)),0)</f>
        <v>32.689990359574949</v>
      </c>
      <c r="O9">
        <f>IFERROR(INDEX(Calcs!$B$30:$AF$35,MATCH(About!$B$3,Calcs!$A$30:$A$35,0),MATCH(O$1,Calcs!$B$29:$AF$29,0))*INDEX(Keys!$F$2:$M$7,MATCH(About!$B$3,Keys!$E$2:$E$7,0),MATCH($A9,Keys!$F$1:$M$1,0)),0)</f>
        <v>32.689990359574949</v>
      </c>
      <c r="P9">
        <f>IFERROR(INDEX(Calcs!$B$30:$AF$35,MATCH(About!$B$3,Calcs!$A$30:$A$35,0),MATCH(P$1,Calcs!$B$29:$AF$29,0))*INDEX(Keys!$F$2:$M$7,MATCH(About!$B$3,Keys!$E$2:$E$7,0),MATCH($A9,Keys!$F$1:$M$1,0)),0)</f>
        <v>32.689990359574949</v>
      </c>
      <c r="Q9">
        <f>IFERROR(INDEX(Calcs!$B$30:$AF$35,MATCH(About!$B$3,Calcs!$A$30:$A$35,0),MATCH(Q$1,Calcs!$B$29:$AF$29,0))*INDEX(Keys!$F$2:$M$7,MATCH(About!$B$3,Keys!$E$2:$E$7,0),MATCH($A9,Keys!$F$1:$M$1,0)),0)</f>
        <v>32.689990359574949</v>
      </c>
      <c r="R9">
        <f>IFERROR(INDEX(Calcs!$B$30:$AF$35,MATCH(About!$B$3,Calcs!$A$30:$A$35,0),MATCH(R$1,Calcs!$B$29:$AF$29,0))*INDEX(Keys!$F$2:$M$7,MATCH(About!$B$3,Keys!$E$2:$E$7,0),MATCH($A9,Keys!$F$1:$M$1,0)),0)</f>
        <v>32.689990359574949</v>
      </c>
      <c r="S9">
        <f>IFERROR(INDEX(Calcs!$B$30:$AF$35,MATCH(About!$B$3,Calcs!$A$30:$A$35,0),MATCH(S$1,Calcs!$B$29:$AF$29,0))*INDEX(Keys!$F$2:$M$7,MATCH(About!$B$3,Keys!$E$2:$E$7,0),MATCH($A9,Keys!$F$1:$M$1,0)),0)</f>
        <v>32.689990359574949</v>
      </c>
      <c r="T9">
        <f>IFERROR(INDEX(Calcs!$B$30:$AF$35,MATCH(About!$B$3,Calcs!$A$30:$A$35,0),MATCH(T$1,Calcs!$B$29:$AF$29,0))*INDEX(Keys!$F$2:$M$7,MATCH(About!$B$3,Keys!$E$2:$E$7,0),MATCH($A9,Keys!$F$1:$M$1,0)),0)</f>
        <v>32.689990359574949</v>
      </c>
      <c r="U9">
        <f>IFERROR(INDEX(Calcs!$B$30:$AF$35,MATCH(About!$B$3,Calcs!$A$30:$A$35,0),MATCH(U$1,Calcs!$B$29:$AF$29,0))*INDEX(Keys!$F$2:$M$7,MATCH(About!$B$3,Keys!$E$2:$E$7,0),MATCH($A9,Keys!$F$1:$M$1,0)),0)</f>
        <v>32.689990359574949</v>
      </c>
      <c r="V9">
        <f>IFERROR(INDEX(Calcs!$B$30:$AF$35,MATCH(About!$B$3,Calcs!$A$30:$A$35,0),MATCH(V$1,Calcs!$B$29:$AF$29,0))*INDEX(Keys!$F$2:$M$7,MATCH(About!$B$3,Keys!$E$2:$E$7,0),MATCH($A9,Keys!$F$1:$M$1,0)),0)</f>
        <v>32.689990359574949</v>
      </c>
      <c r="W9">
        <f>IFERROR(INDEX(Calcs!$B$30:$AF$35,MATCH(About!$B$3,Calcs!$A$30:$A$35,0),MATCH(W$1,Calcs!$B$29:$AF$29,0))*INDEX(Keys!$F$2:$M$7,MATCH(About!$B$3,Keys!$E$2:$E$7,0),MATCH($A9,Keys!$F$1:$M$1,0)),0)</f>
        <v>32.689990359574949</v>
      </c>
      <c r="X9">
        <f>IFERROR(INDEX(Calcs!$B$30:$AF$35,MATCH(About!$B$3,Calcs!$A$30:$A$35,0),MATCH(X$1,Calcs!$B$29:$AF$29,0))*INDEX(Keys!$F$2:$M$7,MATCH(About!$B$3,Keys!$E$2:$E$7,0),MATCH($A9,Keys!$F$1:$M$1,0)),0)</f>
        <v>32.689990359574949</v>
      </c>
      <c r="Y9">
        <f>IFERROR(INDEX(Calcs!$B$30:$AF$35,MATCH(About!$B$3,Calcs!$A$30:$A$35,0),MATCH(Y$1,Calcs!$B$29:$AF$29,0))*INDEX(Keys!$F$2:$M$7,MATCH(About!$B$3,Keys!$E$2:$E$7,0),MATCH($A9,Keys!$F$1:$M$1,0)),0)</f>
        <v>32.689990359574949</v>
      </c>
      <c r="Z9">
        <f>IFERROR(INDEX(Calcs!$B$30:$AF$35,MATCH(About!$B$3,Calcs!$A$30:$A$35,0),MATCH(Z$1,Calcs!$B$29:$AF$29,0))*INDEX(Keys!$F$2:$M$7,MATCH(About!$B$3,Keys!$E$2:$E$7,0),MATCH($A9,Keys!$F$1:$M$1,0)),0)</f>
        <v>32.689990359574949</v>
      </c>
      <c r="AA9">
        <f>IFERROR(INDEX(Calcs!$B$30:$AF$35,MATCH(About!$B$3,Calcs!$A$30:$A$35,0),MATCH(AA$1,Calcs!$B$29:$AF$29,0))*INDEX(Keys!$F$2:$M$7,MATCH(About!$B$3,Keys!$E$2:$E$7,0),MATCH($A9,Keys!$F$1:$M$1,0)),0)</f>
        <v>32.689990359574949</v>
      </c>
      <c r="AB9">
        <f>IFERROR(INDEX(Calcs!$B$30:$AF$35,MATCH(About!$B$3,Calcs!$A$30:$A$35,0),MATCH(AB$1,Calcs!$B$29:$AF$29,0))*INDEX(Keys!$F$2:$M$7,MATCH(About!$B$3,Keys!$E$2:$E$7,0),MATCH($A9,Keys!$F$1:$M$1,0)),0)</f>
        <v>32.689990359574949</v>
      </c>
      <c r="AC9">
        <f>IFERROR(INDEX(Calcs!$B$30:$AF$35,MATCH(About!$B$3,Calcs!$A$30:$A$35,0),MATCH(AC$1,Calcs!$B$29:$AF$29,0))*INDEX(Keys!$F$2:$M$7,MATCH(About!$B$3,Keys!$E$2:$E$7,0),MATCH($A9,Keys!$F$1:$M$1,0)),0)</f>
        <v>32.689990359574949</v>
      </c>
      <c r="AD9">
        <f>IFERROR(INDEX(Calcs!$B$30:$AF$35,MATCH(About!$B$3,Calcs!$A$30:$A$35,0),MATCH(AD$1,Calcs!$B$29:$AF$29,0))*INDEX(Keys!$F$2:$M$7,MATCH(About!$B$3,Keys!$E$2:$E$7,0),MATCH($A9,Keys!$F$1:$M$1,0)),0)</f>
        <v>32.689990359574949</v>
      </c>
      <c r="AE9">
        <f>IFERROR(INDEX(Calcs!$B$30:$AF$35,MATCH(About!$B$3,Calcs!$A$30:$A$35,0),MATCH(AE$1,Calcs!$B$29:$AF$29,0))*INDEX(Keys!$F$2:$M$7,MATCH(About!$B$3,Keys!$E$2:$E$7,0),MATCH($A9,Keys!$F$1:$M$1,0)),0)</f>
        <v>32.689990359574949</v>
      </c>
      <c r="AF9">
        <f>IFERROR(INDEX(Calcs!$B$30:$AF$35,MATCH(About!$B$3,Calcs!$A$30:$A$35,0),MATCH(AF$1,Calcs!$B$29:$AF$29,0))*INDEX(Keys!$F$2:$M$7,MATCH(About!$B$3,Keys!$E$2:$E$7,0),MATCH($A9,Keys!$F$1:$M$1,0)),0)</f>
        <v>32.689990359574949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2026-09-02T21:45:56Z</dcterms:modified>
</cp:coreProperties>
</file>