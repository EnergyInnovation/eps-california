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28774127-C711-4687-B60B-7DB59613759E}"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Y45" i="9" s="1"/>
  <c r="X25" i="9"/>
  <c r="W25" i="9"/>
  <c r="V25" i="9"/>
  <c r="U25" i="9"/>
  <c r="T25" i="9"/>
  <c r="S25" i="9"/>
  <c r="R25" i="9"/>
  <c r="Q25" i="9"/>
  <c r="P25" i="9"/>
  <c r="O25" i="9"/>
  <c r="N25" i="9"/>
  <c r="M25" i="9"/>
  <c r="L25" i="9"/>
  <c r="K25" i="9"/>
  <c r="J25" i="9"/>
  <c r="I25" i="9"/>
  <c r="H25" i="9"/>
  <c r="G25" i="9"/>
  <c r="F25" i="9"/>
  <c r="F45" i="9" s="1"/>
  <c r="E25" i="9"/>
  <c r="E45" i="9" s="1"/>
  <c r="D25" i="9"/>
  <c r="D45" i="9" s="1"/>
  <c r="C25" i="9"/>
  <c r="C45" i="9" s="1"/>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M15" i="9" s="1"/>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K45" i="9" l="1"/>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AA61" i="9" s="1"/>
  <c r="AA5" i="11" s="1"/>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S51" i="9" s="1"/>
  <c r="S5" i="10" s="1"/>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C50" i="9" s="1"/>
  <c r="F10" i="9"/>
  <c r="F11" i="9"/>
  <c r="D55" i="9" s="1"/>
  <c r="D9" i="10" s="1"/>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G53" i="9" s="1"/>
  <c r="G7" i="10" s="1"/>
  <c r="N15" i="9"/>
  <c r="O15" i="9"/>
  <c r="P15" i="9"/>
  <c r="F5" i="9"/>
  <c r="G49" i="9" s="1"/>
  <c r="G3" i="10" s="1"/>
  <c r="G51" i="9" l="1"/>
  <c r="G5" i="10" s="1"/>
  <c r="Y55" i="9"/>
  <c r="Y9" i="10" s="1"/>
  <c r="L48" i="9"/>
  <c r="W58" i="9"/>
  <c r="W2" i="11" s="1"/>
  <c r="I53" i="9"/>
  <c r="I7" i="10" s="1"/>
  <c r="L53" i="9"/>
  <c r="L7" i="10" s="1"/>
  <c r="M63" i="9"/>
  <c r="M7" i="11" s="1"/>
  <c r="T58" i="9"/>
  <c r="T2" i="11" s="1"/>
  <c r="T59" i="9"/>
  <c r="T3" i="11" s="1"/>
  <c r="S59" i="9"/>
  <c r="S3" i="11" s="1"/>
  <c r="T63" i="9"/>
  <c r="T7" i="11" s="1"/>
  <c r="K48" i="9"/>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B64" i="9"/>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R68" i="9" s="1"/>
  <c r="Y50" i="9"/>
  <c r="Y4" i="10" s="1"/>
  <c r="Y53" i="9"/>
  <c r="Y7" i="10" s="1"/>
  <c r="G58" i="9"/>
  <c r="G2" i="11" s="1"/>
  <c r="J50" i="9"/>
  <c r="J4" i="10" s="1"/>
  <c r="AA58" i="9"/>
  <c r="K53" i="9"/>
  <c r="K7" i="10" s="1"/>
  <c r="Z50" i="9"/>
  <c r="Z4" i="10" s="1"/>
  <c r="L54" i="9"/>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Z49" i="9"/>
  <c r="Z3" i="10" s="1"/>
  <c r="C64" i="9"/>
  <c r="K61" i="9"/>
  <c r="K5" i="11" s="1"/>
  <c r="Q64" i="9"/>
  <c r="S48" i="9"/>
  <c r="S2" i="10" s="1"/>
  <c r="T49" i="9"/>
  <c r="T3" i="10" s="1"/>
  <c r="S58" i="9"/>
  <c r="S71" i="9" s="1"/>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V73" i="9" s="1"/>
  <c r="AB51" i="9"/>
  <c r="AB5" i="10" s="1"/>
  <c r="W65" i="9"/>
  <c r="W9" i="11" s="1"/>
  <c r="Q50" i="9"/>
  <c r="Q4" i="10" s="1"/>
  <c r="Z61" i="9"/>
  <c r="Z5" i="11" s="1"/>
  <c r="J64" i="9"/>
  <c r="J73" i="9" s="1"/>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I4" i="11"/>
  <c r="S62" i="9"/>
  <c r="S6" i="11" s="1"/>
  <c r="AB62" i="9"/>
  <c r="AB6" i="11" s="1"/>
  <c r="AA49" i="9"/>
  <c r="AA3" i="10" s="1"/>
  <c r="H53" i="9"/>
  <c r="H7" i="10" s="1"/>
  <c r="R62" i="9"/>
  <c r="R6" i="11" s="1"/>
  <c r="AA4" i="11"/>
  <c r="AB49" i="9"/>
  <c r="AB3" i="10" s="1"/>
  <c r="S52" i="9"/>
  <c r="S6" i="10" s="1"/>
  <c r="L2" i="10"/>
  <c r="G62" i="9"/>
  <c r="G6" i="11" s="1"/>
  <c r="Z62" i="9"/>
  <c r="Z6" i="11" s="1"/>
  <c r="O4" i="10"/>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K2" i="10"/>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B8" i="11"/>
  <c r="D62" i="9"/>
  <c r="D6" i="11" s="1"/>
  <c r="D8" i="11"/>
  <c r="Q62" i="9"/>
  <c r="Q6" i="11" s="1"/>
  <c r="M62" i="9"/>
  <c r="M6" i="11" s="1"/>
  <c r="V2" i="11"/>
  <c r="L8" i="10"/>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2" i="10"/>
  <c r="Z68" i="9"/>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C8" i="1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AA2" i="11"/>
  <c r="P63" i="9"/>
  <c r="P7" i="11" s="1"/>
  <c r="S53" i="9"/>
  <c r="S7" i="10" s="1"/>
  <c r="W52" i="9"/>
  <c r="W6" i="10" s="1"/>
  <c r="F2" i="11"/>
  <c r="O59" i="9"/>
  <c r="O3" i="11" s="1"/>
  <c r="V8" i="11" l="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<sst xmlns="http://schemas.openxmlformats.org/spreadsheetml/2006/main" count="5677" uniqueCount="335">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</sst>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50</v>
      </c>
    </row>
    <row r="2" spans="1:2" x14ac:dyDescent="0.25">
      <c r="A2" s="3" t="s">
        <v>2</v>
      </c>
      <c r="B2" s="4" t="str">
        <f>IFERROR(INDEX(Geography!B:B, MATCH($B$1, Geography!C:C, 0)), "")</f>
        <v>CA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19672089</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1.0063292039495357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19759174</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0.9937772869354432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27538266</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0.9293579165201582</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2527183</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0.46914689316312908</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6711911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2.6361518842225609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2653903</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1.4215546628674152</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16069215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2.0883745034789962</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23362048</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39431263</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0.73612184785073576</v>
      </c>
    </row>
    <row r="12" spans="1:28" x14ac:dyDescent="0.25">
      <c r="A12" s="4" t="s">
        <v>319</v>
      </c>
    </row>
    <row r="13" spans="1:28" x14ac:dyDescent="0.25">
      <c r="A13" s="4" t="s">
        <v>320</v>
      </c>
      <c r="B13" s="37">
        <f>INDEX(Census_pop_2020_2025!G:G, MATCH("."&amp;About!$B$1, Census_pop_2020_2025!A:A, 0))</f>
        <v>39364774</v>
      </c>
      <c r="C13" s="37">
        <f>INDEX(Census_pop_2020_2025!H:H, MATCH("."&amp;About!$B$1, Census_pop_2020_2025!A:A, 0))</f>
        <v>39355309</v>
      </c>
      <c r="D13" s="37">
        <f>INDEX(Census_pop_2020_2025!H:H, MATCH("."&amp;About!$B$1, Census_pop_2020_2025!A:A, 0))+0.2*(INDEX(Cooper_pop_2030_2050!D:D, MATCH(About!$B$1, Cooper_pop_2030_2050!B:B, 0))-INDEX(Census_pop_2020_2025!H:H, MATCH("."&amp;About!$B$1, Census_pop_2020_2025!A:A, 0)))</f>
        <v>39748538.082592554</v>
      </c>
      <c r="E13" s="37">
        <f>INDEX(Census_pop_2020_2025!H:H, MATCH("."&amp;About!$B$1, Census_pop_2020_2025!A:A, 0))+0.4*(INDEX(Cooper_pop_2030_2050!D:D, MATCH(About!$B$1, Cooper_pop_2030_2050!B:B, 0))-INDEX(Census_pop_2020_2025!H:H, MATCH("."&amp;About!$B$1, Census_pop_2020_2025!A:A, 0)))</f>
        <v>40141767.165185116</v>
      </c>
      <c r="F13" s="37">
        <f>INDEX(Census_pop_2020_2025!H:H, MATCH("."&amp;About!$B$1, Census_pop_2020_2025!A:A, 0))+0.6*(INDEX(Cooper_pop_2030_2050!D:D, MATCH(About!$B$1, Cooper_pop_2030_2050!B:B, 0))-INDEX(Census_pop_2020_2025!H:H, MATCH("."&amp;About!$B$1, Census_pop_2020_2025!A:A, 0)))</f>
        <v>40534996.247777671</v>
      </c>
      <c r="G13" s="37">
        <f>INDEX(Census_pop_2020_2025!H:H, MATCH("."&amp;About!$B$1, Census_pop_2020_2025!A:A, 0))+0.8*(INDEX(Cooper_pop_2030_2050!D:D, MATCH(About!$B$1, Cooper_pop_2030_2050!B:B, 0))-INDEX(Census_pop_2020_2025!H:H, MATCH("."&amp;About!$B$1, Census_pop_2020_2025!A:A, 0)))</f>
        <v>40928225.330370232</v>
      </c>
      <c r="H13" s="37">
        <f>INDEX(Cooper_pop_2030_2050!D:D, MATCH(About!$B$1, Cooper_pop_2030_2050!B:B, 0))</f>
        <v>41321454.412962787</v>
      </c>
      <c r="I13" s="37">
        <f>INDEX(Cooper_pop_2030_2050!D:D, MATCH(About!$B$1, Cooper_pop_2030_2050!B:B, 0))+0.1*(INDEX(Cooper_pop_2030_2050!E:E, MATCH(About!$B$1, Cooper_pop_2030_2050!B:B, 0))-INDEX(Cooper_pop_2030_2050!D:D, MATCH(About!$B$1, Cooper_pop_2030_2050!B:B, 0)))</f>
        <v>41405754.300935946</v>
      </c>
      <c r="J13" s="37">
        <f>INDEX(Cooper_pop_2030_2050!D:D, MATCH(About!$B$1, Cooper_pop_2030_2050!B:B, 0))+0.2*(INDEX(Cooper_pop_2030_2050!E:E, MATCH(About!$B$1, Cooper_pop_2030_2050!B:B, 0))-INDEX(Cooper_pop_2030_2050!D:D, MATCH(About!$B$1, Cooper_pop_2030_2050!B:B, 0)))</f>
        <v>41490054.188909099</v>
      </c>
      <c r="K13" s="37">
        <f>INDEX(Cooper_pop_2030_2050!D:D, MATCH(About!$B$1, Cooper_pop_2030_2050!B:B, 0))+0.3*(INDEX(Cooper_pop_2030_2050!E:E, MATCH(About!$B$1, Cooper_pop_2030_2050!B:B, 0))-INDEX(Cooper_pop_2030_2050!D:D, MATCH(About!$B$1, Cooper_pop_2030_2050!B:B, 0)))</f>
        <v>41574354.076882258</v>
      </c>
      <c r="L13" s="37">
        <f>INDEX(Cooper_pop_2030_2050!D:D, MATCH(About!$B$1, Cooper_pop_2030_2050!B:B, 0))+0.4*(INDEX(Cooper_pop_2030_2050!E:E, MATCH(About!$B$1, Cooper_pop_2030_2050!B:B, 0))-INDEX(Cooper_pop_2030_2050!D:D, MATCH(About!$B$1, Cooper_pop_2030_2050!B:B, 0)))</f>
        <v>41658653.964855418</v>
      </c>
      <c r="M13" s="37">
        <f>INDEX(Cooper_pop_2030_2050!D:D, MATCH(About!$B$1, Cooper_pop_2030_2050!B:B, 0))+0.5*(INDEX(Cooper_pop_2030_2050!E:E, MATCH(About!$B$1, Cooper_pop_2030_2050!B:B, 0))-INDEX(Cooper_pop_2030_2050!D:D, MATCH(About!$B$1, Cooper_pop_2030_2050!B:B, 0)))</f>
        <v>41742953.852828577</v>
      </c>
      <c r="N13" s="37">
        <f>INDEX(Cooper_pop_2030_2050!D:D, MATCH(About!$B$1, Cooper_pop_2030_2050!B:B, 0))+0.6*(INDEX(Cooper_pop_2030_2050!E:E, MATCH(About!$B$1, Cooper_pop_2030_2050!B:B, 0))-INDEX(Cooper_pop_2030_2050!D:D, MATCH(About!$B$1, Cooper_pop_2030_2050!B:B, 0)))</f>
        <v>41827253.740801729</v>
      </c>
      <c r="O13" s="37">
        <f>INDEX(Cooper_pop_2030_2050!D:D, MATCH(About!$B$1, Cooper_pop_2030_2050!B:B, 0))+0.7*(INDEX(Cooper_pop_2030_2050!E:E, MATCH(About!$B$1, Cooper_pop_2030_2050!B:B, 0))-INDEX(Cooper_pop_2030_2050!D:D, MATCH(About!$B$1, Cooper_pop_2030_2050!B:B, 0)))</f>
        <v>41911553.628774889</v>
      </c>
      <c r="P13" s="37">
        <f>INDEX(Cooper_pop_2030_2050!D:D, MATCH(About!$B$1, Cooper_pop_2030_2050!B:B, 0))+0.8*(INDEX(Cooper_pop_2030_2050!E:E, MATCH(About!$B$1, Cooper_pop_2030_2050!B:B, 0))-INDEX(Cooper_pop_2030_2050!D:D, MATCH(About!$B$1, Cooper_pop_2030_2050!B:B, 0)))</f>
        <v>41995853.516748048</v>
      </c>
      <c r="Q13" s="37">
        <f>INDEX(Cooper_pop_2030_2050!D:D, MATCH(About!$B$1, Cooper_pop_2030_2050!B:B, 0))+0.9*(INDEX(Cooper_pop_2030_2050!E:E, MATCH(About!$B$1, Cooper_pop_2030_2050!B:B, 0))-INDEX(Cooper_pop_2030_2050!D:D, MATCH(About!$B$1, Cooper_pop_2030_2050!B:B, 0)))</f>
        <v>42080153.4047212</v>
      </c>
      <c r="R13" s="37">
        <f>INDEX(Cooper_pop_2030_2050!E:E, MATCH(About!$B$1, Cooper_pop_2030_2050!B:B, 0))</f>
        <v>42164453.29269436</v>
      </c>
      <c r="S13" s="37">
        <f>INDEX(Cooper_pop_2030_2050!E:E, MATCH(About!$B$1, Cooper_pop_2030_2050!B:B, 0))+0.1*(INDEX(Cooper_pop_2030_2050!F:F, MATCH(About!$B$1, Cooper_pop_2030_2050!B:B, 0))-INDEX(Cooper_pop_2030_2050!E:E, MATCH(About!$B$1, Cooper_pop_2030_2050!B:B, 0)))</f>
        <v>42200057.139837377</v>
      </c>
      <c r="T13" s="37">
        <f>INDEX(Cooper_pop_2030_2050!E:E, MATCH(About!$B$1, Cooper_pop_2030_2050!B:B, 0))+0.2*(INDEX(Cooper_pop_2030_2050!F:F, MATCH(About!$B$1, Cooper_pop_2030_2050!B:B, 0))-INDEX(Cooper_pop_2030_2050!E:E, MATCH(About!$B$1, Cooper_pop_2030_2050!B:B, 0)))</f>
        <v>42235660.986980386</v>
      </c>
      <c r="U13" s="37">
        <f>INDEX(Cooper_pop_2030_2050!E:E, MATCH(About!$B$1, Cooper_pop_2030_2050!B:B, 0))+0.3*(INDEX(Cooper_pop_2030_2050!F:F, MATCH(About!$B$1, Cooper_pop_2030_2050!B:B, 0))-INDEX(Cooper_pop_2030_2050!E:E, MATCH(About!$B$1, Cooper_pop_2030_2050!B:B, 0)))</f>
        <v>42271264.834123403</v>
      </c>
      <c r="V13" s="37">
        <f>INDEX(Cooper_pop_2030_2050!E:E, MATCH(About!$B$1, Cooper_pop_2030_2050!B:B, 0))+0.4*(INDEX(Cooper_pop_2030_2050!F:F, MATCH(About!$B$1, Cooper_pop_2030_2050!B:B, 0))-INDEX(Cooper_pop_2030_2050!E:E, MATCH(About!$B$1, Cooper_pop_2030_2050!B:B, 0)))</f>
        <v>42306868.681266412</v>
      </c>
      <c r="W13" s="37">
        <f>INDEX(Cooper_pop_2030_2050!E:E, MATCH(About!$B$1, Cooper_pop_2030_2050!B:B, 0))+0.5*(INDEX(Cooper_pop_2030_2050!F:F, MATCH(About!$B$1, Cooper_pop_2030_2050!B:B, 0))-INDEX(Cooper_pop_2030_2050!E:E, MATCH(About!$B$1, Cooper_pop_2030_2050!B:B, 0)))</f>
        <v>42342472.528409429</v>
      </c>
      <c r="X13" s="37">
        <f>INDEX(Cooper_pop_2030_2050!E:E, MATCH(About!$B$1, Cooper_pop_2030_2050!B:B, 0))+0.6*(INDEX(Cooper_pop_2030_2050!F:F, MATCH(About!$B$1, Cooper_pop_2030_2050!B:B, 0))-INDEX(Cooper_pop_2030_2050!E:E, MATCH(About!$B$1, Cooper_pop_2030_2050!B:B, 0)))</f>
        <v>42378076.375552446</v>
      </c>
      <c r="Y13" s="37">
        <f>INDEX(Cooper_pop_2030_2050!E:E, MATCH(About!$B$1, Cooper_pop_2030_2050!B:B, 0))+0.7*(INDEX(Cooper_pop_2030_2050!F:F, MATCH(About!$B$1, Cooper_pop_2030_2050!B:B, 0))-INDEX(Cooper_pop_2030_2050!E:E, MATCH(About!$B$1, Cooper_pop_2030_2050!B:B, 0)))</f>
        <v>42413680.222695455</v>
      </c>
      <c r="Z13" s="37">
        <f>INDEX(Cooper_pop_2030_2050!E:E, MATCH(About!$B$1, Cooper_pop_2030_2050!B:B, 0))+0.8*(INDEX(Cooper_pop_2030_2050!F:F, MATCH(About!$B$1, Cooper_pop_2030_2050!B:B, 0))-INDEX(Cooper_pop_2030_2050!E:E, MATCH(About!$B$1, Cooper_pop_2030_2050!B:B, 0)))</f>
        <v>42449284.069838472</v>
      </c>
      <c r="AA13" s="37">
        <f>INDEX(Cooper_pop_2030_2050!E:E, MATCH(About!$B$1, Cooper_pop_2030_2050!B:B, 0))+0.9*(INDEX(Cooper_pop_2030_2050!F:F, MATCH(About!$B$1, Cooper_pop_2030_2050!B:B, 0))-INDEX(Cooper_pop_2030_2050!E:E, MATCH(About!$B$1, Cooper_pop_2030_2050!B:B, 0)))</f>
        <v>42484887.916981481</v>
      </c>
      <c r="AB13" s="37">
        <f>INDEX(Cooper_pop_2030_2050!F:F, MATCH(About!$B$1, Cooper_pop_2030_2050!B:B, 0))</f>
        <v>42520491.764124498</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0.11698918321282332</v>
      </c>
      <c r="C15" s="39">
        <f t="shared" si="1"/>
        <v>0.11643022473661541</v>
      </c>
      <c r="D15" s="39">
        <f t="shared" si="1"/>
        <v>0.1170751423780861</v>
      </c>
      <c r="E15" s="39">
        <f t="shared" si="1"/>
        <v>0.11772797833272096</v>
      </c>
      <c r="F15" s="39">
        <f t="shared" si="1"/>
        <v>0.11839018253950488</v>
      </c>
      <c r="G15" s="39">
        <f t="shared" si="1"/>
        <v>0.11906261516798874</v>
      </c>
      <c r="H15" s="39">
        <f t="shared" si="1"/>
        <v>0.11974679779647214</v>
      </c>
      <c r="I15" s="39">
        <f t="shared" si="1"/>
        <v>0.11955258500790701</v>
      </c>
      <c r="J15" s="39">
        <f t="shared" si="1"/>
        <v>0.11938034640013567</v>
      </c>
      <c r="K15" s="39">
        <f t="shared" si="1"/>
        <v>0.11922609130830171</v>
      </c>
      <c r="L15" s="39">
        <f t="shared" si="1"/>
        <v>0.11909017519235483</v>
      </c>
      <c r="M15" s="39">
        <f t="shared" si="1"/>
        <v>0.11897288059689337</v>
      </c>
      <c r="N15" s="39">
        <f t="shared" si="1"/>
        <v>0.11887438618592955</v>
      </c>
      <c r="O15" s="39">
        <f t="shared" si="1"/>
        <v>0.11879488456946682</v>
      </c>
      <c r="P15" s="39">
        <f t="shared" si="1"/>
        <v>0.11873442793860138</v>
      </c>
      <c r="Q15" s="39">
        <f t="shared" si="1"/>
        <v>0.11869283516928883</v>
      </c>
      <c r="R15" s="39">
        <f t="shared" si="1"/>
        <v>0.11866979427812725</v>
      </c>
      <c r="S15" s="39">
        <f t="shared" si="1"/>
        <v>0.11852831838329732</v>
      </c>
      <c r="T15" s="39">
        <f t="shared" si="1"/>
        <v>0.11840487091815796</v>
      </c>
      <c r="U15" s="39">
        <f t="shared" si="1"/>
        <v>0.11829841139928732</v>
      </c>
      <c r="V15" s="39">
        <f t="shared" si="1"/>
        <v>0.11820750903878384</v>
      </c>
      <c r="W15" s="39">
        <f t="shared" si="1"/>
        <v>0.11813054340760215</v>
      </c>
      <c r="X15" s="39">
        <f t="shared" si="1"/>
        <v>0.11806584933145492</v>
      </c>
      <c r="Y15" s="39">
        <f t="shared" si="1"/>
        <v>0.11801235912264535</v>
      </c>
      <c r="Z15" s="39">
        <f t="shared" si="1"/>
        <v>0.11796849683848259</v>
      </c>
      <c r="AA15" s="39">
        <f t="shared" si="1"/>
        <v>0.11793266329170488</v>
      </c>
      <c r="AB15" s="39">
        <f t="shared" si="1"/>
        <v>0.11790328590751013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1107.9535631124547</v>
      </c>
      <c r="C48" s="37">
        <f t="shared" si="10"/>
        <v>1094.3410444012272</v>
      </c>
      <c r="D48" s="37">
        <f t="shared" si="10"/>
        <v>1091.9199376194351</v>
      </c>
      <c r="E48" s="37">
        <f t="shared" si="10"/>
        <v>1089.4786525961558</v>
      </c>
      <c r="F48" s="37">
        <f t="shared" si="10"/>
        <v>1086.7905021281329</v>
      </c>
      <c r="G48" s="37">
        <f t="shared" si="10"/>
        <v>1083.8572252695071</v>
      </c>
      <c r="H48" s="37">
        <f t="shared" si="10"/>
        <v>1080.6861469278035</v>
      </c>
      <c r="I48" s="37">
        <f t="shared" si="10"/>
        <v>1069.910228736027</v>
      </c>
      <c r="J48" s="37">
        <f t="shared" si="10"/>
        <v>1058.5176700671623</v>
      </c>
      <c r="K48" s="37">
        <f t="shared" si="10"/>
        <v>1047.431489666481</v>
      </c>
      <c r="L48" s="37">
        <f t="shared" si="10"/>
        <v>1035.8110109275653</v>
      </c>
      <c r="M48" s="37">
        <f t="shared" si="10"/>
        <v>1024.4943912932579</v>
      </c>
      <c r="N48" s="37">
        <f t="shared" si="10"/>
        <v>1013.5975918806946</v>
      </c>
      <c r="O48" s="37">
        <f t="shared" si="10"/>
        <v>1001.4432221080681</v>
      </c>
      <c r="P48" s="37">
        <f t="shared" si="10"/>
        <v>989.8213807379251</v>
      </c>
      <c r="Q48" s="37">
        <f t="shared" si="10"/>
        <v>977.64968291451942</v>
      </c>
      <c r="R48" s="37">
        <f t="shared" si="10"/>
        <v>965.51781163684859</v>
      </c>
      <c r="S48" s="37">
        <f t="shared" si="10"/>
        <v>952.08105312401108</v>
      </c>
      <c r="T48" s="37">
        <f t="shared" si="10"/>
        <v>938.81656813966651</v>
      </c>
      <c r="U48" s="37">
        <f t="shared" si="10"/>
        <v>925.71060863300147</v>
      </c>
      <c r="V48" s="37">
        <f t="shared" si="10"/>
        <v>912.74684418455786</v>
      </c>
      <c r="W48" s="37">
        <f t="shared" si="10"/>
        <v>900.02697113661202</v>
      </c>
      <c r="X48" s="37">
        <f t="shared" si="10"/>
        <v>888.36563970517545</v>
      </c>
      <c r="Y48" s="37">
        <f t="shared" si="10"/>
        <v>876.79978943152275</v>
      </c>
      <c r="Z48" s="37">
        <f t="shared" si="10"/>
        <v>865.90825679544514</v>
      </c>
      <c r="AA48" s="37">
        <f t="shared" si="10"/>
        <v>855.20147332294789</v>
      </c>
      <c r="AB48" s="37">
        <f t="shared" si="10"/>
        <v>844.54728229471425</v>
      </c>
    </row>
    <row r="49" spans="1:28" x14ac:dyDescent="0.25">
      <c r="A49" s="4" t="s">
        <v>216</v>
      </c>
      <c r="B49" s="37">
        <f t="shared" ref="B49:AB49" si="11">B29*B15*$F$5</f>
        <v>872.42399297762415</v>
      </c>
      <c r="C49" s="37">
        <f t="shared" si="11"/>
        <v>863.51173504460849</v>
      </c>
      <c r="D49" s="37">
        <f t="shared" si="11"/>
        <v>863.52459404647766</v>
      </c>
      <c r="E49" s="37">
        <f t="shared" si="11"/>
        <v>863.42598487067926</v>
      </c>
      <c r="F49" s="37">
        <f t="shared" si="11"/>
        <v>863.105888227018</v>
      </c>
      <c r="G49" s="37">
        <f t="shared" si="11"/>
        <v>862.80200176128631</v>
      </c>
      <c r="H49" s="37">
        <f t="shared" si="11"/>
        <v>862.40494184854253</v>
      </c>
      <c r="I49" s="37">
        <f t="shared" si="11"/>
        <v>855.06580781126684</v>
      </c>
      <c r="J49" s="37">
        <f t="shared" si="11"/>
        <v>848.25795882642262</v>
      </c>
      <c r="K49" s="37">
        <f t="shared" si="11"/>
        <v>840.88223647654172</v>
      </c>
      <c r="L49" s="37">
        <f t="shared" si="11"/>
        <v>833.88783753862799</v>
      </c>
      <c r="M49" s="37">
        <f t="shared" si="11"/>
        <v>826.32726747784272</v>
      </c>
      <c r="N49" s="37">
        <f t="shared" si="11"/>
        <v>818.31882438551668</v>
      </c>
      <c r="O49" s="37">
        <f t="shared" si="11"/>
        <v>811.04237107317419</v>
      </c>
      <c r="P49" s="37">
        <f t="shared" si="11"/>
        <v>802.72391483904312</v>
      </c>
      <c r="Q49" s="37">
        <f t="shared" si="11"/>
        <v>794.77569413961987</v>
      </c>
      <c r="R49" s="37">
        <f t="shared" si="11"/>
        <v>786.366216454295</v>
      </c>
      <c r="S49" s="37">
        <f t="shared" si="11"/>
        <v>777.18337290729005</v>
      </c>
      <c r="T49" s="37">
        <f t="shared" si="11"/>
        <v>767.90183383233011</v>
      </c>
      <c r="U49" s="37">
        <f t="shared" si="11"/>
        <v>758.74691852037699</v>
      </c>
      <c r="V49" s="37">
        <f t="shared" si="11"/>
        <v>749.94084981689332</v>
      </c>
      <c r="W49" s="37">
        <f t="shared" si="11"/>
        <v>741.35227263442096</v>
      </c>
      <c r="X49" s="37">
        <f t="shared" si="11"/>
        <v>732.73309062999635</v>
      </c>
      <c r="Y49" s="37">
        <f t="shared" si="11"/>
        <v>724.66077481372406</v>
      </c>
      <c r="Z49" s="37">
        <f t="shared" si="11"/>
        <v>716.53673061798179</v>
      </c>
      <c r="AA49" s="37">
        <f t="shared" si="11"/>
        <v>708.8183555066305</v>
      </c>
      <c r="AB49" s="37">
        <f t="shared" si="11"/>
        <v>701.84594946373636</v>
      </c>
    </row>
    <row r="50" spans="1:28" x14ac:dyDescent="0.25">
      <c r="A50" s="4" t="s">
        <v>217</v>
      </c>
      <c r="B50" s="37">
        <f t="shared" ref="B50:AB50" si="12">B30*B15*$F$6</f>
        <v>1071.8093107142645</v>
      </c>
      <c r="C50" s="37">
        <f t="shared" si="12"/>
        <v>1059.6550031381396</v>
      </c>
      <c r="D50" s="37">
        <f t="shared" si="12"/>
        <v>1058.5610274504572</v>
      </c>
      <c r="E50" s="37">
        <f t="shared" si="12"/>
        <v>1057.2426351360516</v>
      </c>
      <c r="F50" s="37">
        <f t="shared" si="12"/>
        <v>1055.817685047487</v>
      </c>
      <c r="G50" s="37">
        <f t="shared" si="12"/>
        <v>1054.4008494307234</v>
      </c>
      <c r="H50" s="37">
        <f t="shared" si="12"/>
        <v>1052.5584471964314</v>
      </c>
      <c r="I50" s="37">
        <f t="shared" si="12"/>
        <v>1043.0738426891364</v>
      </c>
      <c r="J50" s="37">
        <f t="shared" si="12"/>
        <v>1033.2500629461797</v>
      </c>
      <c r="K50" s="37">
        <f t="shared" si="12"/>
        <v>1023.1614748824002</v>
      </c>
      <c r="L50" s="37">
        <f t="shared" si="12"/>
        <v>1012.6981834173058</v>
      </c>
      <c r="M50" s="37">
        <f t="shared" si="12"/>
        <v>1001.8601675998432</v>
      </c>
      <c r="N50" s="37">
        <f t="shared" si="12"/>
        <v>990.64593074849222</v>
      </c>
      <c r="O50" s="37">
        <f t="shared" si="12"/>
        <v>978.72229728433251</v>
      </c>
      <c r="P50" s="37">
        <f t="shared" si="12"/>
        <v>966.52745099713923</v>
      </c>
      <c r="Q50" s="37">
        <f t="shared" si="12"/>
        <v>953.94467363762953</v>
      </c>
      <c r="R50" s="37">
        <f t="shared" si="12"/>
        <v>940.96623330412137</v>
      </c>
      <c r="S50" s="37">
        <f t="shared" si="12"/>
        <v>926.73595858252645</v>
      </c>
      <c r="T50" s="37">
        <f t="shared" si="12"/>
        <v>912.6759413565477</v>
      </c>
      <c r="U50" s="37">
        <f t="shared" si="12"/>
        <v>898.77229506598462</v>
      </c>
      <c r="V50" s="37">
        <f t="shared" si="12"/>
        <v>885.11852834466265</v>
      </c>
      <c r="W50" s="37">
        <f t="shared" si="12"/>
        <v>871.9168833589423</v>
      </c>
      <c r="X50" s="37">
        <f t="shared" si="12"/>
        <v>859.25985600969091</v>
      </c>
      <c r="Y50" s="37">
        <f t="shared" si="12"/>
        <v>846.9159113678005</v>
      </c>
      <c r="Z50" s="37">
        <f t="shared" si="12"/>
        <v>834.97982822287486</v>
      </c>
      <c r="AA50" s="37">
        <f t="shared" si="12"/>
        <v>823.65643166208827</v>
      </c>
      <c r="AB50" s="37">
        <f t="shared" si="12"/>
        <v>812.71296983635466</v>
      </c>
    </row>
    <row r="51" spans="1:28" x14ac:dyDescent="0.25">
      <c r="A51" s="4" t="s">
        <v>218</v>
      </c>
      <c r="B51" s="37">
        <f t="shared" ref="B51:AB51" si="13">B31*B15*$F$7</f>
        <v>256.7525531781086</v>
      </c>
      <c r="C51" s="37">
        <f t="shared" si="13"/>
        <v>252.08458291823487</v>
      </c>
      <c r="D51" s="37">
        <f t="shared" si="13"/>
        <v>250.07552519350082</v>
      </c>
      <c r="E51" s="37">
        <f t="shared" si="13"/>
        <v>247.93516986127005</v>
      </c>
      <c r="F51" s="37">
        <f t="shared" si="13"/>
        <v>245.66397469081434</v>
      </c>
      <c r="G51" s="37">
        <f t="shared" si="13"/>
        <v>243.37267858302093</v>
      </c>
      <c r="H51" s="37">
        <f t="shared" si="13"/>
        <v>240.89485799769844</v>
      </c>
      <c r="I51" s="37">
        <f t="shared" si="13"/>
        <v>236.69019454605953</v>
      </c>
      <c r="J51" s="37">
        <f t="shared" si="13"/>
        <v>232.54072610343817</v>
      </c>
      <c r="K51" s="37">
        <f t="shared" si="13"/>
        <v>228.43670351208013</v>
      </c>
      <c r="L51" s="37">
        <f t="shared" si="13"/>
        <v>224.48881693354349</v>
      </c>
      <c r="M51" s="37">
        <f t="shared" si="13"/>
        <v>220.75132013218027</v>
      </c>
      <c r="N51" s="37">
        <f t="shared" si="13"/>
        <v>217.05508453598463</v>
      </c>
      <c r="O51" s="37">
        <f t="shared" si="13"/>
        <v>213.56598590648605</v>
      </c>
      <c r="P51" s="37">
        <f t="shared" si="13"/>
        <v>210.11506545639674</v>
      </c>
      <c r="Q51" s="37">
        <f t="shared" si="13"/>
        <v>206.8117682315079</v>
      </c>
      <c r="R51" s="37">
        <f t="shared" si="13"/>
        <v>203.59822829438767</v>
      </c>
      <c r="S51" s="37">
        <f t="shared" si="13"/>
        <v>200.18589235694688</v>
      </c>
      <c r="T51" s="37">
        <f t="shared" si="13"/>
        <v>196.86663884559493</v>
      </c>
      <c r="U51" s="37">
        <f t="shared" si="13"/>
        <v>193.58167062329338</v>
      </c>
      <c r="V51" s="37">
        <f t="shared" si="13"/>
        <v>190.43825839881231</v>
      </c>
      <c r="W51" s="37">
        <f t="shared" si="13"/>
        <v>187.26613112701131</v>
      </c>
      <c r="X51" s="37">
        <f t="shared" si="13"/>
        <v>184.22789301477547</v>
      </c>
      <c r="Y51" s="37">
        <f t="shared" si="13"/>
        <v>181.37617124359994</v>
      </c>
      <c r="Z51" s="37">
        <f t="shared" si="13"/>
        <v>178.54153050363064</v>
      </c>
      <c r="AA51" s="37">
        <f t="shared" si="13"/>
        <v>175.83156593753492</v>
      </c>
      <c r="AB51" s="37">
        <f t="shared" si="13"/>
        <v>173.13269566773778</v>
      </c>
    </row>
    <row r="52" spans="1:28" x14ac:dyDescent="0.25">
      <c r="A52" s="4" t="s">
        <v>219</v>
      </c>
      <c r="B52" s="37">
        <f t="shared" ref="B52:AB52" si="14">B32*B15*$F$8</f>
        <v>265.53348120948277</v>
      </c>
      <c r="C52" s="37">
        <f t="shared" si="14"/>
        <v>265.18558146038055</v>
      </c>
      <c r="D52" s="37">
        <f t="shared" si="14"/>
        <v>267.58035217125928</v>
      </c>
      <c r="E52" s="37">
        <f t="shared" si="14"/>
        <v>270.3138325914457</v>
      </c>
      <c r="F52" s="37">
        <f t="shared" si="14"/>
        <v>273.08268992809764</v>
      </c>
      <c r="G52" s="37">
        <f t="shared" si="14"/>
        <v>275.88921370037656</v>
      </c>
      <c r="H52" s="37">
        <f t="shared" si="14"/>
        <v>278.73726928381586</v>
      </c>
      <c r="I52" s="37">
        <f t="shared" si="14"/>
        <v>279.54583097002518</v>
      </c>
      <c r="J52" s="37">
        <f t="shared" si="14"/>
        <v>280.40191006575697</v>
      </c>
      <c r="K52" s="37">
        <f t="shared" si="14"/>
        <v>281.92538247003097</v>
      </c>
      <c r="L52" s="37">
        <f t="shared" si="14"/>
        <v>282.85975054287468</v>
      </c>
      <c r="M52" s="37">
        <f t="shared" si="14"/>
        <v>283.83567793798204</v>
      </c>
      <c r="N52" s="37">
        <f t="shared" si="14"/>
        <v>284.85418185102321</v>
      </c>
      <c r="O52" s="37">
        <f t="shared" si="14"/>
        <v>285.91632057874085</v>
      </c>
      <c r="P52" s="37">
        <f t="shared" si="14"/>
        <v>286.70981911410763</v>
      </c>
      <c r="Q52" s="37">
        <f t="shared" si="14"/>
        <v>287.86095378921948</v>
      </c>
      <c r="R52" s="37">
        <f t="shared" si="14"/>
        <v>288.43073684723493</v>
      </c>
      <c r="S52" s="37">
        <f t="shared" si="14"/>
        <v>289.02425110187124</v>
      </c>
      <c r="T52" s="37">
        <f t="shared" si="14"/>
        <v>289.97176469841696</v>
      </c>
      <c r="U52" s="37">
        <f t="shared" si="14"/>
        <v>290.33475208312404</v>
      </c>
      <c r="V52" s="37">
        <f t="shared" si="14"/>
        <v>291.04649313484362</v>
      </c>
      <c r="W52" s="37">
        <f t="shared" si="14"/>
        <v>291.79122114912974</v>
      </c>
      <c r="X52" s="37">
        <f t="shared" si="14"/>
        <v>292.2539009956273</v>
      </c>
      <c r="Y52" s="37">
        <f t="shared" si="14"/>
        <v>293.36588819953653</v>
      </c>
      <c r="Z52" s="37">
        <f t="shared" si="14"/>
        <v>293.87881708258732</v>
      </c>
      <c r="AA52" s="37">
        <f t="shared" si="14"/>
        <v>294.41132668277857</v>
      </c>
      <c r="AB52" s="37">
        <f t="shared" si="14"/>
        <v>294.95960986675732</v>
      </c>
    </row>
    <row r="53" spans="1:28" x14ac:dyDescent="0.25">
      <c r="A53" s="4" t="s">
        <v>220</v>
      </c>
      <c r="B53" s="37">
        <f t="shared" ref="B53:AB53" si="15">B33*B15*$F$9</f>
        <v>252.45329569208127</v>
      </c>
      <c r="C53" s="37">
        <f t="shared" si="15"/>
        <v>253.39876310461918</v>
      </c>
      <c r="D53" s="37">
        <f t="shared" si="15"/>
        <v>256.46664912684304</v>
      </c>
      <c r="E53" s="37">
        <f t="shared" si="15"/>
        <v>259.90504292033842</v>
      </c>
      <c r="F53" s="37">
        <f t="shared" si="15"/>
        <v>263.21825346584887</v>
      </c>
      <c r="G53" s="37">
        <f t="shared" si="15"/>
        <v>266.23656679872727</v>
      </c>
      <c r="H53" s="37">
        <f t="shared" si="15"/>
        <v>269.97941737083215</v>
      </c>
      <c r="I53" s="37">
        <f t="shared" si="15"/>
        <v>271.07110280796996</v>
      </c>
      <c r="J53" s="37">
        <f t="shared" si="15"/>
        <v>272.37762936814335</v>
      </c>
      <c r="K53" s="37">
        <f t="shared" si="15"/>
        <v>273.21208652805325</v>
      </c>
      <c r="L53" s="37">
        <f t="shared" si="15"/>
        <v>274.25497403115082</v>
      </c>
      <c r="M53" s="37">
        <f t="shared" si="15"/>
        <v>274.83048639683324</v>
      </c>
      <c r="N53" s="37">
        <f t="shared" si="15"/>
        <v>275.78586678027551</v>
      </c>
      <c r="O53" s="37">
        <f t="shared" si="15"/>
        <v>276.44579195236236</v>
      </c>
      <c r="P53" s="37">
        <f t="shared" si="15"/>
        <v>276.8114666735828</v>
      </c>
      <c r="Q53" s="37">
        <f t="shared" si="15"/>
        <v>276.88322773880776</v>
      </c>
      <c r="R53" s="37">
        <f t="shared" si="15"/>
        <v>276.99817421084066</v>
      </c>
      <c r="S53" s="37">
        <f t="shared" si="15"/>
        <v>276.6679422019194</v>
      </c>
      <c r="T53" s="37">
        <f t="shared" si="15"/>
        <v>275.70651603755198</v>
      </c>
      <c r="U53" s="37">
        <f t="shared" si="15"/>
        <v>275.12228903518417</v>
      </c>
      <c r="V53" s="37">
        <f t="shared" si="15"/>
        <v>274.23872699716128</v>
      </c>
      <c r="W53" s="37">
        <f t="shared" si="15"/>
        <v>273.38845238764935</v>
      </c>
      <c r="X53" s="37">
        <f t="shared" si="15"/>
        <v>272.90305735275609</v>
      </c>
      <c r="Y53" s="37">
        <f t="shared" si="15"/>
        <v>271.9406124259711</v>
      </c>
      <c r="Z53" s="37">
        <f t="shared" si="15"/>
        <v>271.50414147181965</v>
      </c>
      <c r="AA53" s="37">
        <f t="shared" si="15"/>
        <v>270.58343203440722</v>
      </c>
      <c r="AB53" s="37">
        <f t="shared" si="15"/>
        <v>270.18081694892817</v>
      </c>
    </row>
    <row r="54" spans="1:28" x14ac:dyDescent="0.25">
      <c r="A54" s="4" t="s">
        <v>221</v>
      </c>
      <c r="B54" s="37">
        <f t="shared" ref="B54:AB54" si="16">B34*B15*$F$10</f>
        <v>938.42247046065847</v>
      </c>
      <c r="C54" s="37">
        <f t="shared" si="16"/>
        <v>937.82921357038697</v>
      </c>
      <c r="D54" s="37">
        <f t="shared" si="16"/>
        <v>947.42487654257729</v>
      </c>
      <c r="E54" s="37">
        <f t="shared" si="16"/>
        <v>957.37926170533331</v>
      </c>
      <c r="F54" s="37">
        <f t="shared" si="16"/>
        <v>968.20373946197594</v>
      </c>
      <c r="G54" s="37">
        <f t="shared" si="16"/>
        <v>978.17859556836947</v>
      </c>
      <c r="H54" s="37">
        <f t="shared" si="16"/>
        <v>988.05090575545012</v>
      </c>
      <c r="I54" s="37">
        <f t="shared" si="16"/>
        <v>990.44315260034102</v>
      </c>
      <c r="J54" s="37">
        <f t="shared" si="16"/>
        <v>992.50657999300347</v>
      </c>
      <c r="K54" s="37">
        <f t="shared" si="16"/>
        <v>994.21199584620013</v>
      </c>
      <c r="L54" s="37">
        <f t="shared" si="16"/>
        <v>995.31695171721594</v>
      </c>
      <c r="M54" s="37">
        <f t="shared" si="16"/>
        <v>995.82740121956442</v>
      </c>
      <c r="N54" s="37">
        <f t="shared" si="16"/>
        <v>995.74774551914584</v>
      </c>
      <c r="O54" s="37">
        <f t="shared" si="16"/>
        <v>995.08180260328436</v>
      </c>
      <c r="P54" s="37">
        <f t="shared" si="16"/>
        <v>993.08761772851801</v>
      </c>
      <c r="Q54" s="37">
        <f t="shared" si="16"/>
        <v>990.50886248985887</v>
      </c>
      <c r="R54" s="37">
        <f t="shared" si="16"/>
        <v>986.59917833278723</v>
      </c>
      <c r="S54" s="37">
        <f t="shared" si="16"/>
        <v>981.71000059391042</v>
      </c>
      <c r="T54" s="37">
        <f t="shared" si="16"/>
        <v>975.98934723661137</v>
      </c>
      <c r="U54" s="37">
        <f t="shared" si="16"/>
        <v>969.42963932456871</v>
      </c>
      <c r="V54" s="37">
        <f t="shared" si="16"/>
        <v>963.00689873379702</v>
      </c>
      <c r="W54" s="37">
        <f t="shared" si="16"/>
        <v>955.47225624153214</v>
      </c>
      <c r="X54" s="37">
        <f t="shared" si="16"/>
        <v>949.27798148030217</v>
      </c>
      <c r="Y54" s="37">
        <f t="shared" si="16"/>
        <v>942.93301122019557</v>
      </c>
      <c r="Z54" s="37">
        <f t="shared" si="16"/>
        <v>936.66984864469498</v>
      </c>
      <c r="AA54" s="37">
        <f t="shared" si="16"/>
        <v>930.7207162438641</v>
      </c>
      <c r="AB54" s="37">
        <f t="shared" si="16"/>
        <v>925.31812035046983</v>
      </c>
    </row>
    <row r="55" spans="1:28" x14ac:dyDescent="0.25">
      <c r="A55" s="4" t="s">
        <v>222</v>
      </c>
      <c r="B55" s="37">
        <f t="shared" ref="B55:AB55" si="17">B35*B15*$F$11</f>
        <v>1125.9105721628957</v>
      </c>
      <c r="C55" s="37">
        <f t="shared" si="17"/>
        <v>1109.5606493866642</v>
      </c>
      <c r="D55" s="37">
        <f t="shared" si="17"/>
        <v>1104.4168214049037</v>
      </c>
      <c r="E55" s="37">
        <f t="shared" si="17"/>
        <v>1099.0492208508047</v>
      </c>
      <c r="F55" s="37">
        <f t="shared" si="17"/>
        <v>1093.0302824269893</v>
      </c>
      <c r="G55" s="37">
        <f t="shared" si="17"/>
        <v>1087.1435227329209</v>
      </c>
      <c r="H55" s="37">
        <f t="shared" si="17"/>
        <v>1081.0499426117608</v>
      </c>
      <c r="I55" s="37">
        <f t="shared" si="17"/>
        <v>1066.8878856805686</v>
      </c>
      <c r="J55" s="37">
        <f t="shared" si="17"/>
        <v>1052.7842046457631</v>
      </c>
      <c r="K55" s="37">
        <f t="shared" si="17"/>
        <v>1038.6101892634338</v>
      </c>
      <c r="L55" s="37">
        <f t="shared" si="17"/>
        <v>1024.5394504968249</v>
      </c>
      <c r="M55" s="37">
        <f t="shared" si="17"/>
        <v>1010.4811565497122</v>
      </c>
      <c r="N55" s="37">
        <f t="shared" si="17"/>
        <v>996.60620780188174</v>
      </c>
      <c r="O55" s="37">
        <f t="shared" si="17"/>
        <v>982.56022173629833</v>
      </c>
      <c r="P55" s="37">
        <f t="shared" si="17"/>
        <v>968.60011800710436</v>
      </c>
      <c r="Q55" s="37">
        <f t="shared" si="17"/>
        <v>954.71809625799995</v>
      </c>
      <c r="R55" s="37">
        <f t="shared" si="17"/>
        <v>940.99267308833612</v>
      </c>
      <c r="S55" s="37">
        <f t="shared" si="17"/>
        <v>926.08513634661676</v>
      </c>
      <c r="T55" s="37">
        <f t="shared" si="17"/>
        <v>911.52359261568222</v>
      </c>
      <c r="U55" s="37">
        <f t="shared" si="17"/>
        <v>897.46755780079661</v>
      </c>
      <c r="V55" s="37">
        <f t="shared" si="17"/>
        <v>883.72566011204128</v>
      </c>
      <c r="W55" s="37">
        <f t="shared" si="17"/>
        <v>870.71519916886712</v>
      </c>
      <c r="X55" s="37">
        <f t="shared" si="17"/>
        <v>857.9839228285955</v>
      </c>
      <c r="Y55" s="37">
        <f t="shared" si="17"/>
        <v>845.78068903708447</v>
      </c>
      <c r="Z55" s="37">
        <f t="shared" si="17"/>
        <v>834.00356040833151</v>
      </c>
      <c r="AA55" s="37">
        <f t="shared" si="17"/>
        <v>822.55137497975386</v>
      </c>
      <c r="AB55" s="37">
        <f t="shared" si="17"/>
        <v>811.49757685065822</v>
      </c>
    </row>
    <row r="57" spans="1:28" x14ac:dyDescent="0.25">
      <c r="A57" s="4" t="s">
        <v>327</v>
      </c>
    </row>
    <row r="58" spans="1:28" x14ac:dyDescent="0.25">
      <c r="A58" s="4" t="s">
        <v>215</v>
      </c>
      <c r="B58" s="37">
        <f t="shared" ref="B58:AB58" si="18">B38*B15*$F$4</f>
        <v>175692.40298247949</v>
      </c>
      <c r="C58" s="37">
        <f t="shared" si="18"/>
        <v>178037.92271194828</v>
      </c>
      <c r="D58" s="37">
        <f t="shared" si="18"/>
        <v>182200.17837826567</v>
      </c>
      <c r="E58" s="37">
        <f t="shared" si="18"/>
        <v>186396.93128024708</v>
      </c>
      <c r="F58" s="37">
        <f t="shared" si="18"/>
        <v>190644.16559234675</v>
      </c>
      <c r="G58" s="37">
        <f t="shared" si="18"/>
        <v>194947.76535212566</v>
      </c>
      <c r="H58" s="37">
        <f t="shared" si="18"/>
        <v>199294.64902230707</v>
      </c>
      <c r="I58" s="37">
        <f t="shared" si="18"/>
        <v>202165.02983728636</v>
      </c>
      <c r="J58" s="37">
        <f t="shared" si="18"/>
        <v>205002.59216789776</v>
      </c>
      <c r="K58" s="37">
        <f t="shared" si="18"/>
        <v>207804.04857285929</v>
      </c>
      <c r="L58" s="37">
        <f t="shared" si="18"/>
        <v>210552.10734056306</v>
      </c>
      <c r="M58" s="37">
        <f t="shared" si="18"/>
        <v>213243.53293720214</v>
      </c>
      <c r="N58" s="37">
        <f t="shared" si="18"/>
        <v>215856.81023766918</v>
      </c>
      <c r="O58" s="37">
        <f t="shared" si="18"/>
        <v>218384.07908806129</v>
      </c>
      <c r="P58" s="37">
        <f t="shared" si="18"/>
        <v>220797.55796476206</v>
      </c>
      <c r="Q58" s="37">
        <f t="shared" si="18"/>
        <v>223092.96877337885</v>
      </c>
      <c r="R58" s="37">
        <f t="shared" si="18"/>
        <v>225236.61608721799</v>
      </c>
      <c r="S58" s="37">
        <f t="shared" si="18"/>
        <v>226969.10948847714</v>
      </c>
      <c r="T58" s="37">
        <f t="shared" si="18"/>
        <v>228536.83568254439</v>
      </c>
      <c r="U58" s="37">
        <f t="shared" si="18"/>
        <v>229952.0627814492</v>
      </c>
      <c r="V58" s="37">
        <f t="shared" si="18"/>
        <v>231159.41320125118</v>
      </c>
      <c r="W58" s="37">
        <f t="shared" si="18"/>
        <v>232172.24611425874</v>
      </c>
      <c r="X58" s="37">
        <f t="shared" si="18"/>
        <v>232977.42370276936</v>
      </c>
      <c r="Y58" s="37">
        <f t="shared" si="18"/>
        <v>233670.64728236143</v>
      </c>
      <c r="Z58" s="37">
        <f t="shared" si="18"/>
        <v>234166.09544310978</v>
      </c>
      <c r="AA58" s="37">
        <f t="shared" si="18"/>
        <v>234477.58763327802</v>
      </c>
      <c r="AB58" s="37">
        <f t="shared" si="18"/>
        <v>234625.7473689304</v>
      </c>
    </row>
    <row r="59" spans="1:28" x14ac:dyDescent="0.25">
      <c r="A59" s="4" t="s">
        <v>216</v>
      </c>
      <c r="B59" s="37">
        <f t="shared" ref="B59:AB59" si="19">B39*B15*$F$5</f>
        <v>163035.16377723825</v>
      </c>
      <c r="C59" s="37">
        <f t="shared" si="19"/>
        <v>164783.79513819306</v>
      </c>
      <c r="D59" s="37">
        <f t="shared" si="19"/>
        <v>168225.57404093264</v>
      </c>
      <c r="E59" s="37">
        <f t="shared" si="19"/>
        <v>171781.64157018514</v>
      </c>
      <c r="F59" s="37">
        <f t="shared" si="19"/>
        <v>175502.51123355515</v>
      </c>
      <c r="G59" s="37">
        <f t="shared" si="19"/>
        <v>179400.10585332871</v>
      </c>
      <c r="H59" s="37">
        <f t="shared" si="19"/>
        <v>183493.87686680129</v>
      </c>
      <c r="I59" s="37">
        <f t="shared" si="19"/>
        <v>186379.15867041823</v>
      </c>
      <c r="J59" s="37">
        <f t="shared" si="19"/>
        <v>189401.40979629883</v>
      </c>
      <c r="K59" s="37">
        <f t="shared" si="19"/>
        <v>192512.26879687613</v>
      </c>
      <c r="L59" s="37">
        <f t="shared" si="19"/>
        <v>195707.88939226719</v>
      </c>
      <c r="M59" s="37">
        <f t="shared" si="19"/>
        <v>198976.50831594627</v>
      </c>
      <c r="N59" s="37">
        <f t="shared" si="19"/>
        <v>202275.84385974475</v>
      </c>
      <c r="O59" s="37">
        <f t="shared" si="19"/>
        <v>205565.71326015232</v>
      </c>
      <c r="P59" s="37">
        <f t="shared" si="19"/>
        <v>208837.42301569181</v>
      </c>
      <c r="Q59" s="37">
        <f t="shared" si="19"/>
        <v>212033.7228191632</v>
      </c>
      <c r="R59" s="37">
        <f t="shared" si="19"/>
        <v>215138.73486162169</v>
      </c>
      <c r="S59" s="37">
        <f t="shared" si="19"/>
        <v>217862.59208521599</v>
      </c>
      <c r="T59" s="37">
        <f t="shared" si="19"/>
        <v>220435.36421071668</v>
      </c>
      <c r="U59" s="37">
        <f t="shared" si="19"/>
        <v>222836.93974542985</v>
      </c>
      <c r="V59" s="37">
        <f t="shared" si="19"/>
        <v>225017.02663860586</v>
      </c>
      <c r="W59" s="37">
        <f t="shared" si="19"/>
        <v>226930.33726014037</v>
      </c>
      <c r="X59" s="37">
        <f t="shared" si="19"/>
        <v>228588.78872003549</v>
      </c>
      <c r="Y59" s="37">
        <f t="shared" si="19"/>
        <v>230098.61912269023</v>
      </c>
      <c r="Z59" s="37">
        <f t="shared" si="19"/>
        <v>231360.47224482306</v>
      </c>
      <c r="AA59" s="37">
        <f t="shared" si="19"/>
        <v>232338.18698252289</v>
      </c>
      <c r="AB59" s="37">
        <f t="shared" si="19"/>
        <v>233035.11744740256</v>
      </c>
    </row>
    <row r="60" spans="1:28" x14ac:dyDescent="0.25">
      <c r="A60" s="4" t="s">
        <v>217</v>
      </c>
      <c r="B60" s="37">
        <f t="shared" ref="B60:AB60" si="20">B40*B15*$F$6</f>
        <v>254873.38375250992</v>
      </c>
      <c r="C60" s="37">
        <f t="shared" si="20"/>
        <v>257899.77172210076</v>
      </c>
      <c r="D60" s="37">
        <f t="shared" si="20"/>
        <v>263545.24625718093</v>
      </c>
      <c r="E60" s="37">
        <f t="shared" si="20"/>
        <v>269277.06235372165</v>
      </c>
      <c r="F60" s="37">
        <f t="shared" si="20"/>
        <v>275151.5240499322</v>
      </c>
      <c r="G60" s="37">
        <f t="shared" si="20"/>
        <v>281171.71565179341</v>
      </c>
      <c r="H60" s="37">
        <f t="shared" si="20"/>
        <v>287350.01411150896</v>
      </c>
      <c r="I60" s="37">
        <f t="shared" si="20"/>
        <v>291486.1409252052</v>
      </c>
      <c r="J60" s="37">
        <f t="shared" si="20"/>
        <v>295679.04512557329</v>
      </c>
      <c r="K60" s="37">
        <f t="shared" si="20"/>
        <v>299876.83877309458</v>
      </c>
      <c r="L60" s="37">
        <f t="shared" si="20"/>
        <v>304064.12371590687</v>
      </c>
      <c r="M60" s="37">
        <f t="shared" si="20"/>
        <v>308229.61677466432</v>
      </c>
      <c r="N60" s="37">
        <f t="shared" si="20"/>
        <v>312317.9497691599</v>
      </c>
      <c r="O60" s="37">
        <f t="shared" si="20"/>
        <v>316298.64742671815</v>
      </c>
      <c r="P60" s="37">
        <f t="shared" si="20"/>
        <v>320131.45897771895</v>
      </c>
      <c r="Q60" s="37">
        <f t="shared" si="20"/>
        <v>323773.76403665618</v>
      </c>
      <c r="R60" s="37">
        <f t="shared" si="20"/>
        <v>327184.5027295833</v>
      </c>
      <c r="S60" s="37">
        <f t="shared" si="20"/>
        <v>329955.56418915768</v>
      </c>
      <c r="T60" s="37">
        <f t="shared" si="20"/>
        <v>332443.03694290359</v>
      </c>
      <c r="U60" s="37">
        <f t="shared" si="20"/>
        <v>334646.29271808779</v>
      </c>
      <c r="V60" s="37">
        <f t="shared" si="20"/>
        <v>336475.88055839372</v>
      </c>
      <c r="W60" s="37">
        <f t="shared" si="20"/>
        <v>337905.99767497327</v>
      </c>
      <c r="X60" s="37">
        <f t="shared" si="20"/>
        <v>338943.17537124344</v>
      </c>
      <c r="Y60" s="37">
        <f t="shared" si="20"/>
        <v>339759.69754495216</v>
      </c>
      <c r="Z60" s="37">
        <f t="shared" si="20"/>
        <v>340202.64193633979</v>
      </c>
      <c r="AA60" s="37">
        <f t="shared" si="20"/>
        <v>340250.00588238804</v>
      </c>
      <c r="AB60" s="37">
        <f t="shared" si="20"/>
        <v>339929.77329096367</v>
      </c>
    </row>
    <row r="61" spans="1:28" x14ac:dyDescent="0.25">
      <c r="A61" s="4" t="s">
        <v>218</v>
      </c>
      <c r="B61" s="37">
        <f t="shared" ref="B61:AB61" si="21">B41*B15*$F$7</f>
        <v>19849.969087774149</v>
      </c>
      <c r="C61" s="37">
        <f t="shared" si="21"/>
        <v>20053.151046791416</v>
      </c>
      <c r="D61" s="37">
        <f t="shared" si="21"/>
        <v>20463.241372324057</v>
      </c>
      <c r="E61" s="37">
        <f t="shared" si="21"/>
        <v>20878.858702710382</v>
      </c>
      <c r="F61" s="37">
        <f t="shared" si="21"/>
        <v>21306.94807031233</v>
      </c>
      <c r="G61" s="37">
        <f t="shared" si="21"/>
        <v>21748.31209065361</v>
      </c>
      <c r="H61" s="37">
        <f t="shared" si="21"/>
        <v>22202.663341581716</v>
      </c>
      <c r="I61" s="37">
        <f t="shared" si="21"/>
        <v>22503.348290328526</v>
      </c>
      <c r="J61" s="37">
        <f t="shared" si="21"/>
        <v>22813.242153898689</v>
      </c>
      <c r="K61" s="37">
        <f t="shared" si="21"/>
        <v>23130.950201658074</v>
      </c>
      <c r="L61" s="37">
        <f t="shared" si="21"/>
        <v>23456.567184198895</v>
      </c>
      <c r="M61" s="37">
        <f t="shared" si="21"/>
        <v>23788.954841197443</v>
      </c>
      <c r="N61" s="37">
        <f t="shared" si="21"/>
        <v>24129.308820766611</v>
      </c>
      <c r="O61" s="37">
        <f t="shared" si="21"/>
        <v>24471.585564627028</v>
      </c>
      <c r="P61" s="37">
        <f t="shared" si="21"/>
        <v>24818.533065669362</v>
      </c>
      <c r="Q61" s="37">
        <f t="shared" si="21"/>
        <v>25165.161108784116</v>
      </c>
      <c r="R61" s="37">
        <f t="shared" si="21"/>
        <v>25510.908111495541</v>
      </c>
      <c r="S61" s="37">
        <f t="shared" si="21"/>
        <v>25826.148794546683</v>
      </c>
      <c r="T61" s="37">
        <f t="shared" si="21"/>
        <v>26134.990644467282</v>
      </c>
      <c r="U61" s="37">
        <f t="shared" si="21"/>
        <v>26437.828372455246</v>
      </c>
      <c r="V61" s="37">
        <f t="shared" si="21"/>
        <v>26731.564339821172</v>
      </c>
      <c r="W61" s="37">
        <f t="shared" si="21"/>
        <v>27011.213550005778</v>
      </c>
      <c r="X61" s="37">
        <f t="shared" si="21"/>
        <v>27274.922943769583</v>
      </c>
      <c r="Y61" s="37">
        <f t="shared" si="21"/>
        <v>27529.536594774927</v>
      </c>
      <c r="Z61" s="37">
        <f t="shared" si="21"/>
        <v>27767.414179402065</v>
      </c>
      <c r="AA61" s="37">
        <f t="shared" si="21"/>
        <v>27988.25784765866</v>
      </c>
      <c r="AB61" s="37">
        <f t="shared" si="21"/>
        <v>28189.100436483237</v>
      </c>
    </row>
    <row r="62" spans="1:28" x14ac:dyDescent="0.25">
      <c r="A62" s="4" t="s">
        <v>219</v>
      </c>
      <c r="B62" s="37">
        <f t="shared" ref="B62:AB62" si="22">B42*B15*$F$8</f>
        <v>37579.618218140655</v>
      </c>
      <c r="C62" s="37">
        <f t="shared" si="22"/>
        <v>38280.643623728683</v>
      </c>
      <c r="D62" s="37">
        <f t="shared" si="22"/>
        <v>39404.987548468329</v>
      </c>
      <c r="E62" s="37">
        <f t="shared" si="22"/>
        <v>40600.144538973043</v>
      </c>
      <c r="F62" s="37">
        <f t="shared" si="22"/>
        <v>41879.337138367504</v>
      </c>
      <c r="G62" s="37">
        <f t="shared" si="22"/>
        <v>43243.358710788481</v>
      </c>
      <c r="H62" s="37">
        <f t="shared" si="22"/>
        <v>44696.768029109102</v>
      </c>
      <c r="I62" s="37">
        <f t="shared" si="22"/>
        <v>45899.408429135852</v>
      </c>
      <c r="J62" s="37">
        <f t="shared" si="22"/>
        <v>47154.097190362249</v>
      </c>
      <c r="K62" s="37">
        <f t="shared" si="22"/>
        <v>48451.564226103714</v>
      </c>
      <c r="L62" s="37">
        <f t="shared" si="22"/>
        <v>49804.350061457568</v>
      </c>
      <c r="M62" s="37">
        <f t="shared" si="22"/>
        <v>51203.015408261883</v>
      </c>
      <c r="N62" s="37">
        <f t="shared" si="22"/>
        <v>52641.303502818802</v>
      </c>
      <c r="O62" s="37">
        <f t="shared" si="22"/>
        <v>54110.211701904591</v>
      </c>
      <c r="P62" s="37">
        <f t="shared" si="22"/>
        <v>55605.115802882458</v>
      </c>
      <c r="Q62" s="37">
        <f t="shared" si="22"/>
        <v>57115.680832215126</v>
      </c>
      <c r="R62" s="37">
        <f t="shared" si="22"/>
        <v>58636.84260727642</v>
      </c>
      <c r="S62" s="37">
        <f t="shared" si="22"/>
        <v>60089.547868003319</v>
      </c>
      <c r="T62" s="37">
        <f t="shared" si="22"/>
        <v>61540.810625908816</v>
      </c>
      <c r="U62" s="37">
        <f t="shared" si="22"/>
        <v>62977.381143048944</v>
      </c>
      <c r="V62" s="37">
        <f t="shared" si="22"/>
        <v>64401.359510354676</v>
      </c>
      <c r="W62" s="37">
        <f t="shared" si="22"/>
        <v>65808.418375793699</v>
      </c>
      <c r="X62" s="37">
        <f t="shared" si="22"/>
        <v>67204.080211480119</v>
      </c>
      <c r="Y62" s="37">
        <f t="shared" si="22"/>
        <v>68583.842645604687</v>
      </c>
      <c r="Z62" s="37">
        <f t="shared" si="22"/>
        <v>69949.689106035396</v>
      </c>
      <c r="AA62" s="37">
        <f t="shared" si="22"/>
        <v>71300.702975778098</v>
      </c>
      <c r="AB62" s="37">
        <f t="shared" si="22"/>
        <v>72631.550550161555</v>
      </c>
    </row>
    <row r="63" spans="1:28" x14ac:dyDescent="0.25">
      <c r="A63" s="4" t="s">
        <v>220</v>
      </c>
      <c r="B63" s="37">
        <f t="shared" ref="B63:AB63" si="23">B43*B15*$F$9</f>
        <v>11131.394229616652</v>
      </c>
      <c r="C63" s="37">
        <f t="shared" si="23"/>
        <v>11323.167589991059</v>
      </c>
      <c r="D63" s="37">
        <f t="shared" si="23"/>
        <v>11641.855011727319</v>
      </c>
      <c r="E63" s="37">
        <f t="shared" si="23"/>
        <v>11985.756190514356</v>
      </c>
      <c r="F63" s="37">
        <f t="shared" si="23"/>
        <v>12335.410414181199</v>
      </c>
      <c r="G63" s="37">
        <f t="shared" si="23"/>
        <v>12708.607027749038</v>
      </c>
      <c r="H63" s="37">
        <f t="shared" si="23"/>
        <v>13094.171969104129</v>
      </c>
      <c r="I63" s="37">
        <f t="shared" si="23"/>
        <v>13389.892775505661</v>
      </c>
      <c r="J63" s="37">
        <f t="shared" si="23"/>
        <v>13692.36403134574</v>
      </c>
      <c r="K63" s="37">
        <f t="shared" si="23"/>
        <v>14016.35629266965</v>
      </c>
      <c r="L63" s="37">
        <f t="shared" si="23"/>
        <v>14348.444644450732</v>
      </c>
      <c r="M63" s="37">
        <f t="shared" si="23"/>
        <v>14693.029745360789</v>
      </c>
      <c r="N63" s="37">
        <f t="shared" si="23"/>
        <v>15043.679668125287</v>
      </c>
      <c r="O63" s="37">
        <f t="shared" si="23"/>
        <v>15401.593840952568</v>
      </c>
      <c r="P63" s="37">
        <f t="shared" si="23"/>
        <v>15770.826951288342</v>
      </c>
      <c r="Q63" s="37">
        <f t="shared" si="23"/>
        <v>16149.328149504432</v>
      </c>
      <c r="R63" s="37">
        <f t="shared" si="23"/>
        <v>16534.024392557065</v>
      </c>
      <c r="S63" s="37">
        <f t="shared" si="23"/>
        <v>16900.502196515907</v>
      </c>
      <c r="T63" s="37">
        <f t="shared" si="23"/>
        <v>17272.053811473379</v>
      </c>
      <c r="U63" s="37">
        <f t="shared" si="23"/>
        <v>17644.150712452032</v>
      </c>
      <c r="V63" s="37">
        <f t="shared" si="23"/>
        <v>18011.703841526789</v>
      </c>
      <c r="W63" s="37">
        <f t="shared" si="23"/>
        <v>18385.709281119034</v>
      </c>
      <c r="X63" s="37">
        <f t="shared" si="23"/>
        <v>18757.301836830669</v>
      </c>
      <c r="Y63" s="37">
        <f t="shared" si="23"/>
        <v>19131.802172907213</v>
      </c>
      <c r="Z63" s="37">
        <f t="shared" si="23"/>
        <v>19501.845655280657</v>
      </c>
      <c r="AA63" s="37">
        <f t="shared" si="23"/>
        <v>19870.279243151228</v>
      </c>
      <c r="AB63" s="37">
        <f t="shared" si="23"/>
        <v>20240.096435950723</v>
      </c>
    </row>
    <row r="64" spans="1:28" x14ac:dyDescent="0.25">
      <c r="A64" s="4" t="s">
        <v>221</v>
      </c>
      <c r="B64" s="37">
        <f t="shared" ref="B64:AB64" si="24">B44*B15*$F$10</f>
        <v>61101.295401589712</v>
      </c>
      <c r="C64" s="37">
        <f t="shared" si="24"/>
        <v>62953.700766475318</v>
      </c>
      <c r="D64" s="37">
        <f t="shared" si="24"/>
        <v>65499.943780935959</v>
      </c>
      <c r="E64" s="37">
        <f t="shared" si="24"/>
        <v>68126.360848222292</v>
      </c>
      <c r="F64" s="37">
        <f t="shared" si="24"/>
        <v>70834.88333812989</v>
      </c>
      <c r="G64" s="37">
        <f t="shared" si="24"/>
        <v>73635.414846466505</v>
      </c>
      <c r="H64" s="37">
        <f t="shared" si="24"/>
        <v>76553.563989056987</v>
      </c>
      <c r="I64" s="37">
        <f t="shared" si="24"/>
        <v>79002.759236455953</v>
      </c>
      <c r="J64" s="37">
        <f t="shared" si="24"/>
        <v>81518.671564881253</v>
      </c>
      <c r="K64" s="37">
        <f t="shared" si="24"/>
        <v>84120.344195503887</v>
      </c>
      <c r="L64" s="37">
        <f t="shared" si="24"/>
        <v>86822.378113587358</v>
      </c>
      <c r="M64" s="37">
        <f t="shared" si="24"/>
        <v>89603.843935533951</v>
      </c>
      <c r="N64" s="37">
        <f t="shared" si="24"/>
        <v>92488.357350258128</v>
      </c>
      <c r="O64" s="37">
        <f t="shared" si="24"/>
        <v>95460.869233734091</v>
      </c>
      <c r="P64" s="37">
        <f t="shared" si="24"/>
        <v>98517.515184044882</v>
      </c>
      <c r="Q64" s="37">
        <f t="shared" si="24"/>
        <v>101662.99395492136</v>
      </c>
      <c r="R64" s="37">
        <f t="shared" si="24"/>
        <v>104877.15309749241</v>
      </c>
      <c r="S64" s="37">
        <f t="shared" si="24"/>
        <v>108035.62611679612</v>
      </c>
      <c r="T64" s="37">
        <f t="shared" si="24"/>
        <v>111253.88373128722</v>
      </c>
      <c r="U64" s="37">
        <f t="shared" si="24"/>
        <v>114524.62288051302</v>
      </c>
      <c r="V64" s="37">
        <f t="shared" si="24"/>
        <v>117832.69467426615</v>
      </c>
      <c r="W64" s="37">
        <f t="shared" si="24"/>
        <v>121161.92453799314</v>
      </c>
      <c r="X64" s="37">
        <f t="shared" si="24"/>
        <v>124527.02530771446</v>
      </c>
      <c r="Y64" s="37">
        <f t="shared" si="24"/>
        <v>127902.97272137443</v>
      </c>
      <c r="Z64" s="37">
        <f t="shared" si="24"/>
        <v>131288.00167329033</v>
      </c>
      <c r="AA64" s="37">
        <f t="shared" si="24"/>
        <v>134652.55529803957</v>
      </c>
      <c r="AB64" s="37">
        <f t="shared" si="24"/>
        <v>137992.80455192502</v>
      </c>
    </row>
    <row r="65" spans="1:28" x14ac:dyDescent="0.25">
      <c r="A65" s="4" t="s">
        <v>222</v>
      </c>
      <c r="B65" s="37">
        <f t="shared" ref="B65:AB65" si="25">B45*B15*$F$11</f>
        <v>227745.51156360263</v>
      </c>
      <c r="C65" s="37">
        <f t="shared" si="25"/>
        <v>230103.56036282107</v>
      </c>
      <c r="D65" s="37">
        <f t="shared" si="25"/>
        <v>234800.13659109437</v>
      </c>
      <c r="E65" s="37">
        <f t="shared" si="25"/>
        <v>239578.34423074103</v>
      </c>
      <c r="F65" s="37">
        <f t="shared" si="25"/>
        <v>244486.61173029471</v>
      </c>
      <c r="G65" s="37">
        <f t="shared" si="25"/>
        <v>249534.58394871259</v>
      </c>
      <c r="H65" s="37">
        <f t="shared" si="25"/>
        <v>254718.07346442676</v>
      </c>
      <c r="I65" s="37">
        <f t="shared" si="25"/>
        <v>258091.64663278335</v>
      </c>
      <c r="J65" s="37">
        <f t="shared" si="25"/>
        <v>261519.15398338981</v>
      </c>
      <c r="K65" s="37">
        <f t="shared" si="25"/>
        <v>264955.65548520559</v>
      </c>
      <c r="L65" s="37">
        <f t="shared" si="25"/>
        <v>268380.50669210643</v>
      </c>
      <c r="M65" s="37">
        <f t="shared" si="25"/>
        <v>271790.00472353835</v>
      </c>
      <c r="N65" s="37">
        <f t="shared" si="25"/>
        <v>275128.76786586974</v>
      </c>
      <c r="O65" s="37">
        <f t="shared" si="25"/>
        <v>278366.58645072073</v>
      </c>
      <c r="P65" s="37">
        <f t="shared" si="25"/>
        <v>281478.06111147767</v>
      </c>
      <c r="Q65" s="37">
        <f t="shared" si="25"/>
        <v>284415.999124058</v>
      </c>
      <c r="R65" s="37">
        <f t="shared" si="25"/>
        <v>287151.09480910777</v>
      </c>
      <c r="S65" s="37">
        <f t="shared" si="25"/>
        <v>289322.72994690284</v>
      </c>
      <c r="T65" s="37">
        <f t="shared" si="25"/>
        <v>291240.85252359748</v>
      </c>
      <c r="U65" s="37">
        <f t="shared" si="25"/>
        <v>292902.11357913614</v>
      </c>
      <c r="V65" s="37">
        <f t="shared" si="25"/>
        <v>294234.09172276856</v>
      </c>
      <c r="W65" s="37">
        <f t="shared" si="25"/>
        <v>295218.7144263612</v>
      </c>
      <c r="X65" s="37">
        <f t="shared" si="25"/>
        <v>295850.01279332227</v>
      </c>
      <c r="Y65" s="37">
        <f t="shared" si="25"/>
        <v>296285.5061486208</v>
      </c>
      <c r="Z65" s="37">
        <f t="shared" si="25"/>
        <v>296389.44272935338</v>
      </c>
      <c r="AA65" s="37">
        <f t="shared" si="25"/>
        <v>296155.56406259176</v>
      </c>
      <c r="AB65" s="37">
        <f t="shared" si="25"/>
        <v>295602.79026484193</v>
      </c>
    </row>
    <row r="67" spans="1:28" x14ac:dyDescent="0.25">
      <c r="A67" s="4" t="s">
        <v>328</v>
      </c>
    </row>
    <row r="68" spans="1:28" x14ac:dyDescent="0.25">
      <c r="A68" s="4" t="s">
        <v>329</v>
      </c>
      <c r="B68" s="40">
        <f t="shared" ref="B68:AB68" si="26">B48+B49</f>
        <v>1980.377556090079</v>
      </c>
      <c r="C68" s="40">
        <f t="shared" si="26"/>
        <v>1957.8527794458357</v>
      </c>
      <c r="D68" s="40">
        <f t="shared" si="26"/>
        <v>1955.4445316659128</v>
      </c>
      <c r="E68" s="40">
        <f t="shared" si="26"/>
        <v>1952.9046374668351</v>
      </c>
      <c r="F68" s="40">
        <f t="shared" si="26"/>
        <v>1949.8963903551507</v>
      </c>
      <c r="G68" s="40">
        <f t="shared" si="26"/>
        <v>1946.6592270307933</v>
      </c>
      <c r="H68" s="40">
        <f t="shared" si="26"/>
        <v>1943.0910887763462</v>
      </c>
      <c r="I68" s="40">
        <f t="shared" si="26"/>
        <v>1924.9760365472939</v>
      </c>
      <c r="J68" s="40">
        <f t="shared" si="26"/>
        <v>1906.7756288935848</v>
      </c>
      <c r="K68" s="40">
        <f t="shared" si="26"/>
        <v>1888.3137261430227</v>
      </c>
      <c r="L68" s="40">
        <f t="shared" si="26"/>
        <v>1869.6988484661933</v>
      </c>
      <c r="M68" s="40">
        <f t="shared" si="26"/>
        <v>1850.8216587711006</v>
      </c>
      <c r="N68" s="40">
        <f t="shared" si="26"/>
        <v>1831.9164162662114</v>
      </c>
      <c r="O68" s="40">
        <f t="shared" si="26"/>
        <v>1812.4855931812422</v>
      </c>
      <c r="P68" s="40">
        <f t="shared" si="26"/>
        <v>1792.5452955769683</v>
      </c>
      <c r="Q68" s="40">
        <f t="shared" si="26"/>
        <v>1772.4253770541393</v>
      </c>
      <c r="R68" s="40">
        <f t="shared" si="26"/>
        <v>1751.8840280911436</v>
      </c>
      <c r="S68" s="40">
        <f t="shared" si="26"/>
        <v>1729.2644260313011</v>
      </c>
      <c r="T68" s="40">
        <f t="shared" si="26"/>
        <v>1706.7184019719966</v>
      </c>
      <c r="U68" s="40">
        <f t="shared" si="26"/>
        <v>1684.4575271533786</v>
      </c>
      <c r="V68" s="40">
        <f t="shared" si="26"/>
        <v>1662.6876940014513</v>
      </c>
      <c r="W68" s="40">
        <f t="shared" si="26"/>
        <v>1641.3792437710331</v>
      </c>
      <c r="X68" s="40">
        <f t="shared" si="26"/>
        <v>1621.0987303351717</v>
      </c>
      <c r="Y68" s="40">
        <f t="shared" si="26"/>
        <v>1601.4605642452468</v>
      </c>
      <c r="Z68" s="40">
        <f t="shared" si="26"/>
        <v>1582.444987413427</v>
      </c>
      <c r="AA68" s="40">
        <f t="shared" si="26"/>
        <v>1564.0198288295783</v>
      </c>
      <c r="AB68" s="40">
        <f t="shared" si="26"/>
        <v>1546.3932317584506</v>
      </c>
    </row>
    <row r="69" spans="1:28" x14ac:dyDescent="0.25">
      <c r="A69" s="4" t="s">
        <v>330</v>
      </c>
      <c r="B69" s="40">
        <f t="shared" ref="B69:AB69" si="27">B50+B51+B52+B53</f>
        <v>1846.548640793937</v>
      </c>
      <c r="C69" s="40">
        <f t="shared" si="27"/>
        <v>1830.3239306213741</v>
      </c>
      <c r="D69" s="40">
        <f t="shared" si="27"/>
        <v>1832.6835539420604</v>
      </c>
      <c r="E69" s="40">
        <f t="shared" si="27"/>
        <v>1835.3966805091059</v>
      </c>
      <c r="F69" s="40">
        <f t="shared" si="27"/>
        <v>1837.7826031322477</v>
      </c>
      <c r="G69" s="40">
        <f t="shared" si="27"/>
        <v>1839.8993085128482</v>
      </c>
      <c r="H69" s="40">
        <f t="shared" si="27"/>
        <v>1842.1699918487777</v>
      </c>
      <c r="I69" s="40">
        <f t="shared" si="27"/>
        <v>1830.3809710131911</v>
      </c>
      <c r="J69" s="40">
        <f t="shared" si="27"/>
        <v>1818.5703284835181</v>
      </c>
      <c r="K69" s="40">
        <f t="shared" si="27"/>
        <v>1806.7356473925645</v>
      </c>
      <c r="L69" s="40">
        <f t="shared" si="27"/>
        <v>1794.3017249248749</v>
      </c>
      <c r="M69" s="40">
        <f t="shared" si="27"/>
        <v>1781.277652066839</v>
      </c>
      <c r="N69" s="40">
        <f t="shared" si="27"/>
        <v>1768.3410639157755</v>
      </c>
      <c r="O69" s="40">
        <f t="shared" si="27"/>
        <v>1754.650395721922</v>
      </c>
      <c r="P69" s="40">
        <f t="shared" si="27"/>
        <v>1740.1638022412264</v>
      </c>
      <c r="Q69" s="40">
        <f t="shared" si="27"/>
        <v>1725.5006233971649</v>
      </c>
      <c r="R69" s="40">
        <f t="shared" si="27"/>
        <v>1709.9933726565846</v>
      </c>
      <c r="S69" s="40">
        <f t="shared" si="27"/>
        <v>1692.6140442432641</v>
      </c>
      <c r="T69" s="40">
        <f t="shared" si="27"/>
        <v>1675.2208609381119</v>
      </c>
      <c r="U69" s="40">
        <f t="shared" si="27"/>
        <v>1657.8110068075862</v>
      </c>
      <c r="V69" s="40">
        <f t="shared" si="27"/>
        <v>1640.8420068754799</v>
      </c>
      <c r="W69" s="40">
        <f t="shared" si="27"/>
        <v>1624.3626880227328</v>
      </c>
      <c r="X69" s="40">
        <f t="shared" si="27"/>
        <v>1608.64470737285</v>
      </c>
      <c r="Y69" s="40">
        <f t="shared" si="27"/>
        <v>1593.5985832369081</v>
      </c>
      <c r="Z69" s="40">
        <f t="shared" si="27"/>
        <v>1578.9043172809124</v>
      </c>
      <c r="AA69" s="40">
        <f t="shared" si="27"/>
        <v>1564.4827563168089</v>
      </c>
      <c r="AB69" s="40">
        <f t="shared" si="27"/>
        <v>1550.986092319778</v>
      </c>
    </row>
    <row r="70" spans="1:28" x14ac:dyDescent="0.25">
      <c r="A70" s="4" t="s">
        <v>331</v>
      </c>
      <c r="B70" s="40">
        <f t="shared" ref="B70:AB70" si="28">B54+B55</f>
        <v>2064.3330426235543</v>
      </c>
      <c r="C70" s="40">
        <f t="shared" si="28"/>
        <v>2047.3898629570513</v>
      </c>
      <c r="D70" s="40">
        <f t="shared" si="28"/>
        <v>2051.841697947481</v>
      </c>
      <c r="E70" s="40">
        <f t="shared" si="28"/>
        <v>2056.4284825561381</v>
      </c>
      <c r="F70" s="40">
        <f t="shared" si="28"/>
        <v>2061.2340218889653</v>
      </c>
      <c r="G70" s="40">
        <f t="shared" si="28"/>
        <v>2065.3221183012902</v>
      </c>
      <c r="H70" s="40">
        <f t="shared" si="28"/>
        <v>2069.1008483672108</v>
      </c>
      <c r="I70" s="40">
        <f t="shared" si="28"/>
        <v>2057.3310382809095</v>
      </c>
      <c r="J70" s="40">
        <f t="shared" si="28"/>
        <v>2045.2907846387666</v>
      </c>
      <c r="K70" s="40">
        <f t="shared" si="28"/>
        <v>2032.8221851096339</v>
      </c>
      <c r="L70" s="40">
        <f t="shared" si="28"/>
        <v>2019.8564022140408</v>
      </c>
      <c r="M70" s="40">
        <f t="shared" si="28"/>
        <v>2006.3085577692766</v>
      </c>
      <c r="N70" s="40">
        <f t="shared" si="28"/>
        <v>1992.3539533210276</v>
      </c>
      <c r="O70" s="40">
        <f t="shared" si="28"/>
        <v>1977.6420243395828</v>
      </c>
      <c r="P70" s="40">
        <f t="shared" si="28"/>
        <v>1961.6877357356225</v>
      </c>
      <c r="Q70" s="40">
        <f t="shared" si="28"/>
        <v>1945.2269587478588</v>
      </c>
      <c r="R70" s="40">
        <f t="shared" si="28"/>
        <v>1927.5918514211235</v>
      </c>
      <c r="S70" s="40">
        <f t="shared" si="28"/>
        <v>1907.7951369405273</v>
      </c>
      <c r="T70" s="40">
        <f t="shared" si="28"/>
        <v>1887.5129398522936</v>
      </c>
      <c r="U70" s="40">
        <f t="shared" si="28"/>
        <v>1866.8971971253654</v>
      </c>
      <c r="V70" s="40">
        <f t="shared" si="28"/>
        <v>1846.7325588458384</v>
      </c>
      <c r="W70" s="40">
        <f t="shared" si="28"/>
        <v>1826.1874554103993</v>
      </c>
      <c r="X70" s="40">
        <f t="shared" si="28"/>
        <v>1807.2619043088976</v>
      </c>
      <c r="Y70" s="40">
        <f t="shared" si="28"/>
        <v>1788.7137002572799</v>
      </c>
      <c r="Z70" s="40">
        <f t="shared" si="28"/>
        <v>1770.6734090530265</v>
      </c>
      <c r="AA70" s="40">
        <f t="shared" si="28"/>
        <v>1753.272091223618</v>
      </c>
      <c r="AB70" s="40">
        <f t="shared" si="28"/>
        <v>1736.8156972011279</v>
      </c>
    </row>
    <row r="71" spans="1:28" x14ac:dyDescent="0.25">
      <c r="A71" s="4" t="s">
        <v>332</v>
      </c>
      <c r="B71" s="40">
        <f t="shared" ref="B71:AB71" si="29">B58+B59</f>
        <v>338727.56675971777</v>
      </c>
      <c r="C71" s="40">
        <f t="shared" si="29"/>
        <v>342821.71785014134</v>
      </c>
      <c r="D71" s="40">
        <f t="shared" si="29"/>
        <v>350425.75241919828</v>
      </c>
      <c r="E71" s="40">
        <f t="shared" si="29"/>
        <v>358178.57285043225</v>
      </c>
      <c r="F71" s="40">
        <f t="shared" si="29"/>
        <v>366146.6768259019</v>
      </c>
      <c r="G71" s="40">
        <f t="shared" si="29"/>
        <v>374347.87120545434</v>
      </c>
      <c r="H71" s="40">
        <f t="shared" si="29"/>
        <v>382788.52588910836</v>
      </c>
      <c r="I71" s="40">
        <f t="shared" si="29"/>
        <v>388544.18850770459</v>
      </c>
      <c r="J71" s="40">
        <f t="shared" si="29"/>
        <v>394404.00196419656</v>
      </c>
      <c r="K71" s="40">
        <f t="shared" si="29"/>
        <v>400316.31736973545</v>
      </c>
      <c r="L71" s="40">
        <f t="shared" si="29"/>
        <v>406259.99673283024</v>
      </c>
      <c r="M71" s="40">
        <f t="shared" si="29"/>
        <v>412220.0412531484</v>
      </c>
      <c r="N71" s="40">
        <f t="shared" si="29"/>
        <v>418132.65409741394</v>
      </c>
      <c r="O71" s="40">
        <f t="shared" si="29"/>
        <v>423949.79234821361</v>
      </c>
      <c r="P71" s="40">
        <f t="shared" si="29"/>
        <v>429634.9809804539</v>
      </c>
      <c r="Q71" s="40">
        <f t="shared" si="29"/>
        <v>435126.69159254205</v>
      </c>
      <c r="R71" s="40">
        <f t="shared" si="29"/>
        <v>440375.35094883968</v>
      </c>
      <c r="S71" s="40">
        <f t="shared" si="29"/>
        <v>444831.70157369314</v>
      </c>
      <c r="T71" s="40">
        <f t="shared" si="29"/>
        <v>448972.19989326107</v>
      </c>
      <c r="U71" s="40">
        <f t="shared" si="29"/>
        <v>452789.00252687908</v>
      </c>
      <c r="V71" s="40">
        <f t="shared" si="29"/>
        <v>456176.43983985705</v>
      </c>
      <c r="W71" s="40">
        <f t="shared" si="29"/>
        <v>459102.58337439911</v>
      </c>
      <c r="X71" s="40">
        <f t="shared" si="29"/>
        <v>461566.21242280485</v>
      </c>
      <c r="Y71" s="40">
        <f t="shared" si="29"/>
        <v>463769.26640505169</v>
      </c>
      <c r="Z71" s="40">
        <f t="shared" si="29"/>
        <v>465526.56768793287</v>
      </c>
      <c r="AA71" s="40">
        <f t="shared" si="29"/>
        <v>466815.77461580094</v>
      </c>
      <c r="AB71" s="40">
        <f t="shared" si="29"/>
        <v>467660.86481633293</v>
      </c>
    </row>
    <row r="72" spans="1:28" x14ac:dyDescent="0.25">
      <c r="A72" s="4" t="s">
        <v>333</v>
      </c>
      <c r="B72" s="40">
        <f t="shared" ref="B72:AB72" si="30">B60+B61+B62+B63</f>
        <v>323434.36528804142</v>
      </c>
      <c r="C72" s="40">
        <f t="shared" si="30"/>
        <v>327556.73398261197</v>
      </c>
      <c r="D72" s="40">
        <f t="shared" si="30"/>
        <v>335055.33018970065</v>
      </c>
      <c r="E72" s="40">
        <f t="shared" si="30"/>
        <v>342741.82178591943</v>
      </c>
      <c r="F72" s="40">
        <f t="shared" si="30"/>
        <v>350673.21967279323</v>
      </c>
      <c r="G72" s="40">
        <f t="shared" si="30"/>
        <v>358871.99348098459</v>
      </c>
      <c r="H72" s="40">
        <f t="shared" si="30"/>
        <v>367343.61745130393</v>
      </c>
      <c r="I72" s="40">
        <f t="shared" si="30"/>
        <v>373278.79042017524</v>
      </c>
      <c r="J72" s="40">
        <f t="shared" si="30"/>
        <v>379338.74850117997</v>
      </c>
      <c r="K72" s="40">
        <f t="shared" si="30"/>
        <v>385475.70949352602</v>
      </c>
      <c r="L72" s="40">
        <f t="shared" si="30"/>
        <v>391673.48560601403</v>
      </c>
      <c r="M72" s="40">
        <f t="shared" si="30"/>
        <v>397914.61676948442</v>
      </c>
      <c r="N72" s="40">
        <f t="shared" si="30"/>
        <v>404132.24176087062</v>
      </c>
      <c r="O72" s="40">
        <f t="shared" si="30"/>
        <v>410282.03853420232</v>
      </c>
      <c r="P72" s="40">
        <f t="shared" si="30"/>
        <v>416325.93479755911</v>
      </c>
      <c r="Q72" s="40">
        <f t="shared" si="30"/>
        <v>422203.93412715982</v>
      </c>
      <c r="R72" s="40">
        <f t="shared" si="30"/>
        <v>427866.27784091228</v>
      </c>
      <c r="S72" s="40">
        <f t="shared" si="30"/>
        <v>432771.76304822357</v>
      </c>
      <c r="T72" s="40">
        <f t="shared" si="30"/>
        <v>437390.89202475309</v>
      </c>
      <c r="U72" s="40">
        <f t="shared" si="30"/>
        <v>441705.65294604399</v>
      </c>
      <c r="V72" s="40">
        <f t="shared" si="30"/>
        <v>445620.50825009635</v>
      </c>
      <c r="W72" s="40">
        <f t="shared" si="30"/>
        <v>449111.3388818918</v>
      </c>
      <c r="X72" s="40">
        <f t="shared" si="30"/>
        <v>452179.48036332382</v>
      </c>
      <c r="Y72" s="40">
        <f t="shared" si="30"/>
        <v>455004.87895823899</v>
      </c>
      <c r="Z72" s="40">
        <f t="shared" si="30"/>
        <v>457421.59087705787</v>
      </c>
      <c r="AA72" s="40">
        <f t="shared" si="30"/>
        <v>459409.24594897602</v>
      </c>
      <c r="AB72" s="40">
        <f t="shared" si="30"/>
        <v>460990.52071355918</v>
      </c>
    </row>
    <row r="73" spans="1:28" x14ac:dyDescent="0.25">
      <c r="A73" s="4" t="s">
        <v>334</v>
      </c>
      <c r="B73" s="40">
        <f t="shared" ref="B73:AB73" si="31">B64+B65</f>
        <v>288846.80696519231</v>
      </c>
      <c r="C73" s="40">
        <f t="shared" si="31"/>
        <v>293057.26112929638</v>
      </c>
      <c r="D73" s="40">
        <f t="shared" si="31"/>
        <v>300300.08037203032</v>
      </c>
      <c r="E73" s="40">
        <f t="shared" si="31"/>
        <v>307704.70507896331</v>
      </c>
      <c r="F73" s="40">
        <f t="shared" si="31"/>
        <v>315321.49506842461</v>
      </c>
      <c r="G73" s="40">
        <f t="shared" si="31"/>
        <v>323169.99879517907</v>
      </c>
      <c r="H73" s="40">
        <f t="shared" si="31"/>
        <v>331271.63745348377</v>
      </c>
      <c r="I73" s="40">
        <f t="shared" si="31"/>
        <v>337094.4058692393</v>
      </c>
      <c r="J73" s="40">
        <f t="shared" si="31"/>
        <v>343037.82554827107</v>
      </c>
      <c r="K73" s="40">
        <f t="shared" si="31"/>
        <v>349075.99968070944</v>
      </c>
      <c r="L73" s="40">
        <f t="shared" si="31"/>
        <v>355202.88480569376</v>
      </c>
      <c r="M73" s="40">
        <f t="shared" si="31"/>
        <v>361393.8486590723</v>
      </c>
      <c r="N73" s="40">
        <f t="shared" si="31"/>
        <v>367617.12521612784</v>
      </c>
      <c r="O73" s="40">
        <f t="shared" si="31"/>
        <v>373827.45568445482</v>
      </c>
      <c r="P73" s="40">
        <f t="shared" si="31"/>
        <v>379995.57629552257</v>
      </c>
      <c r="Q73" s="40">
        <f t="shared" si="31"/>
        <v>386078.99307897937</v>
      </c>
      <c r="R73" s="40">
        <f t="shared" si="31"/>
        <v>392028.24790660018</v>
      </c>
      <c r="S73" s="40">
        <f t="shared" si="31"/>
        <v>397358.35606369894</v>
      </c>
      <c r="T73" s="40">
        <f t="shared" si="31"/>
        <v>402494.73625488469</v>
      </c>
      <c r="U73" s="40">
        <f t="shared" si="31"/>
        <v>407426.73645964917</v>
      </c>
      <c r="V73" s="40">
        <f t="shared" si="31"/>
        <v>412066.78639703471</v>
      </c>
      <c r="W73" s="40">
        <f t="shared" si="31"/>
        <v>416380.63896435435</v>
      </c>
      <c r="X73" s="40">
        <f t="shared" si="31"/>
        <v>420377.03810103674</v>
      </c>
      <c r="Y73" s="40">
        <f t="shared" si="31"/>
        <v>424188.47886999522</v>
      </c>
      <c r="Z73" s="40">
        <f t="shared" si="31"/>
        <v>427677.44440264371</v>
      </c>
      <c r="AA73" s="40">
        <f t="shared" si="31"/>
        <v>430808.11936063133</v>
      </c>
      <c r="AB73" s="40">
        <f t="shared" si="31"/>
        <v>433595.59481676691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1107.9535631124547</v>
      </c>
      <c r="C2" s="37">
        <f>BDbDT_calcs!C48</f>
        <v>1094.3410444012272</v>
      </c>
      <c r="D2" s="37">
        <f>BDbDT_calcs!D48</f>
        <v>1091.9199376194351</v>
      </c>
      <c r="E2" s="37">
        <f>BDbDT_calcs!E48</f>
        <v>1089.4786525961558</v>
      </c>
      <c r="F2" s="37">
        <f>BDbDT_calcs!F48</f>
        <v>1086.7905021281329</v>
      </c>
      <c r="G2" s="37">
        <f>BDbDT_calcs!G48</f>
        <v>1083.8572252695071</v>
      </c>
      <c r="H2" s="37">
        <f>BDbDT_calcs!H48</f>
        <v>1080.6861469278035</v>
      </c>
      <c r="I2" s="37">
        <f>BDbDT_calcs!I48</f>
        <v>1069.910228736027</v>
      </c>
      <c r="J2" s="37">
        <f>BDbDT_calcs!J48</f>
        <v>1058.5176700671623</v>
      </c>
      <c r="K2" s="37">
        <f>BDbDT_calcs!K48</f>
        <v>1047.431489666481</v>
      </c>
      <c r="L2" s="37">
        <f>BDbDT_calcs!L48</f>
        <v>1035.8110109275653</v>
      </c>
      <c r="M2" s="37">
        <f>BDbDT_calcs!M48</f>
        <v>1024.4943912932579</v>
      </c>
      <c r="N2" s="37">
        <f>BDbDT_calcs!N48</f>
        <v>1013.5975918806946</v>
      </c>
      <c r="O2" s="37">
        <f>BDbDT_calcs!O48</f>
        <v>1001.4432221080681</v>
      </c>
      <c r="P2" s="37">
        <f>BDbDT_calcs!P48</f>
        <v>989.8213807379251</v>
      </c>
      <c r="Q2" s="37">
        <f>BDbDT_calcs!Q48</f>
        <v>977.64968291451942</v>
      </c>
      <c r="R2" s="37">
        <f>BDbDT_calcs!R48</f>
        <v>965.51781163684859</v>
      </c>
      <c r="S2" s="37">
        <f>BDbDT_calcs!S48</f>
        <v>952.08105312401108</v>
      </c>
      <c r="T2" s="37">
        <f>BDbDT_calcs!T48</f>
        <v>938.81656813966651</v>
      </c>
      <c r="U2" s="37">
        <f>BDbDT_calcs!U48</f>
        <v>925.71060863300147</v>
      </c>
      <c r="V2" s="37">
        <f>BDbDT_calcs!V48</f>
        <v>912.74684418455786</v>
      </c>
      <c r="W2" s="37">
        <f>BDbDT_calcs!W48</f>
        <v>900.02697113661202</v>
      </c>
      <c r="X2" s="37">
        <f>BDbDT_calcs!X48</f>
        <v>888.36563970517545</v>
      </c>
      <c r="Y2" s="37">
        <f>BDbDT_calcs!Y48</f>
        <v>876.79978943152275</v>
      </c>
      <c r="Z2" s="37">
        <f>BDbDT_calcs!Z48</f>
        <v>865.90825679544514</v>
      </c>
      <c r="AA2" s="37">
        <f>BDbDT_calcs!AA48</f>
        <v>855.20147332294789</v>
      </c>
      <c r="AB2" s="37">
        <f>BDbDT_calcs!AB48</f>
        <v>844.54728229471425</v>
      </c>
    </row>
    <row r="3" spans="1:28" x14ac:dyDescent="0.25">
      <c r="A3" s="4" t="s">
        <v>216</v>
      </c>
      <c r="B3" s="37">
        <f>BDbDT_calcs!B49</f>
        <v>872.42399297762415</v>
      </c>
      <c r="C3" s="37">
        <f>BDbDT_calcs!C49</f>
        <v>863.51173504460849</v>
      </c>
      <c r="D3" s="37">
        <f>BDbDT_calcs!D49</f>
        <v>863.52459404647766</v>
      </c>
      <c r="E3" s="37">
        <f>BDbDT_calcs!E49</f>
        <v>863.42598487067926</v>
      </c>
      <c r="F3" s="37">
        <f>BDbDT_calcs!F49</f>
        <v>863.105888227018</v>
      </c>
      <c r="G3" s="37">
        <f>BDbDT_calcs!G49</f>
        <v>862.80200176128631</v>
      </c>
      <c r="H3" s="37">
        <f>BDbDT_calcs!H49</f>
        <v>862.40494184854253</v>
      </c>
      <c r="I3" s="37">
        <f>BDbDT_calcs!I49</f>
        <v>855.06580781126684</v>
      </c>
      <c r="J3" s="37">
        <f>BDbDT_calcs!J49</f>
        <v>848.25795882642262</v>
      </c>
      <c r="K3" s="37">
        <f>BDbDT_calcs!K49</f>
        <v>840.88223647654172</v>
      </c>
      <c r="L3" s="37">
        <f>BDbDT_calcs!L49</f>
        <v>833.88783753862799</v>
      </c>
      <c r="M3" s="37">
        <f>BDbDT_calcs!M49</f>
        <v>826.32726747784272</v>
      </c>
      <c r="N3" s="37">
        <f>BDbDT_calcs!N49</f>
        <v>818.31882438551668</v>
      </c>
      <c r="O3" s="37">
        <f>BDbDT_calcs!O49</f>
        <v>811.04237107317419</v>
      </c>
      <c r="P3" s="37">
        <f>BDbDT_calcs!P49</f>
        <v>802.72391483904312</v>
      </c>
      <c r="Q3" s="37">
        <f>BDbDT_calcs!Q49</f>
        <v>794.77569413961987</v>
      </c>
      <c r="R3" s="37">
        <f>BDbDT_calcs!R49</f>
        <v>786.366216454295</v>
      </c>
      <c r="S3" s="37">
        <f>BDbDT_calcs!S49</f>
        <v>777.18337290729005</v>
      </c>
      <c r="T3" s="37">
        <f>BDbDT_calcs!T49</f>
        <v>767.90183383233011</v>
      </c>
      <c r="U3" s="37">
        <f>BDbDT_calcs!U49</f>
        <v>758.74691852037699</v>
      </c>
      <c r="V3" s="37">
        <f>BDbDT_calcs!V49</f>
        <v>749.94084981689332</v>
      </c>
      <c r="W3" s="37">
        <f>BDbDT_calcs!W49</f>
        <v>741.35227263442096</v>
      </c>
      <c r="X3" s="37">
        <f>BDbDT_calcs!X49</f>
        <v>732.73309062999635</v>
      </c>
      <c r="Y3" s="37">
        <f>BDbDT_calcs!Y49</f>
        <v>724.66077481372406</v>
      </c>
      <c r="Z3" s="37">
        <f>BDbDT_calcs!Z49</f>
        <v>716.53673061798179</v>
      </c>
      <c r="AA3" s="37">
        <f>BDbDT_calcs!AA49</f>
        <v>708.8183555066305</v>
      </c>
      <c r="AB3" s="37">
        <f>BDbDT_calcs!AB49</f>
        <v>701.84594946373636</v>
      </c>
    </row>
    <row r="4" spans="1:28" x14ac:dyDescent="0.25">
      <c r="A4" s="4" t="s">
        <v>217</v>
      </c>
      <c r="B4" s="37">
        <f>BDbDT_calcs!B50</f>
        <v>1071.8093107142645</v>
      </c>
      <c r="C4" s="37">
        <f>BDbDT_calcs!C50</f>
        <v>1059.6550031381396</v>
      </c>
      <c r="D4" s="37">
        <f>BDbDT_calcs!D50</f>
        <v>1058.5610274504572</v>
      </c>
      <c r="E4" s="37">
        <f>BDbDT_calcs!E50</f>
        <v>1057.2426351360516</v>
      </c>
      <c r="F4" s="37">
        <f>BDbDT_calcs!F50</f>
        <v>1055.817685047487</v>
      </c>
      <c r="G4" s="37">
        <f>BDbDT_calcs!G50</f>
        <v>1054.4008494307234</v>
      </c>
      <c r="H4" s="37">
        <f>BDbDT_calcs!H50</f>
        <v>1052.5584471964314</v>
      </c>
      <c r="I4" s="37">
        <f>BDbDT_calcs!I50</f>
        <v>1043.0738426891364</v>
      </c>
      <c r="J4" s="37">
        <f>BDbDT_calcs!J50</f>
        <v>1033.2500629461797</v>
      </c>
      <c r="K4" s="37">
        <f>BDbDT_calcs!K50</f>
        <v>1023.1614748824002</v>
      </c>
      <c r="L4" s="37">
        <f>BDbDT_calcs!L50</f>
        <v>1012.6981834173058</v>
      </c>
      <c r="M4" s="37">
        <f>BDbDT_calcs!M50</f>
        <v>1001.8601675998432</v>
      </c>
      <c r="N4" s="37">
        <f>BDbDT_calcs!N50</f>
        <v>990.64593074849222</v>
      </c>
      <c r="O4" s="37">
        <f>BDbDT_calcs!O50</f>
        <v>978.72229728433251</v>
      </c>
      <c r="P4" s="37">
        <f>BDbDT_calcs!P50</f>
        <v>966.52745099713923</v>
      </c>
      <c r="Q4" s="37">
        <f>BDbDT_calcs!Q50</f>
        <v>953.94467363762953</v>
      </c>
      <c r="R4" s="37">
        <f>BDbDT_calcs!R50</f>
        <v>940.96623330412137</v>
      </c>
      <c r="S4" s="37">
        <f>BDbDT_calcs!S50</f>
        <v>926.73595858252645</v>
      </c>
      <c r="T4" s="37">
        <f>BDbDT_calcs!T50</f>
        <v>912.6759413565477</v>
      </c>
      <c r="U4" s="37">
        <f>BDbDT_calcs!U50</f>
        <v>898.77229506598462</v>
      </c>
      <c r="V4" s="37">
        <f>BDbDT_calcs!V50</f>
        <v>885.11852834466265</v>
      </c>
      <c r="W4" s="37">
        <f>BDbDT_calcs!W50</f>
        <v>871.9168833589423</v>
      </c>
      <c r="X4" s="37">
        <f>BDbDT_calcs!X50</f>
        <v>859.25985600969091</v>
      </c>
      <c r="Y4" s="37">
        <f>BDbDT_calcs!Y50</f>
        <v>846.9159113678005</v>
      </c>
      <c r="Z4" s="37">
        <f>BDbDT_calcs!Z50</f>
        <v>834.97982822287486</v>
      </c>
      <c r="AA4" s="37">
        <f>BDbDT_calcs!AA50</f>
        <v>823.65643166208827</v>
      </c>
      <c r="AB4" s="37">
        <f>BDbDT_calcs!AB50</f>
        <v>812.71296983635466</v>
      </c>
    </row>
    <row r="5" spans="1:28" x14ac:dyDescent="0.25">
      <c r="A5" s="4" t="s">
        <v>218</v>
      </c>
      <c r="B5" s="37">
        <f>BDbDT_calcs!B51</f>
        <v>256.7525531781086</v>
      </c>
      <c r="C5" s="37">
        <f>BDbDT_calcs!C51</f>
        <v>252.08458291823487</v>
      </c>
      <c r="D5" s="37">
        <f>BDbDT_calcs!D51</f>
        <v>250.07552519350082</v>
      </c>
      <c r="E5" s="37">
        <f>BDbDT_calcs!E51</f>
        <v>247.93516986127005</v>
      </c>
      <c r="F5" s="37">
        <f>BDbDT_calcs!F51</f>
        <v>245.66397469081434</v>
      </c>
      <c r="G5" s="37">
        <f>BDbDT_calcs!G51</f>
        <v>243.37267858302093</v>
      </c>
      <c r="H5" s="37">
        <f>BDbDT_calcs!H51</f>
        <v>240.89485799769844</v>
      </c>
      <c r="I5" s="37">
        <f>BDbDT_calcs!I51</f>
        <v>236.69019454605953</v>
      </c>
      <c r="J5" s="37">
        <f>BDbDT_calcs!J51</f>
        <v>232.54072610343817</v>
      </c>
      <c r="K5" s="37">
        <f>BDbDT_calcs!K51</f>
        <v>228.43670351208013</v>
      </c>
      <c r="L5" s="37">
        <f>BDbDT_calcs!L51</f>
        <v>224.48881693354349</v>
      </c>
      <c r="M5" s="37">
        <f>BDbDT_calcs!M51</f>
        <v>220.75132013218027</v>
      </c>
      <c r="N5" s="37">
        <f>BDbDT_calcs!N51</f>
        <v>217.05508453598463</v>
      </c>
      <c r="O5" s="37">
        <f>BDbDT_calcs!O51</f>
        <v>213.56598590648605</v>
      </c>
      <c r="P5" s="37">
        <f>BDbDT_calcs!P51</f>
        <v>210.11506545639674</v>
      </c>
      <c r="Q5" s="37">
        <f>BDbDT_calcs!Q51</f>
        <v>206.8117682315079</v>
      </c>
      <c r="R5" s="37">
        <f>BDbDT_calcs!R51</f>
        <v>203.59822829438767</v>
      </c>
      <c r="S5" s="37">
        <f>BDbDT_calcs!S51</f>
        <v>200.18589235694688</v>
      </c>
      <c r="T5" s="37">
        <f>BDbDT_calcs!T51</f>
        <v>196.86663884559493</v>
      </c>
      <c r="U5" s="37">
        <f>BDbDT_calcs!U51</f>
        <v>193.58167062329338</v>
      </c>
      <c r="V5" s="37">
        <f>BDbDT_calcs!V51</f>
        <v>190.43825839881231</v>
      </c>
      <c r="W5" s="37">
        <f>BDbDT_calcs!W51</f>
        <v>187.26613112701131</v>
      </c>
      <c r="X5" s="37">
        <f>BDbDT_calcs!X51</f>
        <v>184.22789301477547</v>
      </c>
      <c r="Y5" s="37">
        <f>BDbDT_calcs!Y51</f>
        <v>181.37617124359994</v>
      </c>
      <c r="Z5" s="37">
        <f>BDbDT_calcs!Z51</f>
        <v>178.54153050363064</v>
      </c>
      <c r="AA5" s="37">
        <f>BDbDT_calcs!AA51</f>
        <v>175.83156593753492</v>
      </c>
      <c r="AB5" s="37">
        <f>BDbDT_calcs!AB51</f>
        <v>173.13269566773778</v>
      </c>
    </row>
    <row r="6" spans="1:28" x14ac:dyDescent="0.25">
      <c r="A6" s="4" t="s">
        <v>219</v>
      </c>
      <c r="B6" s="37">
        <f>BDbDT_calcs!B52</f>
        <v>265.53348120948277</v>
      </c>
      <c r="C6" s="37">
        <f>BDbDT_calcs!C52</f>
        <v>265.18558146038055</v>
      </c>
      <c r="D6" s="37">
        <f>BDbDT_calcs!D52</f>
        <v>267.58035217125928</v>
      </c>
      <c r="E6" s="37">
        <f>BDbDT_calcs!E52</f>
        <v>270.3138325914457</v>
      </c>
      <c r="F6" s="37">
        <f>BDbDT_calcs!F52</f>
        <v>273.08268992809764</v>
      </c>
      <c r="G6" s="37">
        <f>BDbDT_calcs!G52</f>
        <v>275.88921370037656</v>
      </c>
      <c r="H6" s="37">
        <f>BDbDT_calcs!H52</f>
        <v>278.73726928381586</v>
      </c>
      <c r="I6" s="37">
        <f>BDbDT_calcs!I52</f>
        <v>279.54583097002518</v>
      </c>
      <c r="J6" s="37">
        <f>BDbDT_calcs!J52</f>
        <v>280.40191006575697</v>
      </c>
      <c r="K6" s="37">
        <f>BDbDT_calcs!K52</f>
        <v>281.92538247003097</v>
      </c>
      <c r="L6" s="37">
        <f>BDbDT_calcs!L52</f>
        <v>282.85975054287468</v>
      </c>
      <c r="M6" s="37">
        <f>BDbDT_calcs!M52</f>
        <v>283.83567793798204</v>
      </c>
      <c r="N6" s="37">
        <f>BDbDT_calcs!N52</f>
        <v>284.85418185102321</v>
      </c>
      <c r="O6" s="37">
        <f>BDbDT_calcs!O52</f>
        <v>285.91632057874085</v>
      </c>
      <c r="P6" s="37">
        <f>BDbDT_calcs!P52</f>
        <v>286.70981911410763</v>
      </c>
      <c r="Q6" s="37">
        <f>BDbDT_calcs!Q52</f>
        <v>287.86095378921948</v>
      </c>
      <c r="R6" s="37">
        <f>BDbDT_calcs!R52</f>
        <v>288.43073684723493</v>
      </c>
      <c r="S6" s="37">
        <f>BDbDT_calcs!S52</f>
        <v>289.02425110187124</v>
      </c>
      <c r="T6" s="37">
        <f>BDbDT_calcs!T52</f>
        <v>289.97176469841696</v>
      </c>
      <c r="U6" s="37">
        <f>BDbDT_calcs!U52</f>
        <v>290.33475208312404</v>
      </c>
      <c r="V6" s="37">
        <f>BDbDT_calcs!V52</f>
        <v>291.04649313484362</v>
      </c>
      <c r="W6" s="37">
        <f>BDbDT_calcs!W52</f>
        <v>291.79122114912974</v>
      </c>
      <c r="X6" s="37">
        <f>BDbDT_calcs!X52</f>
        <v>292.2539009956273</v>
      </c>
      <c r="Y6" s="37">
        <f>BDbDT_calcs!Y52</f>
        <v>293.36588819953653</v>
      </c>
      <c r="Z6" s="37">
        <f>BDbDT_calcs!Z52</f>
        <v>293.87881708258732</v>
      </c>
      <c r="AA6" s="37">
        <f>BDbDT_calcs!AA52</f>
        <v>294.41132668277857</v>
      </c>
      <c r="AB6" s="37">
        <f>BDbDT_calcs!AB52</f>
        <v>294.95960986675732</v>
      </c>
    </row>
    <row r="7" spans="1:28" x14ac:dyDescent="0.25">
      <c r="A7" s="4" t="s">
        <v>220</v>
      </c>
      <c r="B7" s="37">
        <f>BDbDT_calcs!B53</f>
        <v>252.45329569208127</v>
      </c>
      <c r="C7" s="37">
        <f>BDbDT_calcs!C53</f>
        <v>253.39876310461918</v>
      </c>
      <c r="D7" s="37">
        <f>BDbDT_calcs!D53</f>
        <v>256.46664912684304</v>
      </c>
      <c r="E7" s="37">
        <f>BDbDT_calcs!E53</f>
        <v>259.90504292033842</v>
      </c>
      <c r="F7" s="37">
        <f>BDbDT_calcs!F53</f>
        <v>263.21825346584887</v>
      </c>
      <c r="G7" s="37">
        <f>BDbDT_calcs!G53</f>
        <v>266.23656679872727</v>
      </c>
      <c r="H7" s="37">
        <f>BDbDT_calcs!H53</f>
        <v>269.97941737083215</v>
      </c>
      <c r="I7" s="37">
        <f>BDbDT_calcs!I53</f>
        <v>271.07110280796996</v>
      </c>
      <c r="J7" s="37">
        <f>BDbDT_calcs!J53</f>
        <v>272.37762936814335</v>
      </c>
      <c r="K7" s="37">
        <f>BDbDT_calcs!K53</f>
        <v>273.21208652805325</v>
      </c>
      <c r="L7" s="37">
        <f>BDbDT_calcs!L53</f>
        <v>274.25497403115082</v>
      </c>
      <c r="M7" s="37">
        <f>BDbDT_calcs!M53</f>
        <v>274.83048639683324</v>
      </c>
      <c r="N7" s="37">
        <f>BDbDT_calcs!N53</f>
        <v>275.78586678027551</v>
      </c>
      <c r="O7" s="37">
        <f>BDbDT_calcs!O53</f>
        <v>276.44579195236236</v>
      </c>
      <c r="P7" s="37">
        <f>BDbDT_calcs!P53</f>
        <v>276.8114666735828</v>
      </c>
      <c r="Q7" s="37">
        <f>BDbDT_calcs!Q53</f>
        <v>276.88322773880776</v>
      </c>
      <c r="R7" s="37">
        <f>BDbDT_calcs!R53</f>
        <v>276.99817421084066</v>
      </c>
      <c r="S7" s="37">
        <f>BDbDT_calcs!S53</f>
        <v>276.6679422019194</v>
      </c>
      <c r="T7" s="37">
        <f>BDbDT_calcs!T53</f>
        <v>275.70651603755198</v>
      </c>
      <c r="U7" s="37">
        <f>BDbDT_calcs!U53</f>
        <v>275.12228903518417</v>
      </c>
      <c r="V7" s="37">
        <f>BDbDT_calcs!V53</f>
        <v>274.23872699716128</v>
      </c>
      <c r="W7" s="37">
        <f>BDbDT_calcs!W53</f>
        <v>273.38845238764935</v>
      </c>
      <c r="X7" s="37">
        <f>BDbDT_calcs!X53</f>
        <v>272.90305735275609</v>
      </c>
      <c r="Y7" s="37">
        <f>BDbDT_calcs!Y53</f>
        <v>271.9406124259711</v>
      </c>
      <c r="Z7" s="37">
        <f>BDbDT_calcs!Z53</f>
        <v>271.50414147181965</v>
      </c>
      <c r="AA7" s="37">
        <f>BDbDT_calcs!AA53</f>
        <v>270.58343203440722</v>
      </c>
      <c r="AB7" s="37">
        <f>BDbDT_calcs!AB53</f>
        <v>270.18081694892817</v>
      </c>
    </row>
    <row r="8" spans="1:28" x14ac:dyDescent="0.25">
      <c r="A8" s="4" t="s">
        <v>221</v>
      </c>
      <c r="B8" s="37">
        <f>BDbDT_calcs!B54</f>
        <v>938.42247046065847</v>
      </c>
      <c r="C8" s="37">
        <f>BDbDT_calcs!C54</f>
        <v>937.82921357038697</v>
      </c>
      <c r="D8" s="37">
        <f>BDbDT_calcs!D54</f>
        <v>947.42487654257729</v>
      </c>
      <c r="E8" s="37">
        <f>BDbDT_calcs!E54</f>
        <v>957.37926170533331</v>
      </c>
      <c r="F8" s="37">
        <f>BDbDT_calcs!F54</f>
        <v>968.20373946197594</v>
      </c>
      <c r="G8" s="37">
        <f>BDbDT_calcs!G54</f>
        <v>978.17859556836947</v>
      </c>
      <c r="H8" s="37">
        <f>BDbDT_calcs!H54</f>
        <v>988.05090575545012</v>
      </c>
      <c r="I8" s="37">
        <f>BDbDT_calcs!I54</f>
        <v>990.44315260034102</v>
      </c>
      <c r="J8" s="37">
        <f>BDbDT_calcs!J54</f>
        <v>992.50657999300347</v>
      </c>
      <c r="K8" s="37">
        <f>BDbDT_calcs!K54</f>
        <v>994.21199584620013</v>
      </c>
      <c r="L8" s="37">
        <f>BDbDT_calcs!L54</f>
        <v>995.31695171721594</v>
      </c>
      <c r="M8" s="37">
        <f>BDbDT_calcs!M54</f>
        <v>995.82740121956442</v>
      </c>
      <c r="N8" s="37">
        <f>BDbDT_calcs!N54</f>
        <v>995.74774551914584</v>
      </c>
      <c r="O8" s="37">
        <f>BDbDT_calcs!O54</f>
        <v>995.08180260328436</v>
      </c>
      <c r="P8" s="37">
        <f>BDbDT_calcs!P54</f>
        <v>993.08761772851801</v>
      </c>
      <c r="Q8" s="37">
        <f>BDbDT_calcs!Q54</f>
        <v>990.50886248985887</v>
      </c>
      <c r="R8" s="37">
        <f>BDbDT_calcs!R54</f>
        <v>986.59917833278723</v>
      </c>
      <c r="S8" s="37">
        <f>BDbDT_calcs!S54</f>
        <v>981.71000059391042</v>
      </c>
      <c r="T8" s="37">
        <f>BDbDT_calcs!T54</f>
        <v>975.98934723661137</v>
      </c>
      <c r="U8" s="37">
        <f>BDbDT_calcs!U54</f>
        <v>969.42963932456871</v>
      </c>
      <c r="V8" s="37">
        <f>BDbDT_calcs!V54</f>
        <v>963.00689873379702</v>
      </c>
      <c r="W8" s="37">
        <f>BDbDT_calcs!W54</f>
        <v>955.47225624153214</v>
      </c>
      <c r="X8" s="37">
        <f>BDbDT_calcs!X54</f>
        <v>949.27798148030217</v>
      </c>
      <c r="Y8" s="37">
        <f>BDbDT_calcs!Y54</f>
        <v>942.93301122019557</v>
      </c>
      <c r="Z8" s="37">
        <f>BDbDT_calcs!Z54</f>
        <v>936.66984864469498</v>
      </c>
      <c r="AA8" s="37">
        <f>BDbDT_calcs!AA54</f>
        <v>930.7207162438641</v>
      </c>
      <c r="AB8" s="37">
        <f>BDbDT_calcs!AB54</f>
        <v>925.31812035046983</v>
      </c>
    </row>
    <row r="9" spans="1:28" x14ac:dyDescent="0.25">
      <c r="A9" s="4" t="s">
        <v>222</v>
      </c>
      <c r="B9" s="37">
        <f>BDbDT_calcs!B55</f>
        <v>1125.9105721628957</v>
      </c>
      <c r="C9" s="37">
        <f>BDbDT_calcs!C55</f>
        <v>1109.5606493866642</v>
      </c>
      <c r="D9" s="37">
        <f>BDbDT_calcs!D55</f>
        <v>1104.4168214049037</v>
      </c>
      <c r="E9" s="37">
        <f>BDbDT_calcs!E55</f>
        <v>1099.0492208508047</v>
      </c>
      <c r="F9" s="37">
        <f>BDbDT_calcs!F55</f>
        <v>1093.0302824269893</v>
      </c>
      <c r="G9" s="37">
        <f>BDbDT_calcs!G55</f>
        <v>1087.1435227329209</v>
      </c>
      <c r="H9" s="37">
        <f>BDbDT_calcs!H55</f>
        <v>1081.0499426117608</v>
      </c>
      <c r="I9" s="37">
        <f>BDbDT_calcs!I55</f>
        <v>1066.8878856805686</v>
      </c>
      <c r="J9" s="37">
        <f>BDbDT_calcs!J55</f>
        <v>1052.7842046457631</v>
      </c>
      <c r="K9" s="37">
        <f>BDbDT_calcs!K55</f>
        <v>1038.6101892634338</v>
      </c>
      <c r="L9" s="37">
        <f>BDbDT_calcs!L55</f>
        <v>1024.5394504968249</v>
      </c>
      <c r="M9" s="37">
        <f>BDbDT_calcs!M55</f>
        <v>1010.4811565497122</v>
      </c>
      <c r="N9" s="37">
        <f>BDbDT_calcs!N55</f>
        <v>996.60620780188174</v>
      </c>
      <c r="O9" s="37">
        <f>BDbDT_calcs!O55</f>
        <v>982.56022173629833</v>
      </c>
      <c r="P9" s="37">
        <f>BDbDT_calcs!P55</f>
        <v>968.60011800710436</v>
      </c>
      <c r="Q9" s="37">
        <f>BDbDT_calcs!Q55</f>
        <v>954.71809625799995</v>
      </c>
      <c r="R9" s="37">
        <f>BDbDT_calcs!R55</f>
        <v>940.99267308833612</v>
      </c>
      <c r="S9" s="37">
        <f>BDbDT_calcs!S55</f>
        <v>926.08513634661676</v>
      </c>
      <c r="T9" s="37">
        <f>BDbDT_calcs!T55</f>
        <v>911.52359261568222</v>
      </c>
      <c r="U9" s="37">
        <f>BDbDT_calcs!U55</f>
        <v>897.46755780079661</v>
      </c>
      <c r="V9" s="37">
        <f>BDbDT_calcs!V55</f>
        <v>883.72566011204128</v>
      </c>
      <c r="W9" s="37">
        <f>BDbDT_calcs!W55</f>
        <v>870.71519916886712</v>
      </c>
      <c r="X9" s="37">
        <f>BDbDT_calcs!X55</f>
        <v>857.9839228285955</v>
      </c>
      <c r="Y9" s="37">
        <f>BDbDT_calcs!Y55</f>
        <v>845.78068903708447</v>
      </c>
      <c r="Z9" s="37">
        <f>BDbDT_calcs!Z55</f>
        <v>834.00356040833151</v>
      </c>
      <c r="AA9" s="37">
        <f>BDbDT_calcs!AA55</f>
        <v>822.55137497975386</v>
      </c>
      <c r="AB9" s="37">
        <f>BDbDT_calcs!AB55</f>
        <v>811.49757685065822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175692.40298247949</v>
      </c>
      <c r="C2" s="37">
        <f>BDbDT_calcs!C58</f>
        <v>178037.92271194828</v>
      </c>
      <c r="D2" s="37">
        <f>BDbDT_calcs!D58</f>
        <v>182200.17837826567</v>
      </c>
      <c r="E2" s="37">
        <f>BDbDT_calcs!E58</f>
        <v>186396.93128024708</v>
      </c>
      <c r="F2" s="37">
        <f>BDbDT_calcs!F58</f>
        <v>190644.16559234675</v>
      </c>
      <c r="G2" s="37">
        <f>BDbDT_calcs!G58</f>
        <v>194947.76535212566</v>
      </c>
      <c r="H2" s="37">
        <f>BDbDT_calcs!H58</f>
        <v>199294.64902230707</v>
      </c>
      <c r="I2" s="37">
        <f>BDbDT_calcs!I58</f>
        <v>202165.02983728636</v>
      </c>
      <c r="J2" s="37">
        <f>BDbDT_calcs!J58</f>
        <v>205002.59216789776</v>
      </c>
      <c r="K2" s="37">
        <f>BDbDT_calcs!K58</f>
        <v>207804.04857285929</v>
      </c>
      <c r="L2" s="37">
        <f>BDbDT_calcs!L58</f>
        <v>210552.10734056306</v>
      </c>
      <c r="M2" s="37">
        <f>BDbDT_calcs!M58</f>
        <v>213243.53293720214</v>
      </c>
      <c r="N2" s="37">
        <f>BDbDT_calcs!N58</f>
        <v>215856.81023766918</v>
      </c>
      <c r="O2" s="37">
        <f>BDbDT_calcs!O58</f>
        <v>218384.07908806129</v>
      </c>
      <c r="P2" s="37">
        <f>BDbDT_calcs!P58</f>
        <v>220797.55796476206</v>
      </c>
      <c r="Q2" s="37">
        <f>BDbDT_calcs!Q58</f>
        <v>223092.96877337885</v>
      </c>
      <c r="R2" s="37">
        <f>BDbDT_calcs!R58</f>
        <v>225236.61608721799</v>
      </c>
      <c r="S2" s="37">
        <f>BDbDT_calcs!S58</f>
        <v>226969.10948847714</v>
      </c>
      <c r="T2" s="37">
        <f>BDbDT_calcs!T58</f>
        <v>228536.83568254439</v>
      </c>
      <c r="U2" s="37">
        <f>BDbDT_calcs!U58</f>
        <v>229952.0627814492</v>
      </c>
      <c r="V2" s="37">
        <f>BDbDT_calcs!V58</f>
        <v>231159.41320125118</v>
      </c>
      <c r="W2" s="37">
        <f>BDbDT_calcs!W58</f>
        <v>232172.24611425874</v>
      </c>
      <c r="X2" s="37">
        <f>BDbDT_calcs!X58</f>
        <v>232977.42370276936</v>
      </c>
      <c r="Y2" s="37">
        <f>BDbDT_calcs!Y58</f>
        <v>233670.64728236143</v>
      </c>
      <c r="Z2" s="37">
        <f>BDbDT_calcs!Z58</f>
        <v>234166.09544310978</v>
      </c>
      <c r="AA2" s="37">
        <f>BDbDT_calcs!AA58</f>
        <v>234477.58763327802</v>
      </c>
      <c r="AB2" s="37">
        <f>BDbDT_calcs!AB58</f>
        <v>234625.7473689304</v>
      </c>
    </row>
    <row r="3" spans="1:28" x14ac:dyDescent="0.25">
      <c r="A3" s="4" t="s">
        <v>216</v>
      </c>
      <c r="B3" s="37">
        <f>BDbDT_calcs!B59</f>
        <v>163035.16377723825</v>
      </c>
      <c r="C3" s="37">
        <f>BDbDT_calcs!C59</f>
        <v>164783.79513819306</v>
      </c>
      <c r="D3" s="37">
        <f>BDbDT_calcs!D59</f>
        <v>168225.57404093264</v>
      </c>
      <c r="E3" s="37">
        <f>BDbDT_calcs!E59</f>
        <v>171781.64157018514</v>
      </c>
      <c r="F3" s="37">
        <f>BDbDT_calcs!F59</f>
        <v>175502.51123355515</v>
      </c>
      <c r="G3" s="37">
        <f>BDbDT_calcs!G59</f>
        <v>179400.10585332871</v>
      </c>
      <c r="H3" s="37">
        <f>BDbDT_calcs!H59</f>
        <v>183493.87686680129</v>
      </c>
      <c r="I3" s="37">
        <f>BDbDT_calcs!I59</f>
        <v>186379.15867041823</v>
      </c>
      <c r="J3" s="37">
        <f>BDbDT_calcs!J59</f>
        <v>189401.40979629883</v>
      </c>
      <c r="K3" s="37">
        <f>BDbDT_calcs!K59</f>
        <v>192512.26879687613</v>
      </c>
      <c r="L3" s="37">
        <f>BDbDT_calcs!L59</f>
        <v>195707.88939226719</v>
      </c>
      <c r="M3" s="37">
        <f>BDbDT_calcs!M59</f>
        <v>198976.50831594627</v>
      </c>
      <c r="N3" s="37">
        <f>BDbDT_calcs!N59</f>
        <v>202275.84385974475</v>
      </c>
      <c r="O3" s="37">
        <f>BDbDT_calcs!O59</f>
        <v>205565.71326015232</v>
      </c>
      <c r="P3" s="37">
        <f>BDbDT_calcs!P59</f>
        <v>208837.42301569181</v>
      </c>
      <c r="Q3" s="37">
        <f>BDbDT_calcs!Q59</f>
        <v>212033.7228191632</v>
      </c>
      <c r="R3" s="37">
        <f>BDbDT_calcs!R59</f>
        <v>215138.73486162169</v>
      </c>
      <c r="S3" s="37">
        <f>BDbDT_calcs!S59</f>
        <v>217862.59208521599</v>
      </c>
      <c r="T3" s="37">
        <f>BDbDT_calcs!T59</f>
        <v>220435.36421071668</v>
      </c>
      <c r="U3" s="37">
        <f>BDbDT_calcs!U59</f>
        <v>222836.93974542985</v>
      </c>
      <c r="V3" s="37">
        <f>BDbDT_calcs!V59</f>
        <v>225017.02663860586</v>
      </c>
      <c r="W3" s="37">
        <f>BDbDT_calcs!W59</f>
        <v>226930.33726014037</v>
      </c>
      <c r="X3" s="37">
        <f>BDbDT_calcs!X59</f>
        <v>228588.78872003549</v>
      </c>
      <c r="Y3" s="37">
        <f>BDbDT_calcs!Y59</f>
        <v>230098.61912269023</v>
      </c>
      <c r="Z3" s="37">
        <f>BDbDT_calcs!Z59</f>
        <v>231360.47224482306</v>
      </c>
      <c r="AA3" s="37">
        <f>BDbDT_calcs!AA59</f>
        <v>232338.18698252289</v>
      </c>
      <c r="AB3" s="37">
        <f>BDbDT_calcs!AB59</f>
        <v>233035.11744740256</v>
      </c>
    </row>
    <row r="4" spans="1:28" x14ac:dyDescent="0.25">
      <c r="A4" s="4" t="s">
        <v>217</v>
      </c>
      <c r="B4" s="37">
        <f>BDbDT_calcs!B60</f>
        <v>254873.38375250992</v>
      </c>
      <c r="C4" s="37">
        <f>BDbDT_calcs!C60</f>
        <v>257899.77172210076</v>
      </c>
      <c r="D4" s="37">
        <f>BDbDT_calcs!D60</f>
        <v>263545.24625718093</v>
      </c>
      <c r="E4" s="37">
        <f>BDbDT_calcs!E60</f>
        <v>269277.06235372165</v>
      </c>
      <c r="F4" s="37">
        <f>BDbDT_calcs!F60</f>
        <v>275151.5240499322</v>
      </c>
      <c r="G4" s="37">
        <f>BDbDT_calcs!G60</f>
        <v>281171.71565179341</v>
      </c>
      <c r="H4" s="37">
        <f>BDbDT_calcs!H60</f>
        <v>287350.01411150896</v>
      </c>
      <c r="I4" s="37">
        <f>BDbDT_calcs!I60</f>
        <v>291486.1409252052</v>
      </c>
      <c r="J4" s="37">
        <f>BDbDT_calcs!J60</f>
        <v>295679.04512557329</v>
      </c>
      <c r="K4" s="37">
        <f>BDbDT_calcs!K60</f>
        <v>299876.83877309458</v>
      </c>
      <c r="L4" s="37">
        <f>BDbDT_calcs!L60</f>
        <v>304064.12371590687</v>
      </c>
      <c r="M4" s="37">
        <f>BDbDT_calcs!M60</f>
        <v>308229.61677466432</v>
      </c>
      <c r="N4" s="37">
        <f>BDbDT_calcs!N60</f>
        <v>312317.9497691599</v>
      </c>
      <c r="O4" s="37">
        <f>BDbDT_calcs!O60</f>
        <v>316298.64742671815</v>
      </c>
      <c r="P4" s="37">
        <f>BDbDT_calcs!P60</f>
        <v>320131.45897771895</v>
      </c>
      <c r="Q4" s="37">
        <f>BDbDT_calcs!Q60</f>
        <v>323773.76403665618</v>
      </c>
      <c r="R4" s="37">
        <f>BDbDT_calcs!R60</f>
        <v>327184.5027295833</v>
      </c>
      <c r="S4" s="37">
        <f>BDbDT_calcs!S60</f>
        <v>329955.56418915768</v>
      </c>
      <c r="T4" s="37">
        <f>BDbDT_calcs!T60</f>
        <v>332443.03694290359</v>
      </c>
      <c r="U4" s="37">
        <f>BDbDT_calcs!U60</f>
        <v>334646.29271808779</v>
      </c>
      <c r="V4" s="37">
        <f>BDbDT_calcs!V60</f>
        <v>336475.88055839372</v>
      </c>
      <c r="W4" s="37">
        <f>BDbDT_calcs!W60</f>
        <v>337905.99767497327</v>
      </c>
      <c r="X4" s="37">
        <f>BDbDT_calcs!X60</f>
        <v>338943.17537124344</v>
      </c>
      <c r="Y4" s="37">
        <f>BDbDT_calcs!Y60</f>
        <v>339759.69754495216</v>
      </c>
      <c r="Z4" s="37">
        <f>BDbDT_calcs!Z60</f>
        <v>340202.64193633979</v>
      </c>
      <c r="AA4" s="37">
        <f>BDbDT_calcs!AA60</f>
        <v>340250.00588238804</v>
      </c>
      <c r="AB4" s="37">
        <f>BDbDT_calcs!AB60</f>
        <v>339929.77329096367</v>
      </c>
    </row>
    <row r="5" spans="1:28" x14ac:dyDescent="0.25">
      <c r="A5" s="4" t="s">
        <v>218</v>
      </c>
      <c r="B5" s="37">
        <f>BDbDT_calcs!B61</f>
        <v>19849.969087774149</v>
      </c>
      <c r="C5" s="37">
        <f>BDbDT_calcs!C61</f>
        <v>20053.151046791416</v>
      </c>
      <c r="D5" s="37">
        <f>BDbDT_calcs!D61</f>
        <v>20463.241372324057</v>
      </c>
      <c r="E5" s="37">
        <f>BDbDT_calcs!E61</f>
        <v>20878.858702710382</v>
      </c>
      <c r="F5" s="37">
        <f>BDbDT_calcs!F61</f>
        <v>21306.94807031233</v>
      </c>
      <c r="G5" s="37">
        <f>BDbDT_calcs!G61</f>
        <v>21748.31209065361</v>
      </c>
      <c r="H5" s="37">
        <f>BDbDT_calcs!H61</f>
        <v>22202.663341581716</v>
      </c>
      <c r="I5" s="37">
        <f>BDbDT_calcs!I61</f>
        <v>22503.348290328526</v>
      </c>
      <c r="J5" s="37">
        <f>BDbDT_calcs!J61</f>
        <v>22813.242153898689</v>
      </c>
      <c r="K5" s="37">
        <f>BDbDT_calcs!K61</f>
        <v>23130.950201658074</v>
      </c>
      <c r="L5" s="37">
        <f>BDbDT_calcs!L61</f>
        <v>23456.567184198895</v>
      </c>
      <c r="M5" s="37">
        <f>BDbDT_calcs!M61</f>
        <v>23788.954841197443</v>
      </c>
      <c r="N5" s="37">
        <f>BDbDT_calcs!N61</f>
        <v>24129.308820766611</v>
      </c>
      <c r="O5" s="37">
        <f>BDbDT_calcs!O61</f>
        <v>24471.585564627028</v>
      </c>
      <c r="P5" s="37">
        <f>BDbDT_calcs!P61</f>
        <v>24818.533065669362</v>
      </c>
      <c r="Q5" s="37">
        <f>BDbDT_calcs!Q61</f>
        <v>25165.161108784116</v>
      </c>
      <c r="R5" s="37">
        <f>BDbDT_calcs!R61</f>
        <v>25510.908111495541</v>
      </c>
      <c r="S5" s="37">
        <f>BDbDT_calcs!S61</f>
        <v>25826.148794546683</v>
      </c>
      <c r="T5" s="37">
        <f>BDbDT_calcs!T61</f>
        <v>26134.990644467282</v>
      </c>
      <c r="U5" s="37">
        <f>BDbDT_calcs!U61</f>
        <v>26437.828372455246</v>
      </c>
      <c r="V5" s="37">
        <f>BDbDT_calcs!V61</f>
        <v>26731.564339821172</v>
      </c>
      <c r="W5" s="37">
        <f>BDbDT_calcs!W61</f>
        <v>27011.213550005778</v>
      </c>
      <c r="X5" s="37">
        <f>BDbDT_calcs!X61</f>
        <v>27274.922943769583</v>
      </c>
      <c r="Y5" s="37">
        <f>BDbDT_calcs!Y61</f>
        <v>27529.536594774927</v>
      </c>
      <c r="Z5" s="37">
        <f>BDbDT_calcs!Z61</f>
        <v>27767.414179402065</v>
      </c>
      <c r="AA5" s="37">
        <f>BDbDT_calcs!AA61</f>
        <v>27988.25784765866</v>
      </c>
      <c r="AB5" s="37">
        <f>BDbDT_calcs!AB61</f>
        <v>28189.100436483237</v>
      </c>
    </row>
    <row r="6" spans="1:28" x14ac:dyDescent="0.25">
      <c r="A6" s="4" t="s">
        <v>219</v>
      </c>
      <c r="B6" s="37">
        <f>BDbDT_calcs!B62</f>
        <v>37579.618218140655</v>
      </c>
      <c r="C6" s="37">
        <f>BDbDT_calcs!C62</f>
        <v>38280.643623728683</v>
      </c>
      <c r="D6" s="37">
        <f>BDbDT_calcs!D62</f>
        <v>39404.987548468329</v>
      </c>
      <c r="E6" s="37">
        <f>BDbDT_calcs!E62</f>
        <v>40600.144538973043</v>
      </c>
      <c r="F6" s="37">
        <f>BDbDT_calcs!F62</f>
        <v>41879.337138367504</v>
      </c>
      <c r="G6" s="37">
        <f>BDbDT_calcs!G62</f>
        <v>43243.358710788481</v>
      </c>
      <c r="H6" s="37">
        <f>BDbDT_calcs!H62</f>
        <v>44696.768029109102</v>
      </c>
      <c r="I6" s="37">
        <f>BDbDT_calcs!I62</f>
        <v>45899.408429135852</v>
      </c>
      <c r="J6" s="37">
        <f>BDbDT_calcs!J62</f>
        <v>47154.097190362249</v>
      </c>
      <c r="K6" s="37">
        <f>BDbDT_calcs!K62</f>
        <v>48451.564226103714</v>
      </c>
      <c r="L6" s="37">
        <f>BDbDT_calcs!L62</f>
        <v>49804.350061457568</v>
      </c>
      <c r="M6" s="37">
        <f>BDbDT_calcs!M62</f>
        <v>51203.015408261883</v>
      </c>
      <c r="N6" s="37">
        <f>BDbDT_calcs!N62</f>
        <v>52641.303502818802</v>
      </c>
      <c r="O6" s="37">
        <f>BDbDT_calcs!O62</f>
        <v>54110.211701904591</v>
      </c>
      <c r="P6" s="37">
        <f>BDbDT_calcs!P62</f>
        <v>55605.115802882458</v>
      </c>
      <c r="Q6" s="37">
        <f>BDbDT_calcs!Q62</f>
        <v>57115.680832215126</v>
      </c>
      <c r="R6" s="37">
        <f>BDbDT_calcs!R62</f>
        <v>58636.84260727642</v>
      </c>
      <c r="S6" s="37">
        <f>BDbDT_calcs!S62</f>
        <v>60089.547868003319</v>
      </c>
      <c r="T6" s="37">
        <f>BDbDT_calcs!T62</f>
        <v>61540.810625908816</v>
      </c>
      <c r="U6" s="37">
        <f>BDbDT_calcs!U62</f>
        <v>62977.381143048944</v>
      </c>
      <c r="V6" s="37">
        <f>BDbDT_calcs!V62</f>
        <v>64401.359510354676</v>
      </c>
      <c r="W6" s="37">
        <f>BDbDT_calcs!W62</f>
        <v>65808.418375793699</v>
      </c>
      <c r="X6" s="37">
        <f>BDbDT_calcs!X62</f>
        <v>67204.080211480119</v>
      </c>
      <c r="Y6" s="37">
        <f>BDbDT_calcs!Y62</f>
        <v>68583.842645604687</v>
      </c>
      <c r="Z6" s="37">
        <f>BDbDT_calcs!Z62</f>
        <v>69949.689106035396</v>
      </c>
      <c r="AA6" s="37">
        <f>BDbDT_calcs!AA62</f>
        <v>71300.702975778098</v>
      </c>
      <c r="AB6" s="37">
        <f>BDbDT_calcs!AB62</f>
        <v>72631.550550161555</v>
      </c>
    </row>
    <row r="7" spans="1:28" x14ac:dyDescent="0.25">
      <c r="A7" s="4" t="s">
        <v>220</v>
      </c>
      <c r="B7" s="37">
        <f>BDbDT_calcs!B63</f>
        <v>11131.394229616652</v>
      </c>
      <c r="C7" s="37">
        <f>BDbDT_calcs!C63</f>
        <v>11323.167589991059</v>
      </c>
      <c r="D7" s="37">
        <f>BDbDT_calcs!D63</f>
        <v>11641.855011727319</v>
      </c>
      <c r="E7" s="37">
        <f>BDbDT_calcs!E63</f>
        <v>11985.756190514356</v>
      </c>
      <c r="F7" s="37">
        <f>BDbDT_calcs!F63</f>
        <v>12335.410414181199</v>
      </c>
      <c r="G7" s="37">
        <f>BDbDT_calcs!G63</f>
        <v>12708.607027749038</v>
      </c>
      <c r="H7" s="37">
        <f>BDbDT_calcs!H63</f>
        <v>13094.171969104129</v>
      </c>
      <c r="I7" s="37">
        <f>BDbDT_calcs!I63</f>
        <v>13389.892775505661</v>
      </c>
      <c r="J7" s="37">
        <f>BDbDT_calcs!J63</f>
        <v>13692.36403134574</v>
      </c>
      <c r="K7" s="37">
        <f>BDbDT_calcs!K63</f>
        <v>14016.35629266965</v>
      </c>
      <c r="L7" s="37">
        <f>BDbDT_calcs!L63</f>
        <v>14348.444644450732</v>
      </c>
      <c r="M7" s="37">
        <f>BDbDT_calcs!M63</f>
        <v>14693.029745360789</v>
      </c>
      <c r="N7" s="37">
        <f>BDbDT_calcs!N63</f>
        <v>15043.679668125287</v>
      </c>
      <c r="O7" s="37">
        <f>BDbDT_calcs!O63</f>
        <v>15401.593840952568</v>
      </c>
      <c r="P7" s="37">
        <f>BDbDT_calcs!P63</f>
        <v>15770.826951288342</v>
      </c>
      <c r="Q7" s="37">
        <f>BDbDT_calcs!Q63</f>
        <v>16149.328149504432</v>
      </c>
      <c r="R7" s="37">
        <f>BDbDT_calcs!R63</f>
        <v>16534.024392557065</v>
      </c>
      <c r="S7" s="37">
        <f>BDbDT_calcs!S63</f>
        <v>16900.502196515907</v>
      </c>
      <c r="T7" s="37">
        <f>BDbDT_calcs!T63</f>
        <v>17272.053811473379</v>
      </c>
      <c r="U7" s="37">
        <f>BDbDT_calcs!U63</f>
        <v>17644.150712452032</v>
      </c>
      <c r="V7" s="37">
        <f>BDbDT_calcs!V63</f>
        <v>18011.703841526789</v>
      </c>
      <c r="W7" s="37">
        <f>BDbDT_calcs!W63</f>
        <v>18385.709281119034</v>
      </c>
      <c r="X7" s="37">
        <f>BDbDT_calcs!X63</f>
        <v>18757.301836830669</v>
      </c>
      <c r="Y7" s="37">
        <f>BDbDT_calcs!Y63</f>
        <v>19131.802172907213</v>
      </c>
      <c r="Z7" s="37">
        <f>BDbDT_calcs!Z63</f>
        <v>19501.845655280657</v>
      </c>
      <c r="AA7" s="37">
        <f>BDbDT_calcs!AA63</f>
        <v>19870.279243151228</v>
      </c>
      <c r="AB7" s="37">
        <f>BDbDT_calcs!AB63</f>
        <v>20240.096435950723</v>
      </c>
    </row>
    <row r="8" spans="1:28" x14ac:dyDescent="0.25">
      <c r="A8" s="4" t="s">
        <v>221</v>
      </c>
      <c r="B8" s="37">
        <f>BDbDT_calcs!B64</f>
        <v>61101.295401589712</v>
      </c>
      <c r="C8" s="37">
        <f>BDbDT_calcs!C64</f>
        <v>62953.700766475318</v>
      </c>
      <c r="D8" s="37">
        <f>BDbDT_calcs!D64</f>
        <v>65499.943780935959</v>
      </c>
      <c r="E8" s="37">
        <f>BDbDT_calcs!E64</f>
        <v>68126.360848222292</v>
      </c>
      <c r="F8" s="37">
        <f>BDbDT_calcs!F64</f>
        <v>70834.88333812989</v>
      </c>
      <c r="G8" s="37">
        <f>BDbDT_calcs!G64</f>
        <v>73635.414846466505</v>
      </c>
      <c r="H8" s="37">
        <f>BDbDT_calcs!H64</f>
        <v>76553.563989056987</v>
      </c>
      <c r="I8" s="37">
        <f>BDbDT_calcs!I64</f>
        <v>79002.759236455953</v>
      </c>
      <c r="J8" s="37">
        <f>BDbDT_calcs!J64</f>
        <v>81518.671564881253</v>
      </c>
      <c r="K8" s="37">
        <f>BDbDT_calcs!K64</f>
        <v>84120.344195503887</v>
      </c>
      <c r="L8" s="37">
        <f>BDbDT_calcs!L64</f>
        <v>86822.378113587358</v>
      </c>
      <c r="M8" s="37">
        <f>BDbDT_calcs!M64</f>
        <v>89603.843935533951</v>
      </c>
      <c r="N8" s="37">
        <f>BDbDT_calcs!N64</f>
        <v>92488.357350258128</v>
      </c>
      <c r="O8" s="37">
        <f>BDbDT_calcs!O64</f>
        <v>95460.869233734091</v>
      </c>
      <c r="P8" s="37">
        <f>BDbDT_calcs!P64</f>
        <v>98517.515184044882</v>
      </c>
      <c r="Q8" s="37">
        <f>BDbDT_calcs!Q64</f>
        <v>101662.99395492136</v>
      </c>
      <c r="R8" s="37">
        <f>BDbDT_calcs!R64</f>
        <v>104877.15309749241</v>
      </c>
      <c r="S8" s="37">
        <f>BDbDT_calcs!S64</f>
        <v>108035.62611679612</v>
      </c>
      <c r="T8" s="37">
        <f>BDbDT_calcs!T64</f>
        <v>111253.88373128722</v>
      </c>
      <c r="U8" s="37">
        <f>BDbDT_calcs!U64</f>
        <v>114524.62288051302</v>
      </c>
      <c r="V8" s="37">
        <f>BDbDT_calcs!V64</f>
        <v>117832.69467426615</v>
      </c>
      <c r="W8" s="37">
        <f>BDbDT_calcs!W64</f>
        <v>121161.92453799314</v>
      </c>
      <c r="X8" s="37">
        <f>BDbDT_calcs!X64</f>
        <v>124527.02530771446</v>
      </c>
      <c r="Y8" s="37">
        <f>BDbDT_calcs!Y64</f>
        <v>127902.97272137443</v>
      </c>
      <c r="Z8" s="37">
        <f>BDbDT_calcs!Z64</f>
        <v>131288.00167329033</v>
      </c>
      <c r="AA8" s="37">
        <f>BDbDT_calcs!AA64</f>
        <v>134652.55529803957</v>
      </c>
      <c r="AB8" s="37">
        <f>BDbDT_calcs!AB64</f>
        <v>137992.80455192502</v>
      </c>
    </row>
    <row r="9" spans="1:28" x14ac:dyDescent="0.25">
      <c r="A9" s="4" t="s">
        <v>222</v>
      </c>
      <c r="B9" s="37">
        <f>BDbDT_calcs!B65</f>
        <v>227745.51156360263</v>
      </c>
      <c r="C9" s="37">
        <f>BDbDT_calcs!C65</f>
        <v>230103.56036282107</v>
      </c>
      <c r="D9" s="37">
        <f>BDbDT_calcs!D65</f>
        <v>234800.13659109437</v>
      </c>
      <c r="E9" s="37">
        <f>BDbDT_calcs!E65</f>
        <v>239578.34423074103</v>
      </c>
      <c r="F9" s="37">
        <f>BDbDT_calcs!F65</f>
        <v>244486.61173029471</v>
      </c>
      <c r="G9" s="37">
        <f>BDbDT_calcs!G65</f>
        <v>249534.58394871259</v>
      </c>
      <c r="H9" s="37">
        <f>BDbDT_calcs!H65</f>
        <v>254718.07346442676</v>
      </c>
      <c r="I9" s="37">
        <f>BDbDT_calcs!I65</f>
        <v>258091.64663278335</v>
      </c>
      <c r="J9" s="37">
        <f>BDbDT_calcs!J65</f>
        <v>261519.15398338981</v>
      </c>
      <c r="K9" s="37">
        <f>BDbDT_calcs!K65</f>
        <v>264955.65548520559</v>
      </c>
      <c r="L9" s="37">
        <f>BDbDT_calcs!L65</f>
        <v>268380.50669210643</v>
      </c>
      <c r="M9" s="37">
        <f>BDbDT_calcs!M65</f>
        <v>271790.00472353835</v>
      </c>
      <c r="N9" s="37">
        <f>BDbDT_calcs!N65</f>
        <v>275128.76786586974</v>
      </c>
      <c r="O9" s="37">
        <f>BDbDT_calcs!O65</f>
        <v>278366.58645072073</v>
      </c>
      <c r="P9" s="37">
        <f>BDbDT_calcs!P65</f>
        <v>281478.06111147767</v>
      </c>
      <c r="Q9" s="37">
        <f>BDbDT_calcs!Q65</f>
        <v>284415.999124058</v>
      </c>
      <c r="R9" s="37">
        <f>BDbDT_calcs!R65</f>
        <v>287151.09480910777</v>
      </c>
      <c r="S9" s="37">
        <f>BDbDT_calcs!S65</f>
        <v>289322.72994690284</v>
      </c>
      <c r="T9" s="37">
        <f>BDbDT_calcs!T65</f>
        <v>291240.85252359748</v>
      </c>
      <c r="U9" s="37">
        <f>BDbDT_calcs!U65</f>
        <v>292902.11357913614</v>
      </c>
      <c r="V9" s="37">
        <f>BDbDT_calcs!V65</f>
        <v>294234.09172276856</v>
      </c>
      <c r="W9" s="37">
        <f>BDbDT_calcs!W65</f>
        <v>295218.7144263612</v>
      </c>
      <c r="X9" s="37">
        <f>BDbDT_calcs!X65</f>
        <v>295850.01279332227</v>
      </c>
      <c r="Y9" s="37">
        <f>BDbDT_calcs!Y65</f>
        <v>296285.5061486208</v>
      </c>
      <c r="Z9" s="37">
        <f>BDbDT_calcs!Z65</f>
        <v>296389.44272935338</v>
      </c>
      <c r="AA9" s="37">
        <f>BDbDT_calcs!AA65</f>
        <v>296155.56406259176</v>
      </c>
      <c r="AB9" s="37">
        <f>BDbDT_calcs!AB65</f>
        <v>295602.79026484193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2026-08-17T20:28:30Z</dcterms:modified>
</cp:coreProperties>
</file>