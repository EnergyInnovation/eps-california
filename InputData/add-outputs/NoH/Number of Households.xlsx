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CA\add-outputs\NoH\"/>
    </mc:Choice>
  </mc:AlternateContent>
  <xr:revisionPtr revIDLastSave="0" documentId="8_{1B07B4B0-7D66-4446-BB82-50E19298339D}"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B2" i="3"/>
  <c r="J2" i="3"/>
  <c r="L2" i="3"/>
  <c r="N2" i="3"/>
  <c r="P2" i="3"/>
  <c r="S2" i="3"/>
  <c r="T2" i="3"/>
  <c r="V2" i="3"/>
  <c r="X2" i="3"/>
  <c r="D2" i="3"/>
  <c r="Z2" i="3"/>
  <c r="B2" i="3"/>
  <c r="K2" i="3"/>
  <c r="M2" i="3"/>
  <c r="O2" i="3"/>
  <c r="Q2" i="3"/>
  <c r="U2" i="3"/>
  <c r="W2" i="3"/>
  <c r="E2" i="3"/>
  <c r="AA2" i="3"/>
  <c r="F2" i="3"/>
  <c r="R2" i="3"/>
  <c r="G2" i="3"/>
  <c r="AC2" i="3"/>
  <c r="AE2" i="3"/>
  <c r="H2" i="3"/>
  <c r="AD2" i="3"/>
  <c r="I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<sst xmlns="http://schemas.openxmlformats.org/spreadsheetml/2006/main" count="1069" uniqueCount="448">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</sst>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334</v>
      </c>
      <c r="C1" s="68">
        <v>46185</v>
      </c>
      <c r="H1" t="s">
        <v>324</v>
      </c>
      <c r="I1" t="s">
        <v>325</v>
      </c>
    </row>
    <row r="2" spans="1:9" x14ac:dyDescent="0.25">
      <c r="B2" t="str">
        <f>VLOOKUP(B1,H2:I52,2)</f>
        <v>CA</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12732270.570338221</v>
      </c>
      <c r="C2">
        <f>SUMIFS('state calcs'!C62:C112,'state calcs'!$A$62:$A$112,About!$B$2)</f>
        <v>12919116.759187281</v>
      </c>
      <c r="D2">
        <f>SUMIFS('state calcs'!D62:D112,'state calcs'!$A$62:$A$112,About!$B$2)</f>
        <v>13029417.513961164</v>
      </c>
      <c r="E2">
        <f>SUMIFS('state calcs'!E62:E112,'state calcs'!$A$62:$A$112,About!$B$2)</f>
        <v>13139838.331773408</v>
      </c>
      <c r="F2">
        <f>SUMIFS('state calcs'!F62:F112,'state calcs'!$A$62:$A$112,About!$B$2)</f>
        <v>13252905.417614127</v>
      </c>
      <c r="G2">
        <f>SUMIFS('state calcs'!G62:G112,'state calcs'!$A$62:$A$112,About!$B$2)</f>
        <v>13365529.053760417</v>
      </c>
      <c r="H2">
        <f>SUMIFS('state calcs'!H62:H112,'state calcs'!$A$62:$A$112,About!$B$2)</f>
        <v>13478666.176892037</v>
      </c>
      <c r="I2">
        <f>SUMIFS('state calcs'!I62:I112,'state calcs'!$A$62:$A$112,About!$B$2)</f>
        <v>13592564.899823368</v>
      </c>
      <c r="J2">
        <f>SUMIFS('state calcs'!J62:J112,'state calcs'!$A$62:$A$112,About!$B$2)</f>
        <v>13705414.571858484</v>
      </c>
      <c r="K2">
        <f>SUMIFS('state calcs'!K62:K112,'state calcs'!$A$62:$A$112,About!$B$2)</f>
        <v>13815022.105747784</v>
      </c>
      <c r="L2">
        <f>SUMIFS('state calcs'!L62:L112,'state calcs'!$A$62:$A$112,About!$B$2)</f>
        <v>13913292.255353482</v>
      </c>
      <c r="M2">
        <f>SUMIFS('state calcs'!M62:M112,'state calcs'!$A$62:$A$112,About!$B$2)</f>
        <v>14010489.185668891</v>
      </c>
      <c r="N2">
        <f>SUMIFS('state calcs'!N62:N112,'state calcs'!$A$62:$A$112,About!$B$2)</f>
        <v>14104948.16593085</v>
      </c>
      <c r="O2">
        <f>SUMIFS('state calcs'!O62:O112,'state calcs'!$A$62:$A$112,About!$B$2)</f>
        <v>14195651.288513295</v>
      </c>
      <c r="P2">
        <f>SUMIFS('state calcs'!P62:P112,'state calcs'!$A$62:$A$112,About!$B$2)</f>
        <v>14284661.701662293</v>
      </c>
      <c r="Q2">
        <f>SUMIFS('state calcs'!Q62:Q112,'state calcs'!$A$62:$A$112,About!$B$2)</f>
        <v>14373645.404334366</v>
      </c>
      <c r="R2">
        <f>SUMIFS('state calcs'!R62:R112,'state calcs'!$A$62:$A$112,About!$B$2)</f>
        <v>14461751.466898402</v>
      </c>
      <c r="S2">
        <f>SUMIFS('state calcs'!S62:S112,'state calcs'!$A$62:$A$112,About!$B$2)</f>
        <v>14549225.002389584</v>
      </c>
      <c r="T2">
        <f>SUMIFS('state calcs'!T62:T112,'state calcs'!$A$62:$A$112,About!$B$2)</f>
        <v>14635738.101754222</v>
      </c>
      <c r="U2">
        <f>SUMIFS('state calcs'!U62:U112,'state calcs'!$A$62:$A$112,About!$B$2)</f>
        <v>14723287.146821743</v>
      </c>
      <c r="V2">
        <f>SUMIFS('state calcs'!V62:V112,'state calcs'!$A$62:$A$112,About!$B$2)</f>
        <v>14806439.214106943</v>
      </c>
      <c r="W2">
        <f>SUMIFS('state calcs'!W62:W112,'state calcs'!$A$62:$A$112,About!$B$2)</f>
        <v>14887732.587751316</v>
      </c>
      <c r="X2">
        <f>SUMIFS('state calcs'!X62:X112,'state calcs'!$A$62:$A$112,About!$B$2)</f>
        <v>14967978.877614008</v>
      </c>
      <c r="Y2">
        <f>SUMIFS('state calcs'!Y62:Y112,'state calcs'!$A$62:$A$112,About!$B$2)</f>
        <v>15047261.05360657</v>
      </c>
      <c r="Z2">
        <f>SUMIFS('state calcs'!Z62:Z112,'state calcs'!$A$62:$A$112,About!$B$2)</f>
        <v>15125692.242313223</v>
      </c>
      <c r="AA2">
        <f>SUMIFS('state calcs'!AA62:AA112,'state calcs'!$A$62:$A$112,About!$B$2)</f>
        <v>15202898.100004872</v>
      </c>
      <c r="AB2">
        <f>SUMIFS('state calcs'!AB62:AB112,'state calcs'!$A$62:$A$112,About!$B$2)</f>
        <v>15279526.058074668</v>
      </c>
      <c r="AC2">
        <f>SUMIFS('state calcs'!AC62:AC112,'state calcs'!$A$62:$A$112,About!$B$2)</f>
        <v>15354864.727841634</v>
      </c>
      <c r="AD2">
        <f>SUMIFS('state calcs'!AD62:AD112,'state calcs'!$A$62:$A$112,About!$B$2)</f>
        <v>15428815.695961637</v>
      </c>
      <c r="AE2">
        <f>SUMIFS('state calcs'!AE62:AE112,'state calcs'!$A$62:$A$112,About!$B$2)</f>
        <v>15501689.614279656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2026-06-12T19:28:03Z</dcterms:modified>
</cp:coreProperties>
</file>