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CA\add-outputs\HOIpTP\"/>
    </mc:Choice>
  </mc:AlternateContent>
  <xr:revisionPtr revIDLastSave="0" documentId="8_{838387AB-B374-4A29-AB13-5395337013AD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J15" i="19"/>
  <c r="B15" i="19"/>
  <c r="X15" i="19" s="1"/>
  <c r="B14" i="19"/>
  <c r="AA14" i="19" s="1"/>
  <c r="Y13" i="19"/>
  <c r="P13" i="19"/>
  <c r="B13" i="19"/>
  <c r="J13" i="19" s="1"/>
  <c r="Q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W8" i="19"/>
  <c r="K8" i="19"/>
  <c r="B8" i="19"/>
  <c r="L8" i="19" s="1"/>
  <c r="L7" i="19"/>
  <c r="B7" i="19"/>
  <c r="AA7" i="19" s="1"/>
  <c r="J6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V3" i="19"/>
  <c r="B3" i="19"/>
  <c r="O3" i="19" s="1"/>
  <c r="W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T17" i="18"/>
  <c r="N17" i="18"/>
  <c r="I17" i="18"/>
  <c r="B17" i="18"/>
  <c r="X17" i="18" s="1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Q15" i="18"/>
  <c r="B15" i="18"/>
  <c r="AA14" i="18"/>
  <c r="Y14" i="18"/>
  <c r="U14" i="18"/>
  <c r="R14" i="18"/>
  <c r="H14" i="18"/>
  <c r="B14" i="18"/>
  <c r="AB14" i="18" s="1"/>
  <c r="G13" i="18"/>
  <c r="B13" i="18"/>
  <c r="Q13" i="18" s="1"/>
  <c r="B12" i="18"/>
  <c r="X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Y8" i="18"/>
  <c r="X8" i="18"/>
  <c r="V8" i="18"/>
  <c r="U8" i="18"/>
  <c r="R8" i="18"/>
  <c r="Q8" i="18"/>
  <c r="N8" i="18"/>
  <c r="F8" i="18"/>
  <c r="E8" i="18"/>
  <c r="B8" i="18"/>
  <c r="W8" i="18" s="1"/>
  <c r="AB7" i="18"/>
  <c r="AA7" i="18"/>
  <c r="H7" i="18"/>
  <c r="B7" i="18"/>
  <c r="G7" i="18" s="1"/>
  <c r="B6" i="18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W3" i="18"/>
  <c r="P3" i="18"/>
  <c r="N3" i="18"/>
  <c r="I3" i="18"/>
  <c r="H3" i="18"/>
  <c r="E3" i="18"/>
  <c r="B3" i="18"/>
  <c r="Z3" i="18" s="1"/>
  <c r="P2" i="18"/>
  <c r="J2" i="18"/>
  <c r="B2" i="18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B17" i="17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X13" i="17"/>
  <c r="W13" i="17"/>
  <c r="S13" i="17"/>
  <c r="R13" i="17"/>
  <c r="Q13" i="17"/>
  <c r="D13" i="17"/>
  <c r="C13" i="17"/>
  <c r="B13" i="17"/>
  <c r="U13" i="17" s="1"/>
  <c r="Z12" i="17"/>
  <c r="T12" i="17"/>
  <c r="S12" i="17"/>
  <c r="P12" i="17"/>
  <c r="O12" i="17"/>
  <c r="M12" i="17"/>
  <c r="J12" i="17"/>
  <c r="H12" i="17"/>
  <c r="G12" i="17"/>
  <c r="F12" i="17"/>
  <c r="D12" i="17"/>
  <c r="C12" i="17"/>
  <c r="B12" i="17"/>
  <c r="X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V8" i="17"/>
  <c r="T8" i="17"/>
  <c r="P8" i="17"/>
  <c r="F8" i="17"/>
  <c r="D8" i="17"/>
  <c r="B8" i="17"/>
  <c r="AB8" i="17" s="1"/>
  <c r="X7" i="17"/>
  <c r="W7" i="17"/>
  <c r="P7" i="17"/>
  <c r="B7" i="17"/>
  <c r="C6" i="17"/>
  <c r="B6" i="17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Z17" i="16"/>
  <c r="V17" i="16"/>
  <c r="H17" i="16"/>
  <c r="B17" i="16"/>
  <c r="B16" i="16"/>
  <c r="X15" i="16"/>
  <c r="B15" i="16"/>
  <c r="AA15" i="16" s="1"/>
  <c r="B14" i="16"/>
  <c r="F14" i="16" s="1"/>
  <c r="W13" i="16"/>
  <c r="J13" i="16"/>
  <c r="D13" i="16"/>
  <c r="B13" i="16"/>
  <c r="X13" i="16" s="1"/>
  <c r="Y12" i="16"/>
  <c r="W12" i="16"/>
  <c r="I12" i="16"/>
  <c r="B12" i="16"/>
  <c r="AB12" i="16" s="1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Y7" i="16"/>
  <c r="V7" i="16"/>
  <c r="B7" i="16"/>
  <c r="AB7" i="16" s="1"/>
  <c r="B6" i="16"/>
  <c r="J6" i="16" s="1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T3" i="16"/>
  <c r="R3" i="16"/>
  <c r="B3" i="16"/>
  <c r="W3" i="16" s="1"/>
  <c r="AA2" i="16"/>
  <c r="X2" i="16"/>
  <c r="K2" i="16"/>
  <c r="B2" i="16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L17" i="15"/>
  <c r="B17" i="15"/>
  <c r="T17" i="15" s="1"/>
  <c r="AA16" i="15"/>
  <c r="Z16" i="15"/>
  <c r="T16" i="15"/>
  <c r="Q16" i="15"/>
  <c r="K16" i="15"/>
  <c r="E16" i="15"/>
  <c r="C16" i="15"/>
  <c r="B16" i="15"/>
  <c r="U15" i="15"/>
  <c r="S15" i="15"/>
  <c r="G15" i="15"/>
  <c r="B15" i="15"/>
  <c r="AB14" i="15"/>
  <c r="O14" i="15"/>
  <c r="M14" i="15"/>
  <c r="E14" i="15"/>
  <c r="D14" i="15"/>
  <c r="B14" i="15"/>
  <c r="N14" i="15" s="1"/>
  <c r="W13" i="15"/>
  <c r="V13" i="15"/>
  <c r="J13" i="15"/>
  <c r="I13" i="15"/>
  <c r="E13" i="15"/>
  <c r="B13" i="15"/>
  <c r="AB13" i="15" s="1"/>
  <c r="R12" i="15"/>
  <c r="Q12" i="15"/>
  <c r="P12" i="15"/>
  <c r="N12" i="15"/>
  <c r="L12" i="15"/>
  <c r="K12" i="15"/>
  <c r="B12" i="15"/>
  <c r="X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R8" i="15"/>
  <c r="O8" i="15"/>
  <c r="M8" i="15"/>
  <c r="H8" i="15"/>
  <c r="F8" i="15"/>
  <c r="C8" i="15"/>
  <c r="B8" i="15"/>
  <c r="AA7" i="15"/>
  <c r="Z7" i="15"/>
  <c r="Y7" i="15"/>
  <c r="V7" i="15"/>
  <c r="S7" i="15"/>
  <c r="R7" i="15"/>
  <c r="P7" i="15"/>
  <c r="J7" i="15"/>
  <c r="H7" i="15"/>
  <c r="G7" i="15"/>
  <c r="C7" i="15"/>
  <c r="B7" i="15"/>
  <c r="AA6" i="15"/>
  <c r="U6" i="15"/>
  <c r="S6" i="15"/>
  <c r="Q6" i="15"/>
  <c r="P6" i="15"/>
  <c r="O6" i="15"/>
  <c r="N6" i="15"/>
  <c r="M6" i="15"/>
  <c r="K6" i="15"/>
  <c r="J6" i="15"/>
  <c r="B6" i="15"/>
  <c r="V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W3" i="15"/>
  <c r="U3" i="15"/>
  <c r="L3" i="15"/>
  <c r="D3" i="15"/>
  <c r="B3" i="15"/>
  <c r="AB2" i="15"/>
  <c r="Y2" i="15"/>
  <c r="S2" i="15"/>
  <c r="J2" i="15"/>
  <c r="H2" i="15"/>
  <c r="D2" i="15"/>
  <c r="B2" i="15"/>
  <c r="AA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C17" i="14"/>
  <c r="B17" i="14"/>
  <c r="M17" i="14" s="1"/>
  <c r="H16" i="14"/>
  <c r="B16" i="14"/>
  <c r="AB15" i="14"/>
  <c r="Z15" i="14"/>
  <c r="W15" i="14"/>
  <c r="V15" i="14"/>
  <c r="U15" i="14"/>
  <c r="T15" i="14"/>
  <c r="S15" i="14"/>
  <c r="Q15" i="14"/>
  <c r="P15" i="14"/>
  <c r="O15" i="14"/>
  <c r="M15" i="14"/>
  <c r="L15" i="14"/>
  <c r="K15" i="14"/>
  <c r="J15" i="14"/>
  <c r="I15" i="14"/>
  <c r="H15" i="14"/>
  <c r="F15" i="14"/>
  <c r="E15" i="14"/>
  <c r="C15" i="14"/>
  <c r="B15" i="14"/>
  <c r="X15" i="14" s="1"/>
  <c r="B14" i="14"/>
  <c r="Y14" i="14" s="1"/>
  <c r="X13" i="14"/>
  <c r="R13" i="14"/>
  <c r="Q13" i="14"/>
  <c r="N13" i="14"/>
  <c r="B13" i="14"/>
  <c r="B12" i="14"/>
  <c r="F12" i="14" s="1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AB7" i="14"/>
  <c r="Y7" i="14"/>
  <c r="W7" i="14"/>
  <c r="V7" i="14"/>
  <c r="S7" i="14"/>
  <c r="P7" i="14"/>
  <c r="O7" i="14"/>
  <c r="L7" i="14"/>
  <c r="I7" i="14"/>
  <c r="H7" i="14"/>
  <c r="E7" i="14"/>
  <c r="B7" i="14"/>
  <c r="AA6" i="14"/>
  <c r="Z6" i="14"/>
  <c r="X6" i="14"/>
  <c r="T6" i="14"/>
  <c r="S6" i="14"/>
  <c r="R6" i="14"/>
  <c r="P6" i="14"/>
  <c r="O6" i="14"/>
  <c r="N6" i="14"/>
  <c r="M6" i="14"/>
  <c r="L6" i="14"/>
  <c r="K6" i="14"/>
  <c r="H6" i="14"/>
  <c r="G6" i="14"/>
  <c r="E6" i="14"/>
  <c r="B6" i="14"/>
  <c r="U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AB3" i="14"/>
  <c r="Z3" i="14"/>
  <c r="W3" i="14"/>
  <c r="V3" i="14"/>
  <c r="K3" i="14"/>
  <c r="I3" i="14"/>
  <c r="D3" i="14"/>
  <c r="B3" i="14"/>
  <c r="Y3" i="14" s="1"/>
  <c r="AA2" i="14"/>
  <c r="Z2" i="14"/>
  <c r="X2" i="14"/>
  <c r="V2" i="14"/>
  <c r="R2" i="14"/>
  <c r="P2" i="14"/>
  <c r="O2" i="14"/>
  <c r="M2" i="14"/>
  <c r="L2" i="14"/>
  <c r="B2" i="14"/>
  <c r="AB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B17" i="13"/>
  <c r="E17" i="13" s="1"/>
  <c r="U16" i="13"/>
  <c r="T16" i="13"/>
  <c r="H16" i="13"/>
  <c r="G16" i="13"/>
  <c r="B16" i="13"/>
  <c r="AA16" i="13" s="1"/>
  <c r="AB15" i="13"/>
  <c r="AA15" i="13"/>
  <c r="Y15" i="13"/>
  <c r="W15" i="13"/>
  <c r="V15" i="13"/>
  <c r="T15" i="13"/>
  <c r="S15" i="13"/>
  <c r="R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X15" i="13" s="1"/>
  <c r="W14" i="13"/>
  <c r="V14" i="13"/>
  <c r="Q14" i="13"/>
  <c r="J14" i="13"/>
  <c r="H14" i="13"/>
  <c r="F14" i="13"/>
  <c r="B14" i="13"/>
  <c r="Z13" i="13"/>
  <c r="Y13" i="13"/>
  <c r="O13" i="13"/>
  <c r="N13" i="13"/>
  <c r="G13" i="13"/>
  <c r="B13" i="13"/>
  <c r="V13" i="13" s="1"/>
  <c r="W12" i="13"/>
  <c r="U12" i="13"/>
  <c r="T12" i="13"/>
  <c r="S12" i="13"/>
  <c r="O12" i="13"/>
  <c r="M12" i="13"/>
  <c r="L12" i="13"/>
  <c r="J12" i="13"/>
  <c r="I12" i="13"/>
  <c r="B12" i="13"/>
  <c r="X12" i="13" s="1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C7" i="13"/>
  <c r="B7" i="13"/>
  <c r="AA6" i="13"/>
  <c r="Z6" i="13"/>
  <c r="O6" i="13"/>
  <c r="M6" i="13"/>
  <c r="J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AB3" i="13"/>
  <c r="W3" i="13"/>
  <c r="V3" i="13"/>
  <c r="N3" i="13"/>
  <c r="M3" i="13"/>
  <c r="K3" i="13"/>
  <c r="J3" i="13"/>
  <c r="I3" i="13"/>
  <c r="F3" i="13"/>
  <c r="E3" i="13"/>
  <c r="D3" i="13"/>
  <c r="C3" i="13"/>
  <c r="B3" i="13"/>
  <c r="AA3" i="13" s="1"/>
  <c r="AB2" i="13"/>
  <c r="Z2" i="13"/>
  <c r="U2" i="13"/>
  <c r="Q2" i="13"/>
  <c r="O2" i="13"/>
  <c r="M2" i="13"/>
  <c r="L2" i="13"/>
  <c r="I2" i="13"/>
  <c r="H2" i="13"/>
  <c r="G2" i="13"/>
  <c r="F2" i="13"/>
  <c r="E2" i="13"/>
  <c r="D2" i="13"/>
  <c r="B2" i="13"/>
  <c r="Y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B17" i="12"/>
  <c r="T17" i="12" s="1"/>
  <c r="AB16" i="12"/>
  <c r="AA16" i="12"/>
  <c r="Z16" i="12"/>
  <c r="J16" i="12"/>
  <c r="C16" i="12"/>
  <c r="B16" i="12"/>
  <c r="T15" i="12"/>
  <c r="S15" i="12"/>
  <c r="R15" i="12"/>
  <c r="P15" i="12"/>
  <c r="O15" i="12"/>
  <c r="B15" i="12"/>
  <c r="D15" i="12" s="1"/>
  <c r="Q14" i="12"/>
  <c r="L14" i="12"/>
  <c r="K14" i="12"/>
  <c r="B14" i="12"/>
  <c r="Y14" i="12" s="1"/>
  <c r="B13" i="12"/>
  <c r="AB12" i="12"/>
  <c r="AA12" i="12"/>
  <c r="B12" i="12"/>
  <c r="Z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B8" i="12"/>
  <c r="M8" i="12" s="1"/>
  <c r="Z7" i="12"/>
  <c r="Y7" i="12"/>
  <c r="B7" i="12"/>
  <c r="AB7" i="12" s="1"/>
  <c r="W6" i="12"/>
  <c r="F6" i="12"/>
  <c r="B6" i="12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AA3" i="12"/>
  <c r="Y3" i="12"/>
  <c r="U3" i="12"/>
  <c r="T3" i="12"/>
  <c r="N3" i="12"/>
  <c r="M3" i="12"/>
  <c r="L3" i="12"/>
  <c r="K3" i="12"/>
  <c r="J3" i="12"/>
  <c r="I3" i="12"/>
  <c r="B3" i="12"/>
  <c r="Z3" i="12" s="1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J17" i="11"/>
  <c r="D17" i="11"/>
  <c r="C17" i="11"/>
  <c r="B17" i="11"/>
  <c r="P17" i="11" s="1"/>
  <c r="AB16" i="11"/>
  <c r="Y16" i="11"/>
  <c r="W16" i="11"/>
  <c r="V16" i="11"/>
  <c r="D16" i="11"/>
  <c r="B16" i="11"/>
  <c r="AA16" i="11" s="1"/>
  <c r="B15" i="11"/>
  <c r="W15" i="11" s="1"/>
  <c r="AB14" i="11"/>
  <c r="W14" i="11"/>
  <c r="V14" i="11"/>
  <c r="U14" i="11"/>
  <c r="T14" i="11"/>
  <c r="Q14" i="11"/>
  <c r="P14" i="11"/>
  <c r="O14" i="11"/>
  <c r="N14" i="11"/>
  <c r="M14" i="11"/>
  <c r="L14" i="11"/>
  <c r="J14" i="11"/>
  <c r="I14" i="11"/>
  <c r="G14" i="11"/>
  <c r="E14" i="11"/>
  <c r="C14" i="11"/>
  <c r="B14" i="11"/>
  <c r="AA14" i="11" s="1"/>
  <c r="AB13" i="11"/>
  <c r="AA13" i="11"/>
  <c r="Z13" i="11"/>
  <c r="Y13" i="11"/>
  <c r="X13" i="11"/>
  <c r="V13" i="11"/>
  <c r="U13" i="11"/>
  <c r="R13" i="11"/>
  <c r="Q13" i="11"/>
  <c r="M13" i="11"/>
  <c r="L13" i="11"/>
  <c r="K13" i="11"/>
  <c r="J13" i="11"/>
  <c r="B13" i="11"/>
  <c r="AB12" i="11"/>
  <c r="Z12" i="11"/>
  <c r="X12" i="11"/>
  <c r="U12" i="11"/>
  <c r="K12" i="11"/>
  <c r="J12" i="11"/>
  <c r="E12" i="11"/>
  <c r="B12" i="1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X8" i="11"/>
  <c r="T8" i="11"/>
  <c r="R8" i="11"/>
  <c r="Q8" i="11"/>
  <c r="O8" i="11"/>
  <c r="N8" i="11"/>
  <c r="K8" i="11"/>
  <c r="J8" i="11"/>
  <c r="I8" i="11"/>
  <c r="D8" i="11"/>
  <c r="C8" i="11"/>
  <c r="B8" i="11"/>
  <c r="AB7" i="11"/>
  <c r="AA7" i="11"/>
  <c r="X7" i="11"/>
  <c r="W7" i="11"/>
  <c r="V7" i="11"/>
  <c r="U7" i="11"/>
  <c r="T7" i="11"/>
  <c r="S7" i="11"/>
  <c r="P7" i="11"/>
  <c r="O7" i="11"/>
  <c r="M7" i="11"/>
  <c r="L7" i="11"/>
  <c r="K7" i="11"/>
  <c r="J7" i="11"/>
  <c r="I7" i="11"/>
  <c r="H7" i="11"/>
  <c r="G7" i="11"/>
  <c r="F7" i="11"/>
  <c r="E7" i="11"/>
  <c r="D7" i="11"/>
  <c r="C7" i="11"/>
  <c r="B7" i="11"/>
  <c r="Q7" i="11" s="1"/>
  <c r="B6" i="11"/>
  <c r="L6" i="11" s="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B3" i="11"/>
  <c r="D3" i="11" s="1"/>
  <c r="B2" i="11"/>
  <c r="N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Y15" i="10"/>
  <c r="Q15" i="10"/>
  <c r="P15" i="10"/>
  <c r="O15" i="10"/>
  <c r="N15" i="10"/>
  <c r="M15" i="10"/>
  <c r="K15" i="10"/>
  <c r="I15" i="10"/>
  <c r="B15" i="10"/>
  <c r="AB15" i="10" s="1"/>
  <c r="AA14" i="10"/>
  <c r="W14" i="10"/>
  <c r="Q14" i="10"/>
  <c r="P14" i="10"/>
  <c r="N14" i="10"/>
  <c r="M14" i="10"/>
  <c r="L14" i="10"/>
  <c r="K14" i="10"/>
  <c r="J14" i="10"/>
  <c r="B14" i="10"/>
  <c r="D14" i="10" s="1"/>
  <c r="AA13" i="10"/>
  <c r="Z13" i="10"/>
  <c r="Y13" i="10"/>
  <c r="P13" i="10"/>
  <c r="M13" i="10"/>
  <c r="H13" i="10"/>
  <c r="F13" i="10"/>
  <c r="D13" i="10"/>
  <c r="B13" i="10"/>
  <c r="AA12" i="10"/>
  <c r="Z12" i="10"/>
  <c r="G12" i="10"/>
  <c r="B12" i="10"/>
  <c r="AB12" i="10" s="1"/>
  <c r="C11" i="10"/>
  <c r="B11" i="10"/>
  <c r="B10" i="10"/>
  <c r="B9" i="10"/>
  <c r="AB8" i="10"/>
  <c r="N8" i="10"/>
  <c r="I8" i="10"/>
  <c r="G8" i="10"/>
  <c r="C8" i="10"/>
  <c r="B8" i="10"/>
  <c r="B7" i="10"/>
  <c r="X7" i="10" s="1"/>
  <c r="H6" i="10"/>
  <c r="E6" i="10"/>
  <c r="C6" i="10"/>
  <c r="B6" i="10"/>
  <c r="O6" i="10" s="1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B3" i="10"/>
  <c r="Q3" i="10" s="1"/>
  <c r="AA2" i="10"/>
  <c r="Z2" i="10"/>
  <c r="Y2" i="10"/>
  <c r="X2" i="10"/>
  <c r="U2" i="10"/>
  <c r="P2" i="10"/>
  <c r="M2" i="10"/>
  <c r="L2" i="10"/>
  <c r="J2" i="10"/>
  <c r="H2" i="10"/>
  <c r="F2" i="10"/>
  <c r="E2" i="10"/>
  <c r="D2" i="10"/>
  <c r="C2" i="10"/>
  <c r="B2" i="10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AA17" i="9"/>
  <c r="X17" i="9"/>
  <c r="Q17" i="9"/>
  <c r="P17" i="9"/>
  <c r="K17" i="9"/>
  <c r="G17" i="9"/>
  <c r="E17" i="9"/>
  <c r="B17" i="9"/>
  <c r="Z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B15" i="9"/>
  <c r="K15" i="9" s="1"/>
  <c r="Z14" i="9"/>
  <c r="Y14" i="9"/>
  <c r="C14" i="9"/>
  <c r="B14" i="9"/>
  <c r="W14" i="9" s="1"/>
  <c r="AA13" i="9"/>
  <c r="Z13" i="9"/>
  <c r="Y13" i="9"/>
  <c r="W13" i="9"/>
  <c r="S13" i="9"/>
  <c r="M13" i="9"/>
  <c r="D13" i="9"/>
  <c r="C13" i="9"/>
  <c r="B13" i="9"/>
  <c r="X13" i="9" s="1"/>
  <c r="B12" i="9"/>
  <c r="D12" i="9" s="1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Y8" i="9"/>
  <c r="U8" i="9"/>
  <c r="T8" i="9"/>
  <c r="R8" i="9"/>
  <c r="Q8" i="9"/>
  <c r="P8" i="9"/>
  <c r="O8" i="9"/>
  <c r="N8" i="9"/>
  <c r="M8" i="9"/>
  <c r="L8" i="9"/>
  <c r="K8" i="9"/>
  <c r="I8" i="9"/>
  <c r="G8" i="9"/>
  <c r="E8" i="9"/>
  <c r="C8" i="9"/>
  <c r="B8" i="9"/>
  <c r="AB8" i="9" s="1"/>
  <c r="AB7" i="9"/>
  <c r="AA7" i="9"/>
  <c r="X7" i="9"/>
  <c r="W7" i="9"/>
  <c r="U7" i="9"/>
  <c r="T7" i="9"/>
  <c r="R7" i="9"/>
  <c r="Q7" i="9"/>
  <c r="P7" i="9"/>
  <c r="N7" i="9"/>
  <c r="M7" i="9"/>
  <c r="L7" i="9"/>
  <c r="J7" i="9"/>
  <c r="I7" i="9"/>
  <c r="G7" i="9"/>
  <c r="F7" i="9"/>
  <c r="D7" i="9"/>
  <c r="C7" i="9"/>
  <c r="B7" i="9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AA3" i="9"/>
  <c r="Z3" i="9"/>
  <c r="Y3" i="9"/>
  <c r="S3" i="9"/>
  <c r="O3" i="9"/>
  <c r="K3" i="9"/>
  <c r="G3" i="9"/>
  <c r="F3" i="9"/>
  <c r="B3" i="9"/>
  <c r="C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O15" i="8"/>
  <c r="M15" i="8"/>
  <c r="I15" i="8"/>
  <c r="B15" i="8"/>
  <c r="Z14" i="8"/>
  <c r="Y14" i="8"/>
  <c r="W14" i="8"/>
  <c r="V14" i="8"/>
  <c r="B14" i="8"/>
  <c r="Q14" i="8" s="1"/>
  <c r="AB13" i="8"/>
  <c r="AA13" i="8"/>
  <c r="X13" i="8"/>
  <c r="W13" i="8"/>
  <c r="B13" i="8"/>
  <c r="H13" i="8" s="1"/>
  <c r="AB12" i="8"/>
  <c r="AA12" i="8"/>
  <c r="Z12" i="8"/>
  <c r="Y12" i="8"/>
  <c r="X12" i="8"/>
  <c r="O12" i="8"/>
  <c r="N12" i="8"/>
  <c r="D12" i="8"/>
  <c r="B12" i="8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H8" i="8"/>
  <c r="B8" i="8"/>
  <c r="Z7" i="8"/>
  <c r="P7" i="8"/>
  <c r="O7" i="8"/>
  <c r="J7" i="8"/>
  <c r="B7" i="8"/>
  <c r="W7" i="8" s="1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AA3" i="8"/>
  <c r="Z3" i="8"/>
  <c r="W3" i="8"/>
  <c r="V3" i="8"/>
  <c r="S3" i="8"/>
  <c r="R3" i="8"/>
  <c r="Q3" i="8"/>
  <c r="P3" i="8"/>
  <c r="O3" i="8"/>
  <c r="N3" i="8"/>
  <c r="M3" i="8"/>
  <c r="L3" i="8"/>
  <c r="K3" i="8"/>
  <c r="I3" i="8"/>
  <c r="H3" i="8"/>
  <c r="G3" i="8"/>
  <c r="D3" i="8"/>
  <c r="C3" i="8"/>
  <c r="B3" i="8"/>
  <c r="J3" i="8" s="1"/>
  <c r="B2" i="8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B17" i="7"/>
  <c r="H17" i="7" s="1"/>
  <c r="N16" i="7"/>
  <c r="M16" i="7"/>
  <c r="L16" i="7"/>
  <c r="J16" i="7"/>
  <c r="H16" i="7"/>
  <c r="G16" i="7"/>
  <c r="B16" i="7"/>
  <c r="AA16" i="7" s="1"/>
  <c r="AB15" i="7"/>
  <c r="Y15" i="7"/>
  <c r="V15" i="7"/>
  <c r="T15" i="7"/>
  <c r="S15" i="7"/>
  <c r="Q15" i="7"/>
  <c r="P15" i="7"/>
  <c r="N15" i="7"/>
  <c r="M15" i="7"/>
  <c r="L15" i="7"/>
  <c r="K15" i="7"/>
  <c r="J15" i="7"/>
  <c r="H15" i="7"/>
  <c r="G15" i="7"/>
  <c r="E15" i="7"/>
  <c r="D15" i="7"/>
  <c r="C15" i="7"/>
  <c r="B15" i="7"/>
  <c r="Z15" i="7" s="1"/>
  <c r="AA14" i="7"/>
  <c r="X14" i="7"/>
  <c r="T14" i="7"/>
  <c r="S14" i="7"/>
  <c r="Q14" i="7"/>
  <c r="O14" i="7"/>
  <c r="N14" i="7"/>
  <c r="M14" i="7"/>
  <c r="L14" i="7"/>
  <c r="J14" i="7"/>
  <c r="I14" i="7"/>
  <c r="F14" i="7"/>
  <c r="D14" i="7"/>
  <c r="B14" i="7"/>
  <c r="AB14" i="7" s="1"/>
  <c r="B13" i="7"/>
  <c r="H13" i="7" s="1"/>
  <c r="B12" i="7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B8" i="7"/>
  <c r="AA8" i="7"/>
  <c r="Z8" i="7"/>
  <c r="Y8" i="7"/>
  <c r="W8" i="7"/>
  <c r="V8" i="7"/>
  <c r="U8" i="7"/>
  <c r="T8" i="7"/>
  <c r="R8" i="7"/>
  <c r="P8" i="7"/>
  <c r="N8" i="7"/>
  <c r="L8" i="7"/>
  <c r="K8" i="7"/>
  <c r="J8" i="7"/>
  <c r="H8" i="7"/>
  <c r="E8" i="7"/>
  <c r="C8" i="7"/>
  <c r="B8" i="7"/>
  <c r="AB7" i="7"/>
  <c r="AA7" i="7"/>
  <c r="Z7" i="7"/>
  <c r="Y7" i="7"/>
  <c r="W7" i="7"/>
  <c r="V7" i="7"/>
  <c r="U7" i="7"/>
  <c r="S7" i="7"/>
  <c r="R7" i="7"/>
  <c r="P7" i="7"/>
  <c r="O7" i="7"/>
  <c r="M7" i="7"/>
  <c r="K7" i="7"/>
  <c r="J7" i="7"/>
  <c r="E7" i="7"/>
  <c r="C7" i="7"/>
  <c r="B7" i="7"/>
  <c r="X6" i="7"/>
  <c r="W6" i="7"/>
  <c r="V6" i="7"/>
  <c r="U6" i="7"/>
  <c r="S6" i="7"/>
  <c r="R6" i="7"/>
  <c r="Q6" i="7"/>
  <c r="B6" i="7"/>
  <c r="Z6" i="7" s="1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AB3" i="7"/>
  <c r="Z3" i="7"/>
  <c r="S3" i="7"/>
  <c r="N3" i="7"/>
  <c r="M3" i="7"/>
  <c r="L3" i="7"/>
  <c r="H3" i="7"/>
  <c r="F3" i="7"/>
  <c r="B3" i="7"/>
  <c r="Z2" i="7"/>
  <c r="S2" i="7"/>
  <c r="R2" i="7"/>
  <c r="Q2" i="7"/>
  <c r="P2" i="7"/>
  <c r="O2" i="7"/>
  <c r="N2" i="7"/>
  <c r="M2" i="7"/>
  <c r="K2" i="7"/>
  <c r="B2" i="7"/>
  <c r="G2" i="7" s="1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B17" i="6"/>
  <c r="AA17" i="6"/>
  <c r="W17" i="6"/>
  <c r="U17" i="6"/>
  <c r="S17" i="6"/>
  <c r="R17" i="6"/>
  <c r="Q17" i="6"/>
  <c r="P17" i="6"/>
  <c r="O17" i="6"/>
  <c r="M17" i="6"/>
  <c r="K17" i="6"/>
  <c r="J17" i="6"/>
  <c r="G17" i="6"/>
  <c r="B17" i="6"/>
  <c r="Z17" i="6" s="1"/>
  <c r="E16" i="6"/>
  <c r="D16" i="6"/>
  <c r="C16" i="6"/>
  <c r="B16" i="6"/>
  <c r="AB15" i="6"/>
  <c r="Z15" i="6"/>
  <c r="Y15" i="6"/>
  <c r="W15" i="6"/>
  <c r="V15" i="6"/>
  <c r="U15" i="6"/>
  <c r="T15" i="6"/>
  <c r="R15" i="6"/>
  <c r="Q15" i="6"/>
  <c r="O15" i="6"/>
  <c r="N15" i="6"/>
  <c r="M15" i="6"/>
  <c r="K15" i="6"/>
  <c r="J15" i="6"/>
  <c r="I15" i="6"/>
  <c r="H15" i="6"/>
  <c r="G15" i="6"/>
  <c r="F15" i="6"/>
  <c r="E15" i="6"/>
  <c r="C15" i="6"/>
  <c r="B15" i="6"/>
  <c r="T14" i="6"/>
  <c r="S14" i="6"/>
  <c r="Q14" i="6"/>
  <c r="P14" i="6"/>
  <c r="O14" i="6"/>
  <c r="N14" i="6"/>
  <c r="M14" i="6"/>
  <c r="B14" i="6"/>
  <c r="K14" i="6" s="1"/>
  <c r="Y13" i="6"/>
  <c r="V13" i="6"/>
  <c r="T13" i="6"/>
  <c r="R13" i="6"/>
  <c r="Q13" i="6"/>
  <c r="O13" i="6"/>
  <c r="N13" i="6"/>
  <c r="M13" i="6"/>
  <c r="K13" i="6"/>
  <c r="I13" i="6"/>
  <c r="H13" i="6"/>
  <c r="G13" i="6"/>
  <c r="B13" i="6"/>
  <c r="T12" i="6"/>
  <c r="P12" i="6"/>
  <c r="B12" i="6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U8" i="6"/>
  <c r="J8" i="6"/>
  <c r="I8" i="6"/>
  <c r="B8" i="6"/>
  <c r="AB8" i="6" s="1"/>
  <c r="B7" i="6"/>
  <c r="J7" i="6" s="1"/>
  <c r="B6" i="6"/>
  <c r="O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Q3" i="6"/>
  <c r="P3" i="6"/>
  <c r="O3" i="6"/>
  <c r="M3" i="6"/>
  <c r="L3" i="6"/>
  <c r="K3" i="6"/>
  <c r="F3" i="6"/>
  <c r="C3" i="6"/>
  <c r="B3" i="6"/>
  <c r="AA2" i="6"/>
  <c r="B2" i="6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Y17" i="5"/>
  <c r="X17" i="5"/>
  <c r="W17" i="5"/>
  <c r="V17" i="5"/>
  <c r="T17" i="5"/>
  <c r="S17" i="5"/>
  <c r="Q17" i="5"/>
  <c r="P17" i="5"/>
  <c r="O17" i="5"/>
  <c r="D17" i="5"/>
  <c r="B17" i="5"/>
  <c r="J17" i="5" s="1"/>
  <c r="B16" i="5"/>
  <c r="Y15" i="5"/>
  <c r="W15" i="5"/>
  <c r="V15" i="5"/>
  <c r="U15" i="5"/>
  <c r="T15" i="5"/>
  <c r="S15" i="5"/>
  <c r="R15" i="5"/>
  <c r="K15" i="5"/>
  <c r="G15" i="5"/>
  <c r="B15" i="5"/>
  <c r="AB14" i="5"/>
  <c r="AA14" i="5"/>
  <c r="Z14" i="5"/>
  <c r="Y14" i="5"/>
  <c r="W14" i="5"/>
  <c r="V14" i="5"/>
  <c r="O14" i="5"/>
  <c r="B14" i="5"/>
  <c r="D14" i="5" s="1"/>
  <c r="K13" i="5"/>
  <c r="H13" i="5"/>
  <c r="B13" i="5"/>
  <c r="AB13" i="5" s="1"/>
  <c r="B12" i="5"/>
  <c r="G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AB7" i="5"/>
  <c r="AA7" i="5"/>
  <c r="Z7" i="5"/>
  <c r="Y7" i="5"/>
  <c r="B7" i="5"/>
  <c r="D7" i="5" s="1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V3" i="5"/>
  <c r="S3" i="5"/>
  <c r="N3" i="5"/>
  <c r="M3" i="5"/>
  <c r="L3" i="5"/>
  <c r="B3" i="5"/>
  <c r="W3" i="5" s="1"/>
  <c r="E2" i="5"/>
  <c r="C2" i="5"/>
  <c r="B2" i="5"/>
  <c r="F2" i="5" s="1"/>
  <c r="B2" i="1"/>
  <c r="N12" i="7" l="1"/>
  <c r="K12" i="7"/>
  <c r="AA14" i="8"/>
  <c r="AB12" i="7"/>
  <c r="V13" i="8"/>
  <c r="U14" i="8"/>
  <c r="X7" i="12"/>
  <c r="N15" i="12"/>
  <c r="T3" i="14"/>
  <c r="R2" i="15"/>
  <c r="S13" i="15"/>
  <c r="T7" i="16"/>
  <c r="O2" i="8"/>
  <c r="D2" i="8"/>
  <c r="E17" i="7"/>
  <c r="X14" i="9"/>
  <c r="H14" i="9"/>
  <c r="AB14" i="9"/>
  <c r="E14" i="9"/>
  <c r="AA14" i="9"/>
  <c r="I2" i="11"/>
  <c r="Q15" i="12"/>
  <c r="U14" i="13"/>
  <c r="E14" i="13"/>
  <c r="R14" i="13"/>
  <c r="O14" i="13"/>
  <c r="C17" i="13"/>
  <c r="O12" i="15"/>
  <c r="W2" i="18"/>
  <c r="Z2" i="18"/>
  <c r="X2" i="18"/>
  <c r="U2" i="18"/>
  <c r="S2" i="18"/>
  <c r="R2" i="18"/>
  <c r="O2" i="18"/>
  <c r="N2" i="18"/>
  <c r="M2" i="18"/>
  <c r="L2" i="18"/>
  <c r="G2" i="18"/>
  <c r="F2" i="18"/>
  <c r="D2" i="18"/>
  <c r="Q2" i="11"/>
  <c r="C6" i="11"/>
  <c r="C8" i="12"/>
  <c r="Y7" i="13"/>
  <c r="L7" i="13"/>
  <c r="F7" i="13"/>
  <c r="Z7" i="13"/>
  <c r="F17" i="13"/>
  <c r="R14" i="14"/>
  <c r="P3" i="15"/>
  <c r="G3" i="15"/>
  <c r="C3" i="15"/>
  <c r="AA3" i="15"/>
  <c r="Y3" i="15"/>
  <c r="X3" i="15"/>
  <c r="T3" i="15"/>
  <c r="N3" i="15"/>
  <c r="M6" i="17"/>
  <c r="G6" i="17"/>
  <c r="K2" i="18"/>
  <c r="X12" i="9"/>
  <c r="S12" i="9"/>
  <c r="C17" i="7"/>
  <c r="F13" i="7"/>
  <c r="AB14" i="16"/>
  <c r="Y14" i="16"/>
  <c r="J14" i="16"/>
  <c r="C14" i="16"/>
  <c r="X12" i="6"/>
  <c r="N12" i="6"/>
  <c r="J12" i="6"/>
  <c r="F12" i="7"/>
  <c r="K13" i="7"/>
  <c r="J17" i="7"/>
  <c r="I2" i="8"/>
  <c r="F6" i="8"/>
  <c r="E13" i="8"/>
  <c r="D14" i="8"/>
  <c r="Z15" i="8"/>
  <c r="N15" i="8"/>
  <c r="K15" i="8"/>
  <c r="O12" i="9"/>
  <c r="G14" i="9"/>
  <c r="Z15" i="9"/>
  <c r="J6" i="10"/>
  <c r="R14" i="10"/>
  <c r="R15" i="10"/>
  <c r="C3" i="11"/>
  <c r="G6" i="11"/>
  <c r="O17" i="11"/>
  <c r="F8" i="12"/>
  <c r="R14" i="12"/>
  <c r="V15" i="12"/>
  <c r="D7" i="13"/>
  <c r="K14" i="13"/>
  <c r="AB14" i="14"/>
  <c r="E3" i="15"/>
  <c r="E8" i="15"/>
  <c r="Y8" i="15"/>
  <c r="W8" i="15"/>
  <c r="T8" i="15"/>
  <c r="N8" i="15"/>
  <c r="L8" i="15"/>
  <c r="T12" i="15"/>
  <c r="E6" i="16"/>
  <c r="E6" i="17"/>
  <c r="V2" i="18"/>
  <c r="F17" i="7"/>
  <c r="E12" i="7"/>
  <c r="I17" i="7"/>
  <c r="X15" i="5"/>
  <c r="I15" i="5"/>
  <c r="I6" i="6"/>
  <c r="C15" i="5"/>
  <c r="AB6" i="7"/>
  <c r="O6" i="8"/>
  <c r="L6" i="10"/>
  <c r="S14" i="10"/>
  <c r="T15" i="10"/>
  <c r="H6" i="11"/>
  <c r="AB17" i="11"/>
  <c r="G8" i="12"/>
  <c r="V14" i="12"/>
  <c r="Y15" i="12"/>
  <c r="E7" i="13"/>
  <c r="L14" i="13"/>
  <c r="F3" i="15"/>
  <c r="W12" i="15"/>
  <c r="H6" i="16"/>
  <c r="L6" i="17"/>
  <c r="Y2" i="18"/>
  <c r="AB6" i="18"/>
  <c r="X6" i="18"/>
  <c r="W6" i="18"/>
  <c r="Q6" i="18"/>
  <c r="O6" i="18"/>
  <c r="K6" i="18"/>
  <c r="J6" i="18"/>
  <c r="I6" i="18"/>
  <c r="M3" i="11"/>
  <c r="J3" i="11"/>
  <c r="G14" i="16"/>
  <c r="H12" i="5"/>
  <c r="I6" i="5"/>
  <c r="AA15" i="5"/>
  <c r="J6" i="6"/>
  <c r="D12" i="6"/>
  <c r="Y14" i="6"/>
  <c r="G12" i="7"/>
  <c r="M13" i="7"/>
  <c r="K17" i="7"/>
  <c r="K2" i="8"/>
  <c r="F13" i="8"/>
  <c r="E14" i="8"/>
  <c r="E15" i="8"/>
  <c r="U12" i="9"/>
  <c r="I14" i="9"/>
  <c r="J6" i="5"/>
  <c r="D13" i="5"/>
  <c r="D15" i="5"/>
  <c r="AB15" i="5"/>
  <c r="K6" i="6"/>
  <c r="K12" i="6"/>
  <c r="AA14" i="6"/>
  <c r="T17" i="6"/>
  <c r="X3" i="7"/>
  <c r="U3" i="7"/>
  <c r="P3" i="7"/>
  <c r="G7" i="7"/>
  <c r="L7" i="7"/>
  <c r="I7" i="7"/>
  <c r="X8" i="7"/>
  <c r="I8" i="7"/>
  <c r="F8" i="7"/>
  <c r="H12" i="7"/>
  <c r="O13" i="7"/>
  <c r="V14" i="7"/>
  <c r="U15" i="7"/>
  <c r="L17" i="7"/>
  <c r="L2" i="8"/>
  <c r="P6" i="8"/>
  <c r="G13" i="8"/>
  <c r="F14" i="8"/>
  <c r="F15" i="8"/>
  <c r="W12" i="9"/>
  <c r="J14" i="9"/>
  <c r="F17" i="9"/>
  <c r="J3" i="10"/>
  <c r="R6" i="10"/>
  <c r="T14" i="10"/>
  <c r="U15" i="10"/>
  <c r="E3" i="11"/>
  <c r="I6" i="11"/>
  <c r="H8" i="12"/>
  <c r="W14" i="12"/>
  <c r="Z15" i="12"/>
  <c r="P2" i="13"/>
  <c r="G7" i="13"/>
  <c r="M14" i="13"/>
  <c r="I3" i="15"/>
  <c r="D8" i="15"/>
  <c r="Q6" i="17"/>
  <c r="E6" i="18"/>
  <c r="E13" i="7"/>
  <c r="Z6" i="16"/>
  <c r="S6" i="16"/>
  <c r="O6" i="16"/>
  <c r="M6" i="16"/>
  <c r="L6" i="16"/>
  <c r="K6" i="16"/>
  <c r="I6" i="16"/>
  <c r="G6" i="16"/>
  <c r="F6" i="16"/>
  <c r="C2" i="6"/>
  <c r="Z2" i="6"/>
  <c r="L12" i="6"/>
  <c r="J12" i="7"/>
  <c r="Q13" i="7"/>
  <c r="M17" i="7"/>
  <c r="M2" i="8"/>
  <c r="W12" i="8"/>
  <c r="T12" i="8"/>
  <c r="G14" i="8"/>
  <c r="G15" i="8"/>
  <c r="Y12" i="9"/>
  <c r="K14" i="9"/>
  <c r="U14" i="10"/>
  <c r="V15" i="10"/>
  <c r="H3" i="11"/>
  <c r="K6" i="11"/>
  <c r="H7" i="13"/>
  <c r="W13" i="13"/>
  <c r="X13" i="13"/>
  <c r="P13" i="13"/>
  <c r="M13" i="13"/>
  <c r="N14" i="13"/>
  <c r="J3" i="14"/>
  <c r="E3" i="14"/>
  <c r="X3" i="14"/>
  <c r="U3" i="14"/>
  <c r="X2" i="15"/>
  <c r="I2" i="15"/>
  <c r="E2" i="15"/>
  <c r="Z2" i="15"/>
  <c r="V2" i="15"/>
  <c r="U2" i="15"/>
  <c r="Q2" i="15"/>
  <c r="O2" i="15"/>
  <c r="J3" i="15"/>
  <c r="P13" i="15"/>
  <c r="K13" i="15"/>
  <c r="G13" i="15"/>
  <c r="C13" i="15"/>
  <c r="AA13" i="15"/>
  <c r="Z13" i="15"/>
  <c r="T13" i="15"/>
  <c r="R13" i="15"/>
  <c r="C15" i="15"/>
  <c r="AA15" i="15"/>
  <c r="V15" i="15"/>
  <c r="T15" i="15"/>
  <c r="N6" i="16"/>
  <c r="J17" i="16"/>
  <c r="G17" i="16"/>
  <c r="C17" i="16"/>
  <c r="AB17" i="16"/>
  <c r="Y17" i="16"/>
  <c r="V7" i="17"/>
  <c r="T7" i="17"/>
  <c r="R7" i="17"/>
  <c r="O7" i="17"/>
  <c r="K7" i="17"/>
  <c r="J7" i="17"/>
  <c r="G7" i="17"/>
  <c r="F7" i="17"/>
  <c r="E7" i="17"/>
  <c r="D7" i="17"/>
  <c r="Z7" i="17"/>
  <c r="P6" i="18"/>
  <c r="AA15" i="9"/>
  <c r="M15" i="9"/>
  <c r="S13" i="8"/>
  <c r="P13" i="8"/>
  <c r="E6" i="5"/>
  <c r="Z15" i="5"/>
  <c r="X14" i="6"/>
  <c r="K6" i="5"/>
  <c r="F13" i="5"/>
  <c r="E15" i="5"/>
  <c r="L6" i="6"/>
  <c r="AB14" i="6"/>
  <c r="Y6" i="10"/>
  <c r="F12" i="11"/>
  <c r="Y12" i="11"/>
  <c r="I8" i="12"/>
  <c r="X14" i="12"/>
  <c r="AB15" i="12"/>
  <c r="D2" i="5"/>
  <c r="M6" i="5"/>
  <c r="G13" i="5"/>
  <c r="F15" i="5"/>
  <c r="T2" i="6"/>
  <c r="N6" i="6"/>
  <c r="O12" i="6"/>
  <c r="X15" i="6"/>
  <c r="S15" i="6"/>
  <c r="P15" i="6"/>
  <c r="AA15" i="6"/>
  <c r="V17" i="6"/>
  <c r="G3" i="7"/>
  <c r="D7" i="7"/>
  <c r="D8" i="7"/>
  <c r="L12" i="7"/>
  <c r="S13" i="7"/>
  <c r="Y14" i="7"/>
  <c r="W15" i="7"/>
  <c r="Q17" i="7"/>
  <c r="N2" i="8"/>
  <c r="G7" i="8"/>
  <c r="C12" i="8"/>
  <c r="I13" i="8"/>
  <c r="H14" i="8"/>
  <c r="H15" i="8"/>
  <c r="Z12" i="9"/>
  <c r="L14" i="9"/>
  <c r="J17" i="9"/>
  <c r="AA6" i="10"/>
  <c r="V14" i="10"/>
  <c r="W15" i="10"/>
  <c r="I3" i="11"/>
  <c r="C12" i="11"/>
  <c r="J8" i="12"/>
  <c r="AB14" i="12"/>
  <c r="R2" i="13"/>
  <c r="I7" i="13"/>
  <c r="F13" i="13"/>
  <c r="P14" i="13"/>
  <c r="C3" i="14"/>
  <c r="C2" i="15"/>
  <c r="K3" i="15"/>
  <c r="X7" i="15"/>
  <c r="I7" i="15"/>
  <c r="AB7" i="15"/>
  <c r="E7" i="15"/>
  <c r="W7" i="15"/>
  <c r="U7" i="15"/>
  <c r="T7" i="15"/>
  <c r="Q7" i="15"/>
  <c r="O7" i="15"/>
  <c r="G8" i="15"/>
  <c r="D13" i="15"/>
  <c r="E15" i="15"/>
  <c r="AB2" i="16"/>
  <c r="Y2" i="16"/>
  <c r="W2" i="16"/>
  <c r="U2" i="16"/>
  <c r="P2" i="16"/>
  <c r="D2" i="16"/>
  <c r="Q6" i="16"/>
  <c r="D17" i="16"/>
  <c r="H7" i="17"/>
  <c r="AA6" i="18"/>
  <c r="D15" i="18"/>
  <c r="C15" i="18"/>
  <c r="AB15" i="18"/>
  <c r="AA15" i="18"/>
  <c r="Y15" i="18"/>
  <c r="X15" i="18"/>
  <c r="W15" i="18"/>
  <c r="S15" i="18"/>
  <c r="M15" i="18"/>
  <c r="K15" i="18"/>
  <c r="J15" i="18"/>
  <c r="E15" i="18"/>
  <c r="AA6" i="11"/>
  <c r="O6" i="11"/>
  <c r="J6" i="11"/>
  <c r="G2" i="8"/>
  <c r="E6" i="6"/>
  <c r="C13" i="8"/>
  <c r="E6" i="11"/>
  <c r="R6" i="5"/>
  <c r="T13" i="7"/>
  <c r="J13" i="8"/>
  <c r="I14" i="8"/>
  <c r="AA7" i="12"/>
  <c r="P7" i="12"/>
  <c r="I7" i="12"/>
  <c r="U8" i="12"/>
  <c r="Q8" i="12"/>
  <c r="H12" i="9"/>
  <c r="F14" i="9"/>
  <c r="AA12" i="9"/>
  <c r="M14" i="9"/>
  <c r="M7" i="13"/>
  <c r="T6" i="16"/>
  <c r="W6" i="5"/>
  <c r="I13" i="5"/>
  <c r="H15" i="5"/>
  <c r="K17" i="5"/>
  <c r="AB2" i="6"/>
  <c r="AA6" i="6"/>
  <c r="R12" i="6"/>
  <c r="C14" i="6"/>
  <c r="D15" i="6"/>
  <c r="X17" i="6"/>
  <c r="J3" i="7"/>
  <c r="F7" i="7"/>
  <c r="G8" i="7"/>
  <c r="O12" i="7"/>
  <c r="V13" i="7"/>
  <c r="T17" i="7"/>
  <c r="Q2" i="8"/>
  <c r="K7" i="8"/>
  <c r="E12" i="8"/>
  <c r="K13" i="8"/>
  <c r="J14" i="8"/>
  <c r="J15" i="8"/>
  <c r="AB12" i="9"/>
  <c r="N14" i="9"/>
  <c r="M17" i="9"/>
  <c r="W2" i="10"/>
  <c r="V2" i="10"/>
  <c r="N2" i="10"/>
  <c r="Y14" i="10"/>
  <c r="AA15" i="10"/>
  <c r="L3" i="11"/>
  <c r="Q6" i="11"/>
  <c r="G12" i="11"/>
  <c r="X14" i="11"/>
  <c r="D7" i="12"/>
  <c r="P8" i="12"/>
  <c r="V2" i="13"/>
  <c r="N7" i="13"/>
  <c r="H13" i="13"/>
  <c r="S14" i="13"/>
  <c r="F3" i="14"/>
  <c r="Z7" i="14"/>
  <c r="X7" i="14"/>
  <c r="R7" i="14"/>
  <c r="J7" i="14"/>
  <c r="G7" i="14"/>
  <c r="D7" i="14"/>
  <c r="F2" i="15"/>
  <c r="M3" i="15"/>
  <c r="D7" i="15"/>
  <c r="J8" i="15"/>
  <c r="F13" i="15"/>
  <c r="I15" i="15"/>
  <c r="Q2" i="16"/>
  <c r="V6" i="16"/>
  <c r="R17" i="16"/>
  <c r="S7" i="17"/>
  <c r="Z15" i="18"/>
  <c r="C12" i="9"/>
  <c r="I13" i="7"/>
  <c r="M12" i="7"/>
  <c r="S17" i="7"/>
  <c r="P2" i="8"/>
  <c r="K3" i="11"/>
  <c r="P6" i="11"/>
  <c r="X15" i="12"/>
  <c r="J15" i="12"/>
  <c r="AA15" i="12"/>
  <c r="C15" i="12"/>
  <c r="W15" i="12"/>
  <c r="X6" i="5"/>
  <c r="J13" i="5"/>
  <c r="J15" i="5"/>
  <c r="L17" i="5"/>
  <c r="AB6" i="6"/>
  <c r="S12" i="6"/>
  <c r="D14" i="6"/>
  <c r="K3" i="7"/>
  <c r="H7" i="7"/>
  <c r="P12" i="7"/>
  <c r="W13" i="7"/>
  <c r="X15" i="7"/>
  <c r="R15" i="7"/>
  <c r="O15" i="7"/>
  <c r="AA15" i="7"/>
  <c r="U17" i="7"/>
  <c r="R2" i="8"/>
  <c r="M7" i="8"/>
  <c r="H12" i="8"/>
  <c r="L13" i="8"/>
  <c r="K14" i="8"/>
  <c r="L15" i="8"/>
  <c r="O14" i="9"/>
  <c r="O17" i="9"/>
  <c r="Q8" i="10"/>
  <c r="Z8" i="10"/>
  <c r="Z14" i="10"/>
  <c r="P3" i="11"/>
  <c r="R6" i="11"/>
  <c r="I12" i="11"/>
  <c r="E7" i="12"/>
  <c r="R8" i="12"/>
  <c r="E15" i="12"/>
  <c r="R7" i="13"/>
  <c r="K13" i="13"/>
  <c r="T14" i="13"/>
  <c r="G3" i="14"/>
  <c r="C7" i="14"/>
  <c r="G2" i="15"/>
  <c r="Q3" i="15"/>
  <c r="F7" i="15"/>
  <c r="K8" i="15"/>
  <c r="H13" i="15"/>
  <c r="K15" i="15"/>
  <c r="T2" i="16"/>
  <c r="W6" i="16"/>
  <c r="U17" i="16"/>
  <c r="U7" i="17"/>
  <c r="C12" i="7"/>
  <c r="D14" i="9"/>
  <c r="H2" i="8"/>
  <c r="Z6" i="5"/>
  <c r="F7" i="12"/>
  <c r="S8" i="12"/>
  <c r="F15" i="12"/>
  <c r="S7" i="13"/>
  <c r="Z7" i="16"/>
  <c r="X7" i="16"/>
  <c r="U7" i="16"/>
  <c r="S7" i="16"/>
  <c r="R7" i="16"/>
  <c r="P7" i="16"/>
  <c r="M7" i="16"/>
  <c r="J7" i="16"/>
  <c r="I7" i="16"/>
  <c r="F7" i="16"/>
  <c r="D7" i="16"/>
  <c r="C2" i="8"/>
  <c r="J13" i="7"/>
  <c r="Y15" i="9"/>
  <c r="R12" i="7"/>
  <c r="Q3" i="11"/>
  <c r="L15" i="5"/>
  <c r="S12" i="7"/>
  <c r="X15" i="10"/>
  <c r="L15" i="10"/>
  <c r="D15" i="10"/>
  <c r="Z15" i="10"/>
  <c r="R3" i="11"/>
  <c r="U6" i="11"/>
  <c r="G7" i="12"/>
  <c r="C7" i="16"/>
  <c r="AB17" i="17"/>
  <c r="Z17" i="17"/>
  <c r="X17" i="17"/>
  <c r="W17" i="17"/>
  <c r="U17" i="17"/>
  <c r="Q17" i="17"/>
  <c r="O17" i="17"/>
  <c r="M17" i="17"/>
  <c r="L17" i="17"/>
  <c r="E12" i="9"/>
  <c r="P14" i="9"/>
  <c r="AA6" i="7"/>
  <c r="K6" i="7"/>
  <c r="F6" i="7"/>
  <c r="AA13" i="7"/>
  <c r="N13" i="8"/>
  <c r="N17" i="6"/>
  <c r="L17" i="6"/>
  <c r="H17" i="6"/>
  <c r="AA17" i="7"/>
  <c r="U2" i="8"/>
  <c r="C14" i="10"/>
  <c r="C15" i="10"/>
  <c r="S3" i="11"/>
  <c r="X6" i="11"/>
  <c r="L12" i="11"/>
  <c r="R15" i="11"/>
  <c r="J7" i="12"/>
  <c r="W8" i="12"/>
  <c r="H15" i="12"/>
  <c r="W7" i="13"/>
  <c r="Q13" i="13"/>
  <c r="Y14" i="13"/>
  <c r="L3" i="14"/>
  <c r="E12" i="14"/>
  <c r="K2" i="15"/>
  <c r="Z3" i="15"/>
  <c r="U12" i="15"/>
  <c r="M12" i="15"/>
  <c r="I12" i="15"/>
  <c r="C12" i="15"/>
  <c r="AA12" i="15"/>
  <c r="Z12" i="15"/>
  <c r="V12" i="15"/>
  <c r="S12" i="15"/>
  <c r="L13" i="15"/>
  <c r="X15" i="15"/>
  <c r="E7" i="16"/>
  <c r="Y7" i="17"/>
  <c r="E17" i="17"/>
  <c r="G2" i="11"/>
  <c r="P6" i="6"/>
  <c r="M6" i="6"/>
  <c r="X13" i="7"/>
  <c r="T6" i="11"/>
  <c r="C8" i="6"/>
  <c r="V12" i="6"/>
  <c r="H6" i="7"/>
  <c r="T12" i="7"/>
  <c r="AB13" i="7"/>
  <c r="Q7" i="8"/>
  <c r="Q12" i="8"/>
  <c r="O13" i="8"/>
  <c r="O14" i="8"/>
  <c r="P15" i="8"/>
  <c r="R14" i="9"/>
  <c r="R17" i="9"/>
  <c r="Q3" i="5"/>
  <c r="N7" i="5"/>
  <c r="X13" i="5"/>
  <c r="N15" i="5"/>
  <c r="R17" i="5"/>
  <c r="D8" i="6"/>
  <c r="W12" i="6"/>
  <c r="I14" i="6"/>
  <c r="C17" i="6"/>
  <c r="O3" i="7"/>
  <c r="I6" i="7"/>
  <c r="N7" i="7"/>
  <c r="M8" i="7"/>
  <c r="V12" i="7"/>
  <c r="Z14" i="7"/>
  <c r="U14" i="7"/>
  <c r="R14" i="7"/>
  <c r="F15" i="7"/>
  <c r="V2" i="8"/>
  <c r="S7" i="8"/>
  <c r="R12" i="8"/>
  <c r="Q13" i="8"/>
  <c r="U15" i="8"/>
  <c r="W8" i="9"/>
  <c r="X8" i="9"/>
  <c r="S8" i="9"/>
  <c r="Q13" i="9"/>
  <c r="S14" i="9"/>
  <c r="S17" i="9"/>
  <c r="G2" i="10"/>
  <c r="K8" i="10"/>
  <c r="E15" i="10"/>
  <c r="U3" i="11"/>
  <c r="AB8" i="11"/>
  <c r="S8" i="11"/>
  <c r="P8" i="11"/>
  <c r="M12" i="11"/>
  <c r="S14" i="11"/>
  <c r="R14" i="11"/>
  <c r="K14" i="11"/>
  <c r="H14" i="11"/>
  <c r="K7" i="12"/>
  <c r="X8" i="12"/>
  <c r="I15" i="12"/>
  <c r="G17" i="12"/>
  <c r="X7" i="13"/>
  <c r="R13" i="13"/>
  <c r="AA14" i="13"/>
  <c r="M3" i="14"/>
  <c r="K7" i="14"/>
  <c r="L2" i="15"/>
  <c r="K7" i="15"/>
  <c r="X8" i="15"/>
  <c r="D12" i="15"/>
  <c r="M13" i="15"/>
  <c r="Y15" i="15"/>
  <c r="G7" i="16"/>
  <c r="Z2" i="17"/>
  <c r="W2" i="17"/>
  <c r="J2" i="17"/>
  <c r="I2" i="17"/>
  <c r="G2" i="17"/>
  <c r="F2" i="17"/>
  <c r="R17" i="17"/>
  <c r="AB17" i="7"/>
  <c r="G17" i="7"/>
  <c r="D17" i="7"/>
  <c r="F2" i="8"/>
  <c r="E6" i="8"/>
  <c r="D8" i="12"/>
  <c r="S14" i="14"/>
  <c r="M13" i="5"/>
  <c r="U12" i="6"/>
  <c r="X14" i="10"/>
  <c r="O14" i="10"/>
  <c r="H14" i="10"/>
  <c r="AB14" i="10"/>
  <c r="E14" i="10"/>
  <c r="I7" i="5"/>
  <c r="R13" i="5"/>
  <c r="M15" i="5"/>
  <c r="H14" i="6"/>
  <c r="D17" i="6"/>
  <c r="N6" i="7"/>
  <c r="T14" i="9"/>
  <c r="T17" i="9"/>
  <c r="F14" i="10"/>
  <c r="F15" i="10"/>
  <c r="Y3" i="11"/>
  <c r="O12" i="11"/>
  <c r="S7" i="12"/>
  <c r="Y8" i="12"/>
  <c r="K15" i="12"/>
  <c r="O17" i="12"/>
  <c r="AB6" i="13"/>
  <c r="P6" i="13"/>
  <c r="K6" i="13"/>
  <c r="AA7" i="13"/>
  <c r="S13" i="13"/>
  <c r="Q2" i="14"/>
  <c r="E2" i="14"/>
  <c r="Y2" i="14"/>
  <c r="U2" i="14"/>
  <c r="N3" i="14"/>
  <c r="AB13" i="14"/>
  <c r="S13" i="14"/>
  <c r="K13" i="14"/>
  <c r="M2" i="15"/>
  <c r="G6" i="15"/>
  <c r="L6" i="15"/>
  <c r="E6" i="15"/>
  <c r="AB6" i="15"/>
  <c r="X6" i="15"/>
  <c r="W6" i="15"/>
  <c r="T6" i="15"/>
  <c r="R6" i="15"/>
  <c r="L7" i="15"/>
  <c r="Z8" i="15"/>
  <c r="G12" i="15"/>
  <c r="N13" i="15"/>
  <c r="H7" i="16"/>
  <c r="L2" i="17"/>
  <c r="Y17" i="17"/>
  <c r="Z13" i="7"/>
  <c r="R13" i="7"/>
  <c r="N13" i="7"/>
  <c r="X14" i="8"/>
  <c r="P14" i="8"/>
  <c r="M14" i="8"/>
  <c r="C14" i="8"/>
  <c r="AB14" i="8"/>
  <c r="J12" i="9"/>
  <c r="E14" i="6"/>
  <c r="V17" i="7"/>
  <c r="S2" i="8"/>
  <c r="L14" i="8"/>
  <c r="F14" i="6"/>
  <c r="N14" i="8"/>
  <c r="V8" i="12"/>
  <c r="G15" i="12"/>
  <c r="U7" i="5"/>
  <c r="Y13" i="5"/>
  <c r="O15" i="5"/>
  <c r="E8" i="6"/>
  <c r="Y12" i="6"/>
  <c r="J14" i="6"/>
  <c r="W12" i="7"/>
  <c r="W2" i="8"/>
  <c r="R14" i="8"/>
  <c r="G8" i="6"/>
  <c r="AB12" i="6"/>
  <c r="E17" i="6"/>
  <c r="T3" i="7"/>
  <c r="O6" i="7"/>
  <c r="X12" i="7"/>
  <c r="Z2" i="8"/>
  <c r="U7" i="8"/>
  <c r="U12" i="8"/>
  <c r="T13" i="8"/>
  <c r="S14" i="8"/>
  <c r="AA15" i="8"/>
  <c r="U14" i="9"/>
  <c r="U17" i="9"/>
  <c r="G14" i="10"/>
  <c r="G15" i="10"/>
  <c r="P12" i="11"/>
  <c r="P3" i="12"/>
  <c r="G3" i="12"/>
  <c r="V7" i="12"/>
  <c r="Z8" i="12"/>
  <c r="C12" i="12"/>
  <c r="L15" i="12"/>
  <c r="S2" i="13"/>
  <c r="X2" i="13"/>
  <c r="N2" i="13"/>
  <c r="J2" i="13"/>
  <c r="G6" i="13"/>
  <c r="AB7" i="13"/>
  <c r="AB12" i="13"/>
  <c r="V12" i="13"/>
  <c r="R12" i="13"/>
  <c r="D12" i="13"/>
  <c r="T13" i="13"/>
  <c r="F2" i="14"/>
  <c r="P3" i="14"/>
  <c r="M7" i="14"/>
  <c r="E13" i="14"/>
  <c r="N2" i="15"/>
  <c r="D6" i="15"/>
  <c r="M7" i="15"/>
  <c r="AA8" i="15"/>
  <c r="H12" i="15"/>
  <c r="O13" i="15"/>
  <c r="L7" i="16"/>
  <c r="AA17" i="17"/>
  <c r="U14" i="6"/>
  <c r="W14" i="6"/>
  <c r="R14" i="6"/>
  <c r="M13" i="8"/>
  <c r="Z17" i="7"/>
  <c r="T2" i="8"/>
  <c r="Q14" i="9"/>
  <c r="U7" i="13"/>
  <c r="Y2" i="7"/>
  <c r="L2" i="7"/>
  <c r="H2" i="7"/>
  <c r="T7" i="8"/>
  <c r="S12" i="8"/>
  <c r="R13" i="8"/>
  <c r="Y15" i="8"/>
  <c r="T3" i="5"/>
  <c r="V7" i="5"/>
  <c r="Z13" i="5"/>
  <c r="P15" i="5"/>
  <c r="U3" i="5"/>
  <c r="X7" i="5"/>
  <c r="Q15" i="5"/>
  <c r="U17" i="5"/>
  <c r="H8" i="6"/>
  <c r="AB13" i="6"/>
  <c r="S13" i="6"/>
  <c r="P13" i="6"/>
  <c r="L14" i="6"/>
  <c r="L15" i="6"/>
  <c r="F17" i="6"/>
  <c r="I2" i="7"/>
  <c r="V3" i="7"/>
  <c r="P6" i="7"/>
  <c r="Q7" i="7"/>
  <c r="Q8" i="7"/>
  <c r="Y12" i="7"/>
  <c r="H14" i="7"/>
  <c r="I15" i="7"/>
  <c r="AA2" i="8"/>
  <c r="Y7" i="8"/>
  <c r="V12" i="8"/>
  <c r="U13" i="8"/>
  <c r="T14" i="8"/>
  <c r="Y7" i="9"/>
  <c r="V7" i="9"/>
  <c r="S7" i="9"/>
  <c r="F8" i="9"/>
  <c r="V14" i="9"/>
  <c r="W17" i="9"/>
  <c r="K2" i="10"/>
  <c r="I14" i="10"/>
  <c r="H15" i="10"/>
  <c r="E8" i="11"/>
  <c r="T12" i="11"/>
  <c r="F14" i="11"/>
  <c r="F3" i="12"/>
  <c r="W7" i="12"/>
  <c r="AA8" i="12"/>
  <c r="H12" i="12"/>
  <c r="M15" i="12"/>
  <c r="C2" i="13"/>
  <c r="H6" i="13"/>
  <c r="H12" i="13"/>
  <c r="U13" i="13"/>
  <c r="G2" i="14"/>
  <c r="S3" i="14"/>
  <c r="N7" i="14"/>
  <c r="G13" i="14"/>
  <c r="P2" i="15"/>
  <c r="I6" i="15"/>
  <c r="N7" i="15"/>
  <c r="AB8" i="15"/>
  <c r="J12" i="15"/>
  <c r="Q13" i="15"/>
  <c r="O7" i="16"/>
  <c r="Y15" i="14"/>
  <c r="J3" i="18"/>
  <c r="AB8" i="18"/>
  <c r="Y12" i="18"/>
  <c r="W17" i="18"/>
  <c r="H2" i="19"/>
  <c r="K3" i="19"/>
  <c r="N6" i="19"/>
  <c r="M8" i="19"/>
  <c r="C12" i="19"/>
  <c r="K13" i="19"/>
  <c r="T14" i="19"/>
  <c r="Q12" i="17"/>
  <c r="K3" i="18"/>
  <c r="C8" i="18"/>
  <c r="Z12" i="18"/>
  <c r="Y17" i="18"/>
  <c r="M2" i="19"/>
  <c r="M3" i="19"/>
  <c r="O6" i="19"/>
  <c r="N8" i="19"/>
  <c r="E12" i="19"/>
  <c r="L13" i="19"/>
  <c r="U14" i="19"/>
  <c r="N7" i="11"/>
  <c r="L3" i="13"/>
  <c r="N15" i="13"/>
  <c r="F6" i="14"/>
  <c r="D15" i="14"/>
  <c r="AA15" i="14"/>
  <c r="C8" i="17"/>
  <c r="R12" i="17"/>
  <c r="M3" i="18"/>
  <c r="D8" i="18"/>
  <c r="AB12" i="18"/>
  <c r="AA17" i="18"/>
  <c r="N2" i="19"/>
  <c r="N3" i="19"/>
  <c r="R6" i="19"/>
  <c r="O8" i="19"/>
  <c r="F12" i="19"/>
  <c r="M13" i="19"/>
  <c r="V14" i="19"/>
  <c r="AB17" i="18"/>
  <c r="O2" i="19"/>
  <c r="P3" i="19"/>
  <c r="W6" i="19"/>
  <c r="P8" i="19"/>
  <c r="G12" i="19"/>
  <c r="O13" i="19"/>
  <c r="AB14" i="19"/>
  <c r="P2" i="19"/>
  <c r="Q3" i="19"/>
  <c r="Q8" i="19"/>
  <c r="H12" i="19"/>
  <c r="E3" i="8"/>
  <c r="R7" i="11"/>
  <c r="P3" i="13"/>
  <c r="Q15" i="13"/>
  <c r="J6" i="14"/>
  <c r="G15" i="14"/>
  <c r="H8" i="17"/>
  <c r="U12" i="17"/>
  <c r="H15" i="17"/>
  <c r="Q3" i="18"/>
  <c r="G8" i="18"/>
  <c r="H13" i="18"/>
  <c r="C17" i="18"/>
  <c r="R2" i="19"/>
  <c r="R3" i="19"/>
  <c r="C7" i="19"/>
  <c r="R8" i="19"/>
  <c r="I12" i="19"/>
  <c r="Q13" i="19"/>
  <c r="C15" i="19"/>
  <c r="J8" i="17"/>
  <c r="V12" i="17"/>
  <c r="I15" i="17"/>
  <c r="R3" i="18"/>
  <c r="J8" i="18"/>
  <c r="P13" i="18"/>
  <c r="D17" i="18"/>
  <c r="S2" i="19"/>
  <c r="S3" i="19"/>
  <c r="F7" i="19"/>
  <c r="S8" i="19"/>
  <c r="J12" i="19"/>
  <c r="T13" i="19"/>
  <c r="E15" i="19"/>
  <c r="N8" i="17"/>
  <c r="W12" i="17"/>
  <c r="N15" i="17"/>
  <c r="S3" i="18"/>
  <c r="K8" i="18"/>
  <c r="E17" i="18"/>
  <c r="U2" i="19"/>
  <c r="T3" i="19"/>
  <c r="G7" i="19"/>
  <c r="T8" i="19"/>
  <c r="L12" i="19"/>
  <c r="V13" i="19"/>
  <c r="F15" i="19"/>
  <c r="K15" i="16"/>
  <c r="O8" i="17"/>
  <c r="Y12" i="17"/>
  <c r="V3" i="18"/>
  <c r="M8" i="18"/>
  <c r="G17" i="18"/>
  <c r="V2" i="19"/>
  <c r="U3" i="19"/>
  <c r="H7" i="19"/>
  <c r="V8" i="19"/>
  <c r="P12" i="19"/>
  <c r="W13" i="19"/>
  <c r="G15" i="19"/>
  <c r="Y15" i="16"/>
  <c r="Q8" i="17"/>
  <c r="AB12" i="17"/>
  <c r="Y3" i="18"/>
  <c r="O8" i="18"/>
  <c r="L14" i="18"/>
  <c r="J17" i="18"/>
  <c r="X2" i="19"/>
  <c r="W3" i="19"/>
  <c r="M7" i="19"/>
  <c r="Y8" i="19"/>
  <c r="R12" i="19"/>
  <c r="Z13" i="19"/>
  <c r="L15" i="19"/>
  <c r="C17" i="19"/>
  <c r="C3" i="16"/>
  <c r="R8" i="17"/>
  <c r="P8" i="18"/>
  <c r="Q14" i="18"/>
  <c r="L17" i="18"/>
  <c r="Z2" i="19"/>
  <c r="Y3" i="19"/>
  <c r="R7" i="19"/>
  <c r="Z8" i="19"/>
  <c r="T12" i="19"/>
  <c r="AA13" i="19"/>
  <c r="M15" i="19"/>
  <c r="E17" i="19"/>
  <c r="Z7" i="11"/>
  <c r="Z15" i="13"/>
  <c r="Q6" i="14"/>
  <c r="N15" i="14"/>
  <c r="O3" i="16"/>
  <c r="C12" i="16"/>
  <c r="S8" i="17"/>
  <c r="M17" i="18"/>
  <c r="AB2" i="19"/>
  <c r="Z3" i="19"/>
  <c r="U7" i="19"/>
  <c r="AA8" i="19"/>
  <c r="U12" i="19"/>
  <c r="O15" i="19"/>
  <c r="F17" i="19"/>
  <c r="AA3" i="19"/>
  <c r="AB8" i="19"/>
  <c r="V12" i="19"/>
  <c r="F14" i="19"/>
  <c r="P15" i="19"/>
  <c r="G17" i="19"/>
  <c r="S3" i="16"/>
  <c r="K12" i="16"/>
  <c r="U8" i="17"/>
  <c r="E12" i="17"/>
  <c r="N13" i="17"/>
  <c r="S8" i="18"/>
  <c r="V14" i="18"/>
  <c r="O17" i="18"/>
  <c r="C3" i="19"/>
  <c r="AB3" i="19"/>
  <c r="C8" i="19"/>
  <c r="Y12" i="19"/>
  <c r="G14" i="19"/>
  <c r="Q15" i="19"/>
  <c r="M17" i="19"/>
  <c r="T8" i="18"/>
  <c r="X14" i="18"/>
  <c r="P17" i="18"/>
  <c r="D3" i="19"/>
  <c r="D8" i="19"/>
  <c r="AA12" i="19"/>
  <c r="H14" i="19"/>
  <c r="W15" i="19"/>
  <c r="O17" i="19"/>
  <c r="W6" i="14"/>
  <c r="R15" i="14"/>
  <c r="W17" i="15"/>
  <c r="X12" i="16"/>
  <c r="W8" i="17"/>
  <c r="C7" i="18"/>
  <c r="Q17" i="18"/>
  <c r="E3" i="19"/>
  <c r="E8" i="19"/>
  <c r="AB12" i="19"/>
  <c r="J14" i="19"/>
  <c r="Y15" i="19"/>
  <c r="Q17" i="19"/>
  <c r="D7" i="18"/>
  <c r="R17" i="18"/>
  <c r="F3" i="19"/>
  <c r="F8" i="19"/>
  <c r="K14" i="19"/>
  <c r="AA15" i="19"/>
  <c r="R17" i="19"/>
  <c r="AA8" i="17"/>
  <c r="I12" i="17"/>
  <c r="D3" i="18"/>
  <c r="S17" i="18"/>
  <c r="G3" i="19"/>
  <c r="E6" i="19"/>
  <c r="G8" i="19"/>
  <c r="C13" i="19"/>
  <c r="L14" i="19"/>
  <c r="AB15" i="19"/>
  <c r="V17" i="19"/>
  <c r="H3" i="19"/>
  <c r="G6" i="19"/>
  <c r="H8" i="19"/>
  <c r="D13" i="19"/>
  <c r="O14" i="19"/>
  <c r="Y17" i="19"/>
  <c r="U17" i="18"/>
  <c r="C2" i="19"/>
  <c r="I3" i="19"/>
  <c r="H6" i="19"/>
  <c r="J8" i="19"/>
  <c r="E13" i="19"/>
  <c r="Q14" i="19"/>
  <c r="AA17" i="19"/>
  <c r="V17" i="18"/>
  <c r="F2" i="19"/>
  <c r="J3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<sst xmlns="http://schemas.openxmlformats.org/spreadsheetml/2006/main" count="3113" uniqueCount="587">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</sst>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45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CA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0.10210907889526893</v>
      </c>
      <c r="C2" s="7">
        <f>$B2 * IFERROR(VLOOKUP("transport|PM25|Premature mortality", US_national_yearly!$D:$AM, 11, FALSE) / VLOOKUP("transport|PM25|Premature mortality", US_national_yearly!$D:$AM, 10, FALSE), 1)</f>
        <v>0.10337500770293973</v>
      </c>
      <c r="D2" s="7">
        <f>$B2 * IFERROR(VLOOKUP("transport|PM25|Premature mortality", US_national_yearly!$D:$AM, 12, FALSE) / VLOOKUP("transport|PM25|Premature mortality", US_national_yearly!$D:$AM, 10, FALSE), 1)</f>
        <v>0.10464093651061049</v>
      </c>
      <c r="E2" s="7">
        <f>$B2 * IFERROR(VLOOKUP("transport|PM25|Premature mortality", US_national_yearly!$D:$AM, 13, FALSE) / VLOOKUP("transport|PM25|Premature mortality", US_national_yearly!$D:$AM, 10, FALSE), 1)</f>
        <v>0.10590686531828125</v>
      </c>
      <c r="F2" s="7">
        <f>$B2 * IFERROR(VLOOKUP("transport|PM25|Premature mortality", US_national_yearly!$D:$AM, 14, FALSE) / VLOOKUP("transport|PM25|Premature mortality", US_national_yearly!$D:$AM, 10, FALSE), 1)</f>
        <v>0.10717279412595201</v>
      </c>
      <c r="G2" s="7">
        <f>$B2 * IFERROR(VLOOKUP("transport|PM25|Premature mortality", US_national_yearly!$D:$AM, 15, FALSE) / VLOOKUP("transport|PM25|Premature mortality", US_national_yearly!$D:$AM, 10, FALSE), 1)</f>
        <v>0.10963818093148178</v>
      </c>
      <c r="H2" s="7">
        <f>$B2 * IFERROR(VLOOKUP("transport|PM25|Premature mortality", US_national_yearly!$D:$AM, 16, FALSE) / VLOOKUP("transport|PM25|Premature mortality", US_national_yearly!$D:$AM, 10, FALSE), 1)</f>
        <v>0.11210356773701155</v>
      </c>
      <c r="I2" s="7">
        <f>$B2 * IFERROR(VLOOKUP("transport|PM25|Premature mortality", US_national_yearly!$D:$AM, 17, FALSE) / VLOOKUP("transport|PM25|Premature mortality", US_national_yearly!$D:$AM, 10, FALSE), 1)</f>
        <v>0.11372293757167497</v>
      </c>
      <c r="J2" s="7">
        <f>$B2 * IFERROR(VLOOKUP("transport|PM25|Premature mortality", US_national_yearly!$D:$AM, 18, FALSE) / VLOOKUP("transport|PM25|Premature mortality", US_national_yearly!$D:$AM, 10, FALSE), 1)</f>
        <v>0.11534230740633843</v>
      </c>
      <c r="K2" s="7">
        <f>$B2 * IFERROR(VLOOKUP("transport|PM25|Premature mortality", US_national_yearly!$D:$AM, 19, FALSE) / VLOOKUP("transport|PM25|Premature mortality", US_national_yearly!$D:$AM, 10, FALSE), 1)</f>
        <v>0.11696167724100187</v>
      </c>
      <c r="L2" s="7">
        <f>$B2 * IFERROR(VLOOKUP("transport|PM25|Premature mortality", US_national_yearly!$D:$AM, 20, FALSE) / VLOOKUP("transport|PM25|Premature mortality", US_national_yearly!$D:$AM, 10, FALSE), 1)</f>
        <v>0.11858104707566533</v>
      </c>
      <c r="M2" s="7">
        <f>$B2 * IFERROR(VLOOKUP("transport|PM25|Premature mortality", US_national_yearly!$D:$AM, 21, FALSE) / VLOOKUP("transport|PM25|Premature mortality", US_national_yearly!$D:$AM, 10, FALSE), 1)</f>
        <v>0.12020041691032878</v>
      </c>
      <c r="N2" s="7">
        <f>$B2 * IFERROR(VLOOKUP("transport|PM25|Premature mortality", US_national_yearly!$D:$AM, 22, FALSE) / VLOOKUP("transport|PM25|Premature mortality", US_national_yearly!$D:$AM, 10, FALSE), 1)</f>
        <v>0.12145775452370736</v>
      </c>
      <c r="O2" s="7">
        <f>$B2 * IFERROR(VLOOKUP("transport|PM25|Premature mortality", US_national_yearly!$D:$AM, 23, FALSE) / VLOOKUP("transport|PM25|Premature mortality", US_national_yearly!$D:$AM, 10, FALSE), 1)</f>
        <v>0.12271509213708595</v>
      </c>
      <c r="P2" s="7">
        <f>$B2 * IFERROR(VLOOKUP("transport|PM25|Premature mortality", US_national_yearly!$D:$AM, 24, FALSE) / VLOOKUP("transport|PM25|Premature mortality", US_national_yearly!$D:$AM, 10, FALSE), 1)</f>
        <v>0.12397242975046453</v>
      </c>
      <c r="Q2" s="7">
        <f>$B2 * IFERROR(VLOOKUP("transport|PM25|Premature mortality", US_national_yearly!$D:$AM, 25, FALSE) / VLOOKUP("transport|PM25|Premature mortality", US_national_yearly!$D:$AM, 10, FALSE), 1)</f>
        <v>0.12522976736384311</v>
      </c>
      <c r="R2" s="7">
        <f>$B2 * IFERROR(VLOOKUP("transport|PM25|Premature mortality", US_national_yearly!$D:$AM, 26, FALSE) / VLOOKUP("transport|PM25|Premature mortality", US_national_yearly!$D:$AM, 10, FALSE), 1)</f>
        <v>0.12648710497722174</v>
      </c>
      <c r="S2" s="7">
        <f>$B2 * IFERROR(VLOOKUP("transport|PM25|Premature mortality", US_national_yearly!$D:$AM, 27, FALSE) / VLOOKUP("transport|PM25|Premature mortality", US_national_yearly!$D:$AM, 10, FALSE), 1)</f>
        <v>0.12715320508804409</v>
      </c>
      <c r="T2" s="7">
        <f>$B2 * IFERROR(VLOOKUP("transport|PM25|Premature mortality", US_national_yearly!$D:$AM, 28, FALSE) / VLOOKUP("transport|PM25|Premature mortality", US_national_yearly!$D:$AM, 10, FALSE), 1)</f>
        <v>0.12781930519886645</v>
      </c>
      <c r="U2" s="7">
        <f>$B2 * IFERROR(VLOOKUP("transport|PM25|Premature mortality", US_national_yearly!$D:$AM, 29, FALSE) / VLOOKUP("transport|PM25|Premature mortality", US_national_yearly!$D:$AM, 10, FALSE), 1)</f>
        <v>0.12848540530968877</v>
      </c>
      <c r="V2" s="7">
        <f>$B2 * IFERROR(VLOOKUP("transport|PM25|Premature mortality", US_national_yearly!$D:$AM, 30, FALSE) / VLOOKUP("transport|PM25|Premature mortality", US_national_yearly!$D:$AM, 10, FALSE), 1)</f>
        <v>0.12915150542051113</v>
      </c>
      <c r="W2" s="7">
        <f>$B2 * IFERROR(VLOOKUP("transport|PM25|Premature mortality", US_national_yearly!$D:$AM, 31, FALSE) / VLOOKUP("transport|PM25|Premature mortality", US_national_yearly!$D:$AM, 10, FALSE), 1)</f>
        <v>0.12981760553133345</v>
      </c>
      <c r="X2" s="7">
        <f>$B2 * IFERROR(VLOOKUP("transport|PM25|Premature mortality", US_national_yearly!$D:$AM, 32, FALSE) / VLOOKUP("transport|PM25|Premature mortality", US_national_yearly!$D:$AM, 10, FALSE), 1)</f>
        <v>0.12993407828835205</v>
      </c>
      <c r="Y2" s="7">
        <f>$B2 * IFERROR(VLOOKUP("transport|PM25|Premature mortality", US_national_yearly!$D:$AM, 33, FALSE) / VLOOKUP("transport|PM25|Premature mortality", US_national_yearly!$D:$AM, 10, FALSE), 1)</f>
        <v>0.13005055104537067</v>
      </c>
      <c r="Z2" s="7">
        <f>$B2 * IFERROR(VLOOKUP("transport|PM25|Premature mortality", US_national_yearly!$D:$AM, 34, FALSE) / VLOOKUP("transport|PM25|Premature mortality", US_national_yearly!$D:$AM, 10, FALSE), 1)</f>
        <v>0.13016702380238926</v>
      </c>
      <c r="AA2" s="7">
        <f>$B2 * IFERROR(VLOOKUP("transport|PM25|Premature mortality", US_national_yearly!$D:$AM, 35, FALSE) / VLOOKUP("transport|PM25|Premature mortality", US_national_yearly!$D:$AM, 10, FALSE), 1)</f>
        <v>0.13028349655940785</v>
      </c>
      <c r="AB2" s="7">
        <f>$B2 * IFERROR(VLOOKUP("transport|PM25|Premature mortality", US_national_yearly!$D:$AM, 36, FALSE) / VLOOKUP("transport|PM25|Premature mortality", US_national_yearly!$D:$AM, 10, FALSE), 1)</f>
        <v>0.13039996931642645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2.2377047186381897E-4</v>
      </c>
      <c r="C3" s="7">
        <f>$B3 * IFERROR(VLOOKUP("transport|PM25|Infant mortality", US_national_yearly!$D:$AM, 11, FALSE) / VLOOKUP("transport|PM25|Infant mortality", US_national_yearly!$D:$AM, 10, FALSE), 1)</f>
        <v>2.2181939754117749E-4</v>
      </c>
      <c r="D3" s="7">
        <f>$B3 * IFERROR(VLOOKUP("transport|PM25|Infant mortality", US_national_yearly!$D:$AM, 12, FALSE) / VLOOKUP("transport|PM25|Infant mortality", US_national_yearly!$D:$AM, 10, FALSE), 1)</f>
        <v>2.1986832321853599E-4</v>
      </c>
      <c r="E3" s="7">
        <f>$B3 * IFERROR(VLOOKUP("transport|PM25|Infant mortality", US_national_yearly!$D:$AM, 13, FALSE) / VLOOKUP("transport|PM25|Infant mortality", US_national_yearly!$D:$AM, 10, FALSE), 1)</f>
        <v>2.1791724889589449E-4</v>
      </c>
      <c r="F3" s="7">
        <f>$B3 * IFERROR(VLOOKUP("transport|PM25|Infant mortality", US_national_yearly!$D:$AM, 14, FALSE) / VLOOKUP("transport|PM25|Infant mortality", US_national_yearly!$D:$AM, 10, FALSE), 1)</f>
        <v>2.1596617457325296E-4</v>
      </c>
      <c r="G3" s="7">
        <f>$B3 * IFERROR(VLOOKUP("transport|PM25|Infant mortality", US_national_yearly!$D:$AM, 15, FALSE) / VLOOKUP("transport|PM25|Infant mortality", US_national_yearly!$D:$AM, 10, FALSE), 1)</f>
        <v>1.4362905854433913E-4</v>
      </c>
      <c r="H3" s="7">
        <f>$B3 * IFERROR(VLOOKUP("transport|PM25|Infant mortality", US_national_yearly!$D:$AM, 16, FALSE) / VLOOKUP("transport|PM25|Infant mortality", US_national_yearly!$D:$AM, 10, FALSE), 1)</f>
        <v>7.1291942515425223E-5</v>
      </c>
      <c r="I3" s="7">
        <f>$B3 * IFERROR(VLOOKUP("transport|PM25|Infant mortality", US_national_yearly!$D:$AM, 17, FALSE) / VLOOKUP("transport|PM25|Infant mortality", US_national_yearly!$D:$AM, 10, FALSE), 1)</f>
        <v>7.0825931907300067E-5</v>
      </c>
      <c r="J3" s="7">
        <f>$B3 * IFERROR(VLOOKUP("transport|PM25|Infant mortality", US_national_yearly!$D:$AM, 18, FALSE) / VLOOKUP("transport|PM25|Infant mortality", US_national_yearly!$D:$AM, 10, FALSE), 1)</f>
        <v>7.0359921299174898E-5</v>
      </c>
      <c r="K3" s="7">
        <f>$B3 * IFERROR(VLOOKUP("transport|PM25|Infant mortality", US_national_yearly!$D:$AM, 19, FALSE) / VLOOKUP("transport|PM25|Infant mortality", US_national_yearly!$D:$AM, 10, FALSE), 1)</f>
        <v>6.9893910691049728E-5</v>
      </c>
      <c r="L3" s="7">
        <f>$B3 * IFERROR(VLOOKUP("transport|PM25|Infant mortality", US_national_yearly!$D:$AM, 20, FALSE) / VLOOKUP("transport|PM25|Infant mortality", US_national_yearly!$D:$AM, 10, FALSE), 1)</f>
        <v>6.9427900082924573E-5</v>
      </c>
      <c r="M3" s="7">
        <f>$B3 * IFERROR(VLOOKUP("transport|PM25|Infant mortality", US_national_yearly!$D:$AM, 21, FALSE) / VLOOKUP("transport|PM25|Infant mortality", US_national_yearly!$D:$AM, 10, FALSE), 1)</f>
        <v>6.8961889474799417E-5</v>
      </c>
      <c r="N3" s="7">
        <f>$B3 * IFERROR(VLOOKUP("transport|PM25|Infant mortality", US_national_yearly!$D:$AM, 22, FALSE) / VLOOKUP("transport|PM25|Infant mortality", US_national_yearly!$D:$AM, 10, FALSE), 1)</f>
        <v>6.866918322048375E-5</v>
      </c>
      <c r="O3" s="7">
        <f>$B3 * IFERROR(VLOOKUP("transport|PM25|Infant mortality", US_national_yearly!$D:$AM, 23, FALSE) / VLOOKUP("transport|PM25|Infant mortality", US_national_yearly!$D:$AM, 10, FALSE), 1)</f>
        <v>6.8376476966168083E-5</v>
      </c>
      <c r="P3" s="7">
        <f>$B3 * IFERROR(VLOOKUP("transport|PM25|Infant mortality", US_national_yearly!$D:$AM, 24, FALSE) / VLOOKUP("transport|PM25|Infant mortality", US_national_yearly!$D:$AM, 10, FALSE), 1)</f>
        <v>6.8083770711852403E-5</v>
      </c>
      <c r="Q3" s="7">
        <f>$B3 * IFERROR(VLOOKUP("transport|PM25|Infant mortality", US_national_yearly!$D:$AM, 25, FALSE) / VLOOKUP("transport|PM25|Infant mortality", US_national_yearly!$D:$AM, 10, FALSE), 1)</f>
        <v>6.7791064457536749E-5</v>
      </c>
      <c r="R3" s="7">
        <f>$B3 * IFERROR(VLOOKUP("transport|PM25|Infant mortality", US_national_yearly!$D:$AM, 26, FALSE) / VLOOKUP("transport|PM25|Infant mortality", US_national_yearly!$D:$AM, 10, FALSE), 1)</f>
        <v>6.7498358203221082E-5</v>
      </c>
      <c r="S3" s="7">
        <f>$B3 * IFERROR(VLOOKUP("transport|PM25|Infant mortality", US_national_yearly!$D:$AM, 27, FALSE) / VLOOKUP("transport|PM25|Infant mortality", US_national_yearly!$D:$AM, 10, FALSE), 1)</f>
        <v>6.7133493872369306E-5</v>
      </c>
      <c r="T3" s="7">
        <f>$B3 * IFERROR(VLOOKUP("transport|PM25|Infant mortality", US_national_yearly!$D:$AM, 28, FALSE) / VLOOKUP("transport|PM25|Infant mortality", US_national_yearly!$D:$AM, 10, FALSE), 1)</f>
        <v>6.6768629541517517E-5</v>
      </c>
      <c r="U3" s="7">
        <f>$B3 * IFERROR(VLOOKUP("transport|PM25|Infant mortality", US_national_yearly!$D:$AM, 29, FALSE) / VLOOKUP("transport|PM25|Infant mortality", US_national_yearly!$D:$AM, 10, FALSE), 1)</f>
        <v>6.6403765210665741E-5</v>
      </c>
      <c r="V3" s="7">
        <f>$B3 * IFERROR(VLOOKUP("transport|PM25|Infant mortality", US_national_yearly!$D:$AM, 30, FALSE) / VLOOKUP("transport|PM25|Infant mortality", US_national_yearly!$D:$AM, 10, FALSE), 1)</f>
        <v>6.6038900879813965E-5</v>
      </c>
      <c r="W3" s="7">
        <f>$B3 * IFERROR(VLOOKUP("transport|PM25|Infant mortality", US_national_yearly!$D:$AM, 31, FALSE) / VLOOKUP("transport|PM25|Infant mortality", US_national_yearly!$D:$AM, 10, FALSE), 1)</f>
        <v>6.5674036548962175E-5</v>
      </c>
      <c r="X3" s="7">
        <f>$B3 * IFERROR(VLOOKUP("transport|PM25|Infant mortality", US_national_yearly!$D:$AM, 32, FALSE) / VLOOKUP("transport|PM25|Infant mortality", US_national_yearly!$D:$AM, 10, FALSE), 1)</f>
        <v>6.5280666941668693E-5</v>
      </c>
      <c r="Y3" s="7">
        <f>$B3 * IFERROR(VLOOKUP("transport|PM25|Infant mortality", US_national_yearly!$D:$AM, 33, FALSE) / VLOOKUP("transport|PM25|Infant mortality", US_national_yearly!$D:$AM, 10, FALSE), 1)</f>
        <v>6.4887297334375183E-5</v>
      </c>
      <c r="Z3" s="7">
        <f>$B3 * IFERROR(VLOOKUP("transport|PM25|Infant mortality", US_national_yearly!$D:$AM, 34, FALSE) / VLOOKUP("transport|PM25|Infant mortality", US_national_yearly!$D:$AM, 10, FALSE), 1)</f>
        <v>6.4493927727081715E-5</v>
      </c>
      <c r="AA3" s="7">
        <f>$B3 * IFERROR(VLOOKUP("transport|PM25|Infant mortality", US_national_yearly!$D:$AM, 35, FALSE) / VLOOKUP("transport|PM25|Infant mortality", US_national_yearly!$D:$AM, 10, FALSE), 1)</f>
        <v>6.4100558119788219E-5</v>
      </c>
      <c r="AB3" s="7">
        <f>$B3 * IFERROR(VLOOKUP("transport|PM25|Infant mortality", US_national_yearly!$D:$AM, 36, FALSE) / VLOOKUP("transport|PM25|Infant mortality", US_national_yearly!$D:$AM, 10, FALSE), 1)</f>
        <v>6.3707188512494736E-5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0.33048600267754075</v>
      </c>
      <c r="C6" s="7">
        <f>$B6 * IFERROR(VLOOKUP("transport|PM25|Asthma symptoms cough", US_national_yearly!$D:$AM, 11, FALSE) / VLOOKUP("transport|PM25|Asthma symptoms cough", US_national_yearly!$D:$AM, 10, FALSE), 1)</f>
        <v>0.33048600267754075</v>
      </c>
      <c r="D6" s="7">
        <f>$B6 * IFERROR(VLOOKUP("transport|PM25|Asthma symptoms cough", US_national_yearly!$D:$AM, 12, FALSE) / VLOOKUP("transport|PM25|Asthma symptoms cough", US_national_yearly!$D:$AM, 10, FALSE), 1)</f>
        <v>0.33048600267754075</v>
      </c>
      <c r="E6" s="7">
        <f>$B6 * IFERROR(VLOOKUP("transport|PM25|Asthma symptoms cough", US_national_yearly!$D:$AM, 13, FALSE) / VLOOKUP("transport|PM25|Asthma symptoms cough", US_national_yearly!$D:$AM, 10, FALSE), 1)</f>
        <v>0.33048600267754075</v>
      </c>
      <c r="F6" s="7">
        <f>$B6 * IFERROR(VLOOKUP("transport|PM25|Asthma symptoms cough", US_national_yearly!$D:$AM, 14, FALSE) / VLOOKUP("transport|PM25|Asthma symptoms cough", US_national_yearly!$D:$AM, 10, FALSE), 1)</f>
        <v>0.33048600267754075</v>
      </c>
      <c r="G6" s="7">
        <f>$B6 * IFERROR(VLOOKUP("transport|PM25|Asthma symptoms cough", US_national_yearly!$D:$AM, 15, FALSE) / VLOOKUP("transport|PM25|Asthma symptoms cough", US_national_yearly!$D:$AM, 10, FALSE), 1)</f>
        <v>0.33048600267754075</v>
      </c>
      <c r="H6" s="7">
        <f>$B6 * IFERROR(VLOOKUP("transport|PM25|Asthma symptoms cough", US_national_yearly!$D:$AM, 16, FALSE) / VLOOKUP("transport|PM25|Asthma symptoms cough", US_national_yearly!$D:$AM, 10, FALSE), 1)</f>
        <v>0.33048600267754075</v>
      </c>
      <c r="I6" s="7">
        <f>$B6 * IFERROR(VLOOKUP("transport|PM25|Asthma symptoms cough", US_national_yearly!$D:$AM, 17, FALSE) / VLOOKUP("transport|PM25|Asthma symptoms cough", US_national_yearly!$D:$AM, 10, FALSE), 1)</f>
        <v>0.33048600267754075</v>
      </c>
      <c r="J6" s="7">
        <f>$B6 * IFERROR(VLOOKUP("transport|PM25|Asthma symptoms cough", US_national_yearly!$D:$AM, 18, FALSE) / VLOOKUP("transport|PM25|Asthma symptoms cough", US_national_yearly!$D:$AM, 10, FALSE), 1)</f>
        <v>0.33048600267754075</v>
      </c>
      <c r="K6" s="7">
        <f>$B6 * IFERROR(VLOOKUP("transport|PM25|Asthma symptoms cough", US_national_yearly!$D:$AM, 19, FALSE) / VLOOKUP("transport|PM25|Asthma symptoms cough", US_national_yearly!$D:$AM, 10, FALSE), 1)</f>
        <v>0.33048600267754075</v>
      </c>
      <c r="L6" s="7">
        <f>$B6 * IFERROR(VLOOKUP("transport|PM25|Asthma symptoms cough", US_national_yearly!$D:$AM, 20, FALSE) / VLOOKUP("transport|PM25|Asthma symptoms cough", US_national_yearly!$D:$AM, 10, FALSE), 1)</f>
        <v>0.33048600267754075</v>
      </c>
      <c r="M6" s="7">
        <f>$B6 * IFERROR(VLOOKUP("transport|PM25|Asthma symptoms cough", US_national_yearly!$D:$AM, 21, FALSE) / VLOOKUP("transport|PM25|Asthma symptoms cough", US_national_yearly!$D:$AM, 10, FALSE), 1)</f>
        <v>0.33048600267754075</v>
      </c>
      <c r="N6" s="7">
        <f>$B6 * IFERROR(VLOOKUP("transport|PM25|Asthma symptoms cough", US_national_yearly!$D:$AM, 22, FALSE) / VLOOKUP("transport|PM25|Asthma symptoms cough", US_national_yearly!$D:$AM, 10, FALSE), 1)</f>
        <v>0.33048600267754075</v>
      </c>
      <c r="O6" s="7">
        <f>$B6 * IFERROR(VLOOKUP("transport|PM25|Asthma symptoms cough", US_national_yearly!$D:$AM, 23, FALSE) / VLOOKUP("transport|PM25|Asthma symptoms cough", US_national_yearly!$D:$AM, 10, FALSE), 1)</f>
        <v>0.33048600267754075</v>
      </c>
      <c r="P6" s="7">
        <f>$B6 * IFERROR(VLOOKUP("transport|PM25|Asthma symptoms cough", US_national_yearly!$D:$AM, 24, FALSE) / VLOOKUP("transport|PM25|Asthma symptoms cough", US_national_yearly!$D:$AM, 10, FALSE), 1)</f>
        <v>0.33048600267754075</v>
      </c>
      <c r="Q6" s="7">
        <f>$B6 * IFERROR(VLOOKUP("transport|PM25|Asthma symptoms cough", US_national_yearly!$D:$AM, 25, FALSE) / VLOOKUP("transport|PM25|Asthma symptoms cough", US_national_yearly!$D:$AM, 10, FALSE), 1)</f>
        <v>0.33048600267754075</v>
      </c>
      <c r="R6" s="7">
        <f>$B6 * IFERROR(VLOOKUP("transport|PM25|Asthma symptoms cough", US_national_yearly!$D:$AM, 26, FALSE) / VLOOKUP("transport|PM25|Asthma symptoms cough", US_national_yearly!$D:$AM, 10, FALSE), 1)</f>
        <v>0.33048600267754075</v>
      </c>
      <c r="S6" s="7">
        <f>$B6 * IFERROR(VLOOKUP("transport|PM25|Asthma symptoms cough", US_national_yearly!$D:$AM, 27, FALSE) / VLOOKUP("transport|PM25|Asthma symptoms cough", US_national_yearly!$D:$AM, 10, FALSE), 1)</f>
        <v>0.33048600267754075</v>
      </c>
      <c r="T6" s="7">
        <f>$B6 * IFERROR(VLOOKUP("transport|PM25|Asthma symptoms cough", US_national_yearly!$D:$AM, 28, FALSE) / VLOOKUP("transport|PM25|Asthma symptoms cough", US_national_yearly!$D:$AM, 10, FALSE), 1)</f>
        <v>0.33048600267754075</v>
      </c>
      <c r="U6" s="7">
        <f>$B6 * IFERROR(VLOOKUP("transport|PM25|Asthma symptoms cough", US_national_yearly!$D:$AM, 29, FALSE) / VLOOKUP("transport|PM25|Asthma symptoms cough", US_national_yearly!$D:$AM, 10, FALSE), 1)</f>
        <v>0.33048600267754075</v>
      </c>
      <c r="V6" s="7">
        <f>$B6 * IFERROR(VLOOKUP("transport|PM25|Asthma symptoms cough", US_national_yearly!$D:$AM, 30, FALSE) / VLOOKUP("transport|PM25|Asthma symptoms cough", US_national_yearly!$D:$AM, 10, FALSE), 1)</f>
        <v>0.33048600267754075</v>
      </c>
      <c r="W6" s="7">
        <f>$B6 * IFERROR(VLOOKUP("transport|PM25|Asthma symptoms cough", US_national_yearly!$D:$AM, 31, FALSE) / VLOOKUP("transport|PM25|Asthma symptoms cough", US_national_yearly!$D:$AM, 10, FALSE), 1)</f>
        <v>0.33048600267754075</v>
      </c>
      <c r="X6" s="7">
        <f>$B6 * IFERROR(VLOOKUP("transport|PM25|Asthma symptoms cough", US_national_yearly!$D:$AM, 32, FALSE) / VLOOKUP("transport|PM25|Asthma symptoms cough", US_national_yearly!$D:$AM, 10, FALSE), 1)</f>
        <v>0.33048600267754075</v>
      </c>
      <c r="Y6" s="7">
        <f>$B6 * IFERROR(VLOOKUP("transport|PM25|Asthma symptoms cough", US_national_yearly!$D:$AM, 33, FALSE) / VLOOKUP("transport|PM25|Asthma symptoms cough", US_national_yearly!$D:$AM, 10, FALSE), 1)</f>
        <v>0.33048600267754075</v>
      </c>
      <c r="Z6" s="7">
        <f>$B6 * IFERROR(VLOOKUP("transport|PM25|Asthma symptoms cough", US_national_yearly!$D:$AM, 34, FALSE) / VLOOKUP("transport|PM25|Asthma symptoms cough", US_national_yearly!$D:$AM, 10, FALSE), 1)</f>
        <v>0.33048600267754075</v>
      </c>
      <c r="AA6" s="7">
        <f>$B6 * IFERROR(VLOOKUP("transport|PM25|Asthma symptoms cough", US_national_yearly!$D:$AM, 35, FALSE) / VLOOKUP("transport|PM25|Asthma symptoms cough", US_national_yearly!$D:$AM, 10, FALSE), 1)</f>
        <v>0.33048600267754075</v>
      </c>
      <c r="AB6" s="7">
        <f>$B6 * IFERROR(VLOOKUP("transport|PM25|Asthma symptoms cough", US_national_yearly!$D:$AM, 36, FALSE) / VLOOKUP("transport|PM25|Asthma symptoms cough", US_national_yearly!$D:$AM, 10, FALSE), 1)</f>
        <v>0.33048600267754075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0.44501461736591585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0.44501461736591585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0.44501461736591585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0.44501461736591585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0.44501461736591585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0.44501461736591585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0.44501461736591585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0.44501461736591585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0.44501461736591585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0.44501461736591585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0.44501461736591585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0.44501461736591585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0.44501461736591585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0.44501461736591585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0.44501461736591585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0.44501461736591585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0.44501461736591585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0.44501461736591585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0.44501461736591585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0.44501461736591585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0.44501461736591585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0.44501461736591585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0.44501461736591585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0.44501461736591585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0.44501461736591585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0.44501461736591585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0.44501461736591585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0.68002358377795524</v>
      </c>
      <c r="C8" s="7">
        <f>$B8 * IFERROR(VLOOKUP("transport|PM25|Asthma symptoms wheeze", US_national_yearly!$D:$AM, 11, FALSE) / VLOOKUP("transport|PM25|Asthma symptoms wheeze", US_national_yearly!$D:$AM, 10, FALSE), 1)</f>
        <v>0.68002358377795524</v>
      </c>
      <c r="D8" s="7">
        <f>$B8 * IFERROR(VLOOKUP("transport|PM25|Asthma symptoms wheeze", US_national_yearly!$D:$AM, 12, FALSE) / VLOOKUP("transport|PM25|Asthma symptoms wheeze", US_national_yearly!$D:$AM, 10, FALSE), 1)</f>
        <v>0.68002358377795524</v>
      </c>
      <c r="E8" s="7">
        <f>$B8 * IFERROR(VLOOKUP("transport|PM25|Asthma symptoms wheeze", US_national_yearly!$D:$AM, 13, FALSE) / VLOOKUP("transport|PM25|Asthma symptoms wheeze", US_national_yearly!$D:$AM, 10, FALSE), 1)</f>
        <v>0.68002358377795524</v>
      </c>
      <c r="F8" s="7">
        <f>$B8 * IFERROR(VLOOKUP("transport|PM25|Asthma symptoms wheeze", US_national_yearly!$D:$AM, 14, FALSE) / VLOOKUP("transport|PM25|Asthma symptoms wheeze", US_national_yearly!$D:$AM, 10, FALSE), 1)</f>
        <v>0.68002358377795524</v>
      </c>
      <c r="G8" s="7">
        <f>$B8 * IFERROR(VLOOKUP("transport|PM25|Asthma symptoms wheeze", US_national_yearly!$D:$AM, 15, FALSE) / VLOOKUP("transport|PM25|Asthma symptoms wheeze", US_national_yearly!$D:$AM, 10, FALSE), 1)</f>
        <v>0.68002358377795524</v>
      </c>
      <c r="H8" s="7">
        <f>$B8 * IFERROR(VLOOKUP("transport|PM25|Asthma symptoms wheeze", US_national_yearly!$D:$AM, 16, FALSE) / VLOOKUP("transport|PM25|Asthma symptoms wheeze", US_national_yearly!$D:$AM, 10, FALSE), 1)</f>
        <v>0.68002358377795524</v>
      </c>
      <c r="I8" s="7">
        <f>$B8 * IFERROR(VLOOKUP("transport|PM25|Asthma symptoms wheeze", US_national_yearly!$D:$AM, 17, FALSE) / VLOOKUP("transport|PM25|Asthma symptoms wheeze", US_national_yearly!$D:$AM, 10, FALSE), 1)</f>
        <v>0.68002358377795524</v>
      </c>
      <c r="J8" s="7">
        <f>$B8 * IFERROR(VLOOKUP("transport|PM25|Asthma symptoms wheeze", US_national_yearly!$D:$AM, 18, FALSE) / VLOOKUP("transport|PM25|Asthma symptoms wheeze", US_national_yearly!$D:$AM, 10, FALSE), 1)</f>
        <v>0.68002358377795524</v>
      </c>
      <c r="K8" s="7">
        <f>$B8 * IFERROR(VLOOKUP("transport|PM25|Asthma symptoms wheeze", US_national_yearly!$D:$AM, 19, FALSE) / VLOOKUP("transport|PM25|Asthma symptoms wheeze", US_national_yearly!$D:$AM, 10, FALSE), 1)</f>
        <v>0.68002358377795524</v>
      </c>
      <c r="L8" s="7">
        <f>$B8 * IFERROR(VLOOKUP("transport|PM25|Asthma symptoms wheeze", US_national_yearly!$D:$AM, 20, FALSE) / VLOOKUP("transport|PM25|Asthma symptoms wheeze", US_national_yearly!$D:$AM, 10, FALSE), 1)</f>
        <v>0.68002358377795524</v>
      </c>
      <c r="M8" s="7">
        <f>$B8 * IFERROR(VLOOKUP("transport|PM25|Asthma symptoms wheeze", US_national_yearly!$D:$AM, 21, FALSE) / VLOOKUP("transport|PM25|Asthma symptoms wheeze", US_national_yearly!$D:$AM, 10, FALSE), 1)</f>
        <v>0.68002358377795524</v>
      </c>
      <c r="N8" s="7">
        <f>$B8 * IFERROR(VLOOKUP("transport|PM25|Asthma symptoms wheeze", US_national_yearly!$D:$AM, 22, FALSE) / VLOOKUP("transport|PM25|Asthma symptoms wheeze", US_national_yearly!$D:$AM, 10, FALSE), 1)</f>
        <v>0.68002358377795524</v>
      </c>
      <c r="O8" s="7">
        <f>$B8 * IFERROR(VLOOKUP("transport|PM25|Asthma symptoms wheeze", US_national_yearly!$D:$AM, 23, FALSE) / VLOOKUP("transport|PM25|Asthma symptoms wheeze", US_national_yearly!$D:$AM, 10, FALSE), 1)</f>
        <v>0.68002358377795524</v>
      </c>
      <c r="P8" s="7">
        <f>$B8 * IFERROR(VLOOKUP("transport|PM25|Asthma symptoms wheeze", US_national_yearly!$D:$AM, 24, FALSE) / VLOOKUP("transport|PM25|Asthma symptoms wheeze", US_national_yearly!$D:$AM, 10, FALSE), 1)</f>
        <v>0.68002358377795524</v>
      </c>
      <c r="Q8" s="7">
        <f>$B8 * IFERROR(VLOOKUP("transport|PM25|Asthma symptoms wheeze", US_national_yearly!$D:$AM, 25, FALSE) / VLOOKUP("transport|PM25|Asthma symptoms wheeze", US_national_yearly!$D:$AM, 10, FALSE), 1)</f>
        <v>0.68002358377795524</v>
      </c>
      <c r="R8" s="7">
        <f>$B8 * IFERROR(VLOOKUP("transport|PM25|Asthma symptoms wheeze", US_national_yearly!$D:$AM, 26, FALSE) / VLOOKUP("transport|PM25|Asthma symptoms wheeze", US_national_yearly!$D:$AM, 10, FALSE), 1)</f>
        <v>0.68002358377795524</v>
      </c>
      <c r="S8" s="7">
        <f>$B8 * IFERROR(VLOOKUP("transport|PM25|Asthma symptoms wheeze", US_national_yearly!$D:$AM, 27, FALSE) / VLOOKUP("transport|PM25|Asthma symptoms wheeze", US_national_yearly!$D:$AM, 10, FALSE), 1)</f>
        <v>0.68002358377795524</v>
      </c>
      <c r="T8" s="7">
        <f>$B8 * IFERROR(VLOOKUP("transport|PM25|Asthma symptoms wheeze", US_national_yearly!$D:$AM, 28, FALSE) / VLOOKUP("transport|PM25|Asthma symptoms wheeze", US_national_yearly!$D:$AM, 10, FALSE), 1)</f>
        <v>0.68002358377795524</v>
      </c>
      <c r="U8" s="7">
        <f>$B8 * IFERROR(VLOOKUP("transport|PM25|Asthma symptoms wheeze", US_national_yearly!$D:$AM, 29, FALSE) / VLOOKUP("transport|PM25|Asthma symptoms wheeze", US_national_yearly!$D:$AM, 10, FALSE), 1)</f>
        <v>0.68002358377795524</v>
      </c>
      <c r="V8" s="7">
        <f>$B8 * IFERROR(VLOOKUP("transport|PM25|Asthma symptoms wheeze", US_national_yearly!$D:$AM, 30, FALSE) / VLOOKUP("transport|PM25|Asthma symptoms wheeze", US_national_yearly!$D:$AM, 10, FALSE), 1)</f>
        <v>0.68002358377795524</v>
      </c>
      <c r="W8" s="7">
        <f>$B8 * IFERROR(VLOOKUP("transport|PM25|Asthma symptoms wheeze", US_national_yearly!$D:$AM, 31, FALSE) / VLOOKUP("transport|PM25|Asthma symptoms wheeze", US_national_yearly!$D:$AM, 10, FALSE), 1)</f>
        <v>0.68002358377795524</v>
      </c>
      <c r="X8" s="7">
        <f>$B8 * IFERROR(VLOOKUP("transport|PM25|Asthma symptoms wheeze", US_national_yearly!$D:$AM, 32, FALSE) / VLOOKUP("transport|PM25|Asthma symptoms wheeze", US_national_yearly!$D:$AM, 10, FALSE), 1)</f>
        <v>0.68002358377795524</v>
      </c>
      <c r="Y8" s="7">
        <f>$B8 * IFERROR(VLOOKUP("transport|PM25|Asthma symptoms wheeze", US_national_yearly!$D:$AM, 33, FALSE) / VLOOKUP("transport|PM25|Asthma symptoms wheeze", US_national_yearly!$D:$AM, 10, FALSE), 1)</f>
        <v>0.68002358377795524</v>
      </c>
      <c r="Z8" s="7">
        <f>$B8 * IFERROR(VLOOKUP("transport|PM25|Asthma symptoms wheeze", US_national_yearly!$D:$AM, 34, FALSE) / VLOOKUP("transport|PM25|Asthma symptoms wheeze", US_national_yearly!$D:$AM, 10, FALSE), 1)</f>
        <v>0.68002358377795524</v>
      </c>
      <c r="AA8" s="7">
        <f>$B8 * IFERROR(VLOOKUP("transport|PM25|Asthma symptoms wheeze", US_national_yearly!$D:$AM, 35, FALSE) / VLOOKUP("transport|PM25|Asthma symptoms wheeze", US_national_yearly!$D:$AM, 10, FALSE), 1)</f>
        <v>0.68002358377795524</v>
      </c>
      <c r="AB8" s="7">
        <f>$B8 * IFERROR(VLOOKUP("transport|PM25|Asthma symptoms wheeze", US_national_yearly!$D:$AM, 36, FALSE) / VLOOKUP("transport|PM25|Asthma symptoms wheeze", US_national_yearly!$D:$AM, 10, FALSE), 1)</f>
        <v>0.68002358377795524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8.4733551027656867E-3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8.5219209589700549E-3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8.5704868151744214E-3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8.6190526713787897E-3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8.6676185275831562E-3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8.7200717238738595E-3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8.7725249201645612E-3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8.8226419563391858E-3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8.8727589925138121E-3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8.9228760286884385E-3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8.9729930648630666E-3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9.0231101010376895E-3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9.0590805604070009E-3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9.0950510197763089E-3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9.1310214791456151E-3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9.1669919385149231E-3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9.2029623978842328E-3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9.2372110149546317E-3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9.2714596320250323E-3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9.3057082490954311E-3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9.3399568661658317E-3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9.3742054832362306E-3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9.4071530897391429E-3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9.44010069624205E-3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9.4730483027449606E-3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9.5059959092478694E-3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9.53894351575078E-3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2.7581659738851301E-2</v>
      </c>
      <c r="C13" s="7">
        <f>$B13 * IFERROR(VLOOKUP("transport|PM25|Non-fatal heart attacks", US_national_yearly!$D:$AM, 11, FALSE) / VLOOKUP("transport|PM25|Non-fatal heart attacks", US_national_yearly!$D:$AM, 10, FALSE), 1)</f>
        <v>2.8383531780807682E-2</v>
      </c>
      <c r="D13" s="7">
        <f>$B13 * IFERROR(VLOOKUP("transport|PM25|Non-fatal heart attacks", US_national_yearly!$D:$AM, 12, FALSE) / VLOOKUP("transport|PM25|Non-fatal heart attacks", US_national_yearly!$D:$AM, 10, FALSE), 1)</f>
        <v>2.9185403822764064E-2</v>
      </c>
      <c r="E13" s="7">
        <f>$B13 * IFERROR(VLOOKUP("transport|PM25|Non-fatal heart attacks", US_national_yearly!$D:$AM, 13, FALSE) / VLOOKUP("transport|PM25|Non-fatal heart attacks", US_national_yearly!$D:$AM, 10, FALSE), 1)</f>
        <v>2.9987275864720438E-2</v>
      </c>
      <c r="F13" s="7">
        <f>$B13 * IFERROR(VLOOKUP("transport|PM25|Non-fatal heart attacks", US_national_yearly!$D:$AM, 14, FALSE) / VLOOKUP("transport|PM25|Non-fatal heart attacks", US_national_yearly!$D:$AM, 10, FALSE), 1)</f>
        <v>3.0789147906676823E-2</v>
      </c>
      <c r="G13" s="7">
        <f>$B13 * IFERROR(VLOOKUP("transport|PM25|Non-fatal heart attacks", US_national_yearly!$D:$AM, 15, FALSE) / VLOOKUP("transport|PM25|Non-fatal heart attacks", US_national_yearly!$D:$AM, 10, FALSE), 1)</f>
        <v>3.1545363935609382E-2</v>
      </c>
      <c r="H13" s="7">
        <f>$B13 * IFERROR(VLOOKUP("transport|PM25|Non-fatal heart attacks", US_national_yearly!$D:$AM, 16, FALSE) / VLOOKUP("transport|PM25|Non-fatal heart attacks", US_national_yearly!$D:$AM, 10, FALSE), 1)</f>
        <v>3.2301579964541936E-2</v>
      </c>
      <c r="I13" s="7">
        <f>$B13 * IFERROR(VLOOKUP("transport|PM25|Non-fatal heart attacks", US_national_yearly!$D:$AM, 17, FALSE) / VLOOKUP("transport|PM25|Non-fatal heart attacks", US_national_yearly!$D:$AM, 10, FALSE), 1)</f>
        <v>3.2909326017134775E-2</v>
      </c>
      <c r="J13" s="7">
        <f>$B13 * IFERROR(VLOOKUP("transport|PM25|Non-fatal heart attacks", US_national_yearly!$D:$AM, 18, FALSE) / VLOOKUP("transport|PM25|Non-fatal heart attacks", US_national_yearly!$D:$AM, 10, FALSE), 1)</f>
        <v>3.3517072069727621E-2</v>
      </c>
      <c r="K13" s="7">
        <f>$B13 * IFERROR(VLOOKUP("transport|PM25|Non-fatal heart attacks", US_national_yearly!$D:$AM, 19, FALSE) / VLOOKUP("transport|PM25|Non-fatal heart attacks", US_national_yearly!$D:$AM, 10, FALSE), 1)</f>
        <v>3.4124818122320467E-2</v>
      </c>
      <c r="L13" s="7">
        <f>$B13 * IFERROR(VLOOKUP("transport|PM25|Non-fatal heart attacks", US_national_yearly!$D:$AM, 20, FALSE) / VLOOKUP("transport|PM25|Non-fatal heart attacks", US_national_yearly!$D:$AM, 10, FALSE), 1)</f>
        <v>3.4732564174913307E-2</v>
      </c>
      <c r="M13" s="7">
        <f>$B13 * IFERROR(VLOOKUP("transport|PM25|Non-fatal heart attacks", US_national_yearly!$D:$AM, 21, FALSE) / VLOOKUP("transport|PM25|Non-fatal heart attacks", US_national_yearly!$D:$AM, 10, FALSE), 1)</f>
        <v>3.5340310227506153E-2</v>
      </c>
      <c r="N13" s="7">
        <f>$B13 * IFERROR(VLOOKUP("transport|PM25|Non-fatal heart attacks", US_national_yearly!$D:$AM, 22, FALSE) / VLOOKUP("transport|PM25|Non-fatal heart attacks", US_national_yearly!$D:$AM, 10, FALSE), 1)</f>
        <v>3.5732246419253051E-2</v>
      </c>
      <c r="O13" s="7">
        <f>$B13 * IFERROR(VLOOKUP("transport|PM25|Non-fatal heart attacks", US_national_yearly!$D:$AM, 23, FALSE) / VLOOKUP("transport|PM25|Non-fatal heart attacks", US_national_yearly!$D:$AM, 10, FALSE), 1)</f>
        <v>3.612418261099995E-2</v>
      </c>
      <c r="P13" s="7">
        <f>$B13 * IFERROR(VLOOKUP("transport|PM25|Non-fatal heart attacks", US_national_yearly!$D:$AM, 24, FALSE) / VLOOKUP("transport|PM25|Non-fatal heart attacks", US_national_yearly!$D:$AM, 10, FALSE), 1)</f>
        <v>3.6516118802746855E-2</v>
      </c>
      <c r="Q13" s="7">
        <f>$B13 * IFERROR(VLOOKUP("transport|PM25|Non-fatal heart attacks", US_national_yearly!$D:$AM, 25, FALSE) / VLOOKUP("transport|PM25|Non-fatal heart attacks", US_national_yearly!$D:$AM, 10, FALSE), 1)</f>
        <v>3.6908054994493754E-2</v>
      </c>
      <c r="R13" s="7">
        <f>$B13 * IFERROR(VLOOKUP("transport|PM25|Non-fatal heart attacks", US_national_yearly!$D:$AM, 26, FALSE) / VLOOKUP("transport|PM25|Non-fatal heart attacks", US_national_yearly!$D:$AM, 10, FALSE), 1)</f>
        <v>3.7299991186240659E-2</v>
      </c>
      <c r="S13" s="7">
        <f>$B13 * IFERROR(VLOOKUP("transport|PM25|Non-fatal heart attacks", US_national_yearly!$D:$AM, 27, FALSE) / VLOOKUP("transport|PM25|Non-fatal heart attacks", US_national_yearly!$D:$AM, 10, FALSE), 1)</f>
        <v>3.7506395982346119E-2</v>
      </c>
      <c r="T13" s="7">
        <f>$B13 * IFERROR(VLOOKUP("transport|PM25|Non-fatal heart attacks", US_national_yearly!$D:$AM, 28, FALSE) / VLOOKUP("transport|PM25|Non-fatal heart attacks", US_national_yearly!$D:$AM, 10, FALSE), 1)</f>
        <v>3.7712800778451586E-2</v>
      </c>
      <c r="U13" s="7">
        <f>$B13 * IFERROR(VLOOKUP("transport|PM25|Non-fatal heart attacks", US_national_yearly!$D:$AM, 29, FALSE) / VLOOKUP("transport|PM25|Non-fatal heart attacks", US_national_yearly!$D:$AM, 10, FALSE), 1)</f>
        <v>3.7919205574557059E-2</v>
      </c>
      <c r="V13" s="7">
        <f>$B13 * IFERROR(VLOOKUP("transport|PM25|Non-fatal heart attacks", US_national_yearly!$D:$AM, 30, FALSE) / VLOOKUP("transport|PM25|Non-fatal heart attacks", US_national_yearly!$D:$AM, 10, FALSE), 1)</f>
        <v>3.8125610370662519E-2</v>
      </c>
      <c r="W13" s="7">
        <f>$B13 * IFERROR(VLOOKUP("transport|PM25|Non-fatal heart attacks", US_national_yearly!$D:$AM, 31, FALSE) / VLOOKUP("transport|PM25|Non-fatal heart attacks", US_national_yearly!$D:$AM, 10, FALSE), 1)</f>
        <v>3.8332015166767985E-2</v>
      </c>
      <c r="X13" s="7">
        <f>$B13 * IFERROR(VLOOKUP("transport|PM25|Non-fatal heart attacks", US_national_yearly!$D:$AM, 32, FALSE) / VLOOKUP("transport|PM25|Non-fatal heart attacks", US_national_yearly!$D:$AM, 10, FALSE), 1)</f>
        <v>3.8488706252532166E-2</v>
      </c>
      <c r="Y13" s="7">
        <f>$B13 * IFERROR(VLOOKUP("transport|PM25|Non-fatal heart attacks", US_national_yearly!$D:$AM, 33, FALSE) / VLOOKUP("transport|PM25|Non-fatal heart attacks", US_national_yearly!$D:$AM, 10, FALSE), 1)</f>
        <v>3.8645397338296347E-2</v>
      </c>
      <c r="Z13" s="7">
        <f>$B13 * IFERROR(VLOOKUP("transport|PM25|Non-fatal heart attacks", US_national_yearly!$D:$AM, 34, FALSE) / VLOOKUP("transport|PM25|Non-fatal heart attacks", US_national_yearly!$D:$AM, 10, FALSE), 1)</f>
        <v>3.8802088424060528E-2</v>
      </c>
      <c r="AA13" s="7">
        <f>$B13 * IFERROR(VLOOKUP("transport|PM25|Non-fatal heart attacks", US_national_yearly!$D:$AM, 35, FALSE) / VLOOKUP("transport|PM25|Non-fatal heart attacks", US_national_yearly!$D:$AM, 10, FALSE), 1)</f>
        <v>3.8958779509824716E-2</v>
      </c>
      <c r="AB13" s="7">
        <f>$B13 * IFERROR(VLOOKUP("transport|PM25|Non-fatal heart attacks", US_national_yearly!$D:$AM, 36, FALSE) / VLOOKUP("transport|PM25|Non-fatal heart attacks", US_national_yearly!$D:$AM, 10, FALSE), 1)</f>
        <v>3.911547059558889E-2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43.239277491641104</v>
      </c>
      <c r="C14" s="7">
        <f>$B14 * IFERROR(VLOOKUP("transport|PM25|Minor restricted activity days", US_national_yearly!$D:$AM, 11, FALSE) / VLOOKUP("transport|PM25|Minor restricted activity days", US_national_yearly!$D:$AM, 10, FALSE), 1)</f>
        <v>43.344872935059826</v>
      </c>
      <c r="D14" s="7">
        <f>$B14 * IFERROR(VLOOKUP("transport|PM25|Minor restricted activity days", US_national_yearly!$D:$AM, 12, FALSE) / VLOOKUP("transport|PM25|Minor restricted activity days", US_national_yearly!$D:$AM, 10, FALSE), 1)</f>
        <v>43.450468378478547</v>
      </c>
      <c r="E14" s="7">
        <f>$B14 * IFERROR(VLOOKUP("transport|PM25|Minor restricted activity days", US_national_yearly!$D:$AM, 13, FALSE) / VLOOKUP("transport|PM25|Minor restricted activity days", US_national_yearly!$D:$AM, 10, FALSE), 1)</f>
        <v>43.556063821897276</v>
      </c>
      <c r="F14" s="7">
        <f>$B14 * IFERROR(VLOOKUP("transport|PM25|Minor restricted activity days", US_national_yearly!$D:$AM, 14, FALSE) / VLOOKUP("transport|PM25|Minor restricted activity days", US_national_yearly!$D:$AM, 10, FALSE), 1)</f>
        <v>43.66165926531599</v>
      </c>
      <c r="G14" s="7">
        <f>$B14 * IFERROR(VLOOKUP("transport|PM25|Minor restricted activity days", US_national_yearly!$D:$AM, 15, FALSE) / VLOOKUP("transport|PM25|Minor restricted activity days", US_national_yearly!$D:$AM, 10, FALSE), 1)</f>
        <v>43.817462181882547</v>
      </c>
      <c r="H14" s="7">
        <f>$B14 * IFERROR(VLOOKUP("transport|PM25|Minor restricted activity days", US_national_yearly!$D:$AM, 16, FALSE) / VLOOKUP("transport|PM25|Minor restricted activity days", US_national_yearly!$D:$AM, 10, FALSE), 1)</f>
        <v>43.973265098449112</v>
      </c>
      <c r="I14" s="7">
        <f>$B14 * IFERROR(VLOOKUP("transport|PM25|Minor restricted activity days", US_national_yearly!$D:$AM, 17, FALSE) / VLOOKUP("transport|PM25|Minor restricted activity days", US_national_yearly!$D:$AM, 10, FALSE), 1)</f>
        <v>44.239616739077775</v>
      </c>
      <c r="J14" s="7">
        <f>$B14 * IFERROR(VLOOKUP("transport|PM25|Minor restricted activity days", US_national_yearly!$D:$AM, 18, FALSE) / VLOOKUP("transport|PM25|Minor restricted activity days", US_national_yearly!$D:$AM, 10, FALSE), 1)</f>
        <v>44.505968379706424</v>
      </c>
      <c r="K14" s="7">
        <f>$B14 * IFERROR(VLOOKUP("transport|PM25|Minor restricted activity days", US_national_yearly!$D:$AM, 19, FALSE) / VLOOKUP("transport|PM25|Minor restricted activity days", US_national_yearly!$D:$AM, 10, FALSE), 1)</f>
        <v>44.772320020335087</v>
      </c>
      <c r="L14" s="7">
        <f>$B14 * IFERROR(VLOOKUP("transport|PM25|Minor restricted activity days", US_national_yearly!$D:$AM, 20, FALSE) / VLOOKUP("transport|PM25|Minor restricted activity days", US_national_yearly!$D:$AM, 10, FALSE), 1)</f>
        <v>45.038671660963743</v>
      </c>
      <c r="M14" s="7">
        <f>$B14 * IFERROR(VLOOKUP("transport|PM25|Minor restricted activity days", US_national_yearly!$D:$AM, 21, FALSE) / VLOOKUP("transport|PM25|Minor restricted activity days", US_national_yearly!$D:$AM, 10, FALSE), 1)</f>
        <v>45.305023301592406</v>
      </c>
      <c r="N14" s="7">
        <f>$B14 * IFERROR(VLOOKUP("transport|PM25|Minor restricted activity days", US_national_yearly!$D:$AM, 22, FALSE) / VLOOKUP("transport|PM25|Minor restricted activity days", US_national_yearly!$D:$AM, 10, FALSE), 1)</f>
        <v>45.667847266645978</v>
      </c>
      <c r="O14" s="7">
        <f>$B14 * IFERROR(VLOOKUP("transport|PM25|Minor restricted activity days", US_national_yearly!$D:$AM, 23, FALSE) / VLOOKUP("transport|PM25|Minor restricted activity days", US_national_yearly!$D:$AM, 10, FALSE), 1)</f>
        <v>46.030671231699536</v>
      </c>
      <c r="P14" s="7">
        <f>$B14 * IFERROR(VLOOKUP("transport|PM25|Minor restricted activity days", US_national_yearly!$D:$AM, 24, FALSE) / VLOOKUP("transport|PM25|Minor restricted activity days", US_national_yearly!$D:$AM, 10, FALSE), 1)</f>
        <v>46.393495196753115</v>
      </c>
      <c r="Q14" s="7">
        <f>$B14 * IFERROR(VLOOKUP("transport|PM25|Minor restricted activity days", US_national_yearly!$D:$AM, 25, FALSE) / VLOOKUP("transport|PM25|Minor restricted activity days", US_national_yearly!$D:$AM, 10, FALSE), 1)</f>
        <v>46.756319161806672</v>
      </c>
      <c r="R14" s="7">
        <f>$B14 * IFERROR(VLOOKUP("transport|PM25|Minor restricted activity days", US_national_yearly!$D:$AM, 26, FALSE) / VLOOKUP("transport|PM25|Minor restricted activity days", US_national_yearly!$D:$AM, 10, FALSE), 1)</f>
        <v>47.119143126860237</v>
      </c>
      <c r="S14" s="7">
        <f>$B14 * IFERROR(VLOOKUP("transport|PM25|Minor restricted activity days", US_national_yearly!$D:$AM, 27, FALSE) / VLOOKUP("transport|PM25|Minor restricted activity days", US_national_yearly!$D:$AM, 10, FALSE), 1)</f>
        <v>47.484465741671194</v>
      </c>
      <c r="T14" s="7">
        <f>$B14 * IFERROR(VLOOKUP("transport|PM25|Minor restricted activity days", US_national_yearly!$D:$AM, 28, FALSE) / VLOOKUP("transport|PM25|Minor restricted activity days", US_national_yearly!$D:$AM, 10, FALSE), 1)</f>
        <v>47.849788356482144</v>
      </c>
      <c r="U14" s="7">
        <f>$B14 * IFERROR(VLOOKUP("transport|PM25|Minor restricted activity days", US_national_yearly!$D:$AM, 29, FALSE) / VLOOKUP("transport|PM25|Minor restricted activity days", US_national_yearly!$D:$AM, 10, FALSE), 1)</f>
        <v>48.2151109712931</v>
      </c>
      <c r="V14" s="7">
        <f>$B14 * IFERROR(VLOOKUP("transport|PM25|Minor restricted activity days", US_national_yearly!$D:$AM, 30, FALSE) / VLOOKUP("transport|PM25|Minor restricted activity days", US_national_yearly!$D:$AM, 10, FALSE), 1)</f>
        <v>48.580433586104057</v>
      </c>
      <c r="W14" s="7">
        <f>$B14 * IFERROR(VLOOKUP("transport|PM25|Minor restricted activity days", US_national_yearly!$D:$AM, 31, FALSE) / VLOOKUP("transport|PM25|Minor restricted activity days", US_national_yearly!$D:$AM, 10, FALSE), 1)</f>
        <v>48.945756200915007</v>
      </c>
      <c r="X14" s="7">
        <f>$B14 * IFERROR(VLOOKUP("transport|PM25|Minor restricted activity days", US_national_yearly!$D:$AM, 32, FALSE) / VLOOKUP("transport|PM25|Minor restricted activity days", US_national_yearly!$D:$AM, 10, FALSE), 1)</f>
        <v>49.262892982725219</v>
      </c>
      <c r="Y14" s="7">
        <f>$B14 * IFERROR(VLOOKUP("transport|PM25|Minor restricted activity days", US_national_yearly!$D:$AM, 33, FALSE) / VLOOKUP("transport|PM25|Minor restricted activity days", US_national_yearly!$D:$AM, 10, FALSE), 1)</f>
        <v>49.580029764535425</v>
      </c>
      <c r="Z14" s="7">
        <f>$B14 * IFERROR(VLOOKUP("transport|PM25|Minor restricted activity days", US_national_yearly!$D:$AM, 34, FALSE) / VLOOKUP("transport|PM25|Minor restricted activity days", US_national_yearly!$D:$AM, 10, FALSE), 1)</f>
        <v>49.897166546345638</v>
      </c>
      <c r="AA14" s="7">
        <f>$B14 * IFERROR(VLOOKUP("transport|PM25|Minor restricted activity days", US_national_yearly!$D:$AM, 35, FALSE) / VLOOKUP("transport|PM25|Minor restricted activity days", US_national_yearly!$D:$AM, 10, FALSE), 1)</f>
        <v>50.214303328155836</v>
      </c>
      <c r="AB14" s="7">
        <f>$B14 * IFERROR(VLOOKUP("transport|PM25|Minor restricted activity days", US_national_yearly!$D:$AM, 36, FALSE) / VLOOKUP("transport|PM25|Minor restricted activity days", US_national_yearly!$D:$AM, 10, FALSE), 1)</f>
        <v>50.531440109966049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7.3559526163094837</v>
      </c>
      <c r="C15" s="7">
        <f>$B15 * IFERROR(VLOOKUP("transport|PM25|Work loss days", US_national_yearly!$D:$AM, 11, FALSE) / VLOOKUP("transport|PM25|Work loss days", US_national_yearly!$D:$AM, 10, FALSE), 1)</f>
        <v>7.3787534200207388</v>
      </c>
      <c r="D15" s="7">
        <f>$B15 * IFERROR(VLOOKUP("transport|PM25|Work loss days", US_national_yearly!$D:$AM, 12, FALSE) / VLOOKUP("transport|PM25|Work loss days", US_national_yearly!$D:$AM, 10, FALSE), 1)</f>
        <v>7.4015542237319965</v>
      </c>
      <c r="E15" s="7">
        <f>$B15 * IFERROR(VLOOKUP("transport|PM25|Work loss days", US_national_yearly!$D:$AM, 13, FALSE) / VLOOKUP("transport|PM25|Work loss days", US_national_yearly!$D:$AM, 10, FALSE), 1)</f>
        <v>7.4243550274432515</v>
      </c>
      <c r="F15" s="7">
        <f>$B15 * IFERROR(VLOOKUP("transport|PM25|Work loss days", US_national_yearly!$D:$AM, 14, FALSE) / VLOOKUP("transport|PM25|Work loss days", US_national_yearly!$D:$AM, 10, FALSE), 1)</f>
        <v>7.4471558311545065</v>
      </c>
      <c r="G15" s="7">
        <f>$B15 * IFERROR(VLOOKUP("transport|PM25|Work loss days", US_national_yearly!$D:$AM, 15, FALSE) / VLOOKUP("transport|PM25|Work loss days", US_national_yearly!$D:$AM, 10, FALSE), 1)</f>
        <v>7.4770491397611156</v>
      </c>
      <c r="H15" s="7">
        <f>$B15 * IFERROR(VLOOKUP("transport|PM25|Work loss days", US_national_yearly!$D:$AM, 16, FALSE) / VLOOKUP("transport|PM25|Work loss days", US_national_yearly!$D:$AM, 10, FALSE), 1)</f>
        <v>7.5069424483677265</v>
      </c>
      <c r="I15" s="7">
        <f>$B15 * IFERROR(VLOOKUP("transport|PM25|Work loss days", US_national_yearly!$D:$AM, 17, FALSE) / VLOOKUP("transport|PM25|Work loss days", US_national_yearly!$D:$AM, 10, FALSE), 1)</f>
        <v>7.550963633103752</v>
      </c>
      <c r="J15" s="7">
        <f>$B15 * IFERROR(VLOOKUP("transport|PM25|Work loss days", US_national_yearly!$D:$AM, 18, FALSE) / VLOOKUP("transport|PM25|Work loss days", US_national_yearly!$D:$AM, 10, FALSE), 1)</f>
        <v>7.5949848178397783</v>
      </c>
      <c r="K15" s="7">
        <f>$B15 * IFERROR(VLOOKUP("transport|PM25|Work loss days", US_national_yearly!$D:$AM, 19, FALSE) / VLOOKUP("transport|PM25|Work loss days", US_national_yearly!$D:$AM, 10, FALSE), 1)</f>
        <v>7.6390060025758038</v>
      </c>
      <c r="L15" s="7">
        <f>$B15 * IFERROR(VLOOKUP("transport|PM25|Work loss days", US_national_yearly!$D:$AM, 20, FALSE) / VLOOKUP("transport|PM25|Work loss days", US_national_yearly!$D:$AM, 10, FALSE), 1)</f>
        <v>7.6830271873118292</v>
      </c>
      <c r="M15" s="7">
        <f>$B15 * IFERROR(VLOOKUP("transport|PM25|Work loss days", US_national_yearly!$D:$AM, 21, FALSE) / VLOOKUP("transport|PM25|Work loss days", US_national_yearly!$D:$AM, 10, FALSE), 1)</f>
        <v>7.7270483720478556</v>
      </c>
      <c r="N15" s="7">
        <f>$B15 * IFERROR(VLOOKUP("transport|PM25|Work loss days", US_national_yearly!$D:$AM, 22, FALSE) / VLOOKUP("transport|PM25|Work loss days", US_national_yearly!$D:$AM, 10, FALSE), 1)</f>
        <v>7.7824523649488384</v>
      </c>
      <c r="O15" s="7">
        <f>$B15 * IFERROR(VLOOKUP("transport|PM25|Work loss days", US_national_yearly!$D:$AM, 23, FALSE) / VLOOKUP("transport|PM25|Work loss days", US_national_yearly!$D:$AM, 10, FALSE), 1)</f>
        <v>7.8378563578498204</v>
      </c>
      <c r="P15" s="7">
        <f>$B15 * IFERROR(VLOOKUP("transport|PM25|Work loss days", US_national_yearly!$D:$AM, 24, FALSE) / VLOOKUP("transport|PM25|Work loss days", US_national_yearly!$D:$AM, 10, FALSE), 1)</f>
        <v>7.8932603507508041</v>
      </c>
      <c r="Q15" s="7">
        <f>$B15 * IFERROR(VLOOKUP("transport|PM25|Work loss days", US_national_yearly!$D:$AM, 25, FALSE) / VLOOKUP("transport|PM25|Work loss days", US_national_yearly!$D:$AM, 10, FALSE), 1)</f>
        <v>7.9486643436517852</v>
      </c>
      <c r="R15" s="7">
        <f>$B15 * IFERROR(VLOOKUP("transport|PM25|Work loss days", US_national_yearly!$D:$AM, 26, FALSE) / VLOOKUP("transport|PM25|Work loss days", US_national_yearly!$D:$AM, 10, FALSE), 1)</f>
        <v>8.0040683365527681</v>
      </c>
      <c r="S15" s="7">
        <f>$B15 * IFERROR(VLOOKUP("transport|PM25|Work loss days", US_national_yearly!$D:$AM, 27, FALSE) / VLOOKUP("transport|PM25|Work loss days", US_national_yearly!$D:$AM, 10, FALSE), 1)</f>
        <v>8.0653475180890268</v>
      </c>
      <c r="T15" s="7">
        <f>$B15 * IFERROR(VLOOKUP("transport|PM25|Work loss days", US_national_yearly!$D:$AM, 28, FALSE) / VLOOKUP("transport|PM25|Work loss days", US_national_yearly!$D:$AM, 10, FALSE), 1)</f>
        <v>8.1266266996252874</v>
      </c>
      <c r="U15" s="7">
        <f>$B15 * IFERROR(VLOOKUP("transport|PM25|Work loss days", US_national_yearly!$D:$AM, 29, FALSE) / VLOOKUP("transport|PM25|Work loss days", US_national_yearly!$D:$AM, 10, FALSE), 1)</f>
        <v>8.1879058811615462</v>
      </c>
      <c r="V15" s="7">
        <f>$B15 * IFERROR(VLOOKUP("transport|PM25|Work loss days", US_national_yearly!$D:$AM, 30, FALSE) / VLOOKUP("transport|PM25|Work loss days", US_national_yearly!$D:$AM, 10, FALSE), 1)</f>
        <v>8.2491850626978067</v>
      </c>
      <c r="W15" s="7">
        <f>$B15 * IFERROR(VLOOKUP("transport|PM25|Work loss days", US_national_yearly!$D:$AM, 31, FALSE) / VLOOKUP("transport|PM25|Work loss days", US_national_yearly!$D:$AM, 10, FALSE), 1)</f>
        <v>8.3104642442340655</v>
      </c>
      <c r="X15" s="7">
        <f>$B15 * IFERROR(VLOOKUP("transport|PM25|Work loss days", US_national_yearly!$D:$AM, 32, FALSE) / VLOOKUP("transport|PM25|Work loss days", US_national_yearly!$D:$AM, 10, FALSE), 1)</f>
        <v>8.3648354054739631</v>
      </c>
      <c r="Y15" s="7">
        <f>$B15 * IFERROR(VLOOKUP("transport|PM25|Work loss days", US_national_yearly!$D:$AM, 33, FALSE) / VLOOKUP("transport|PM25|Work loss days", US_national_yearly!$D:$AM, 10, FALSE), 1)</f>
        <v>8.4192065667138625</v>
      </c>
      <c r="Z15" s="7">
        <f>$B15 * IFERROR(VLOOKUP("transport|PM25|Work loss days", US_national_yearly!$D:$AM, 34, FALSE) / VLOOKUP("transport|PM25|Work loss days", US_national_yearly!$D:$AM, 10, FALSE), 1)</f>
        <v>8.4735777279537636</v>
      </c>
      <c r="AA15" s="7">
        <f>$B15 * IFERROR(VLOOKUP("transport|PM25|Work loss days", US_national_yearly!$D:$AM, 35, FALSE) / VLOOKUP("transport|PM25|Work loss days", US_national_yearly!$D:$AM, 10, FALSE), 1)</f>
        <v>8.5279488891936648</v>
      </c>
      <c r="AB15" s="7">
        <f>$B15 * IFERROR(VLOOKUP("transport|PM25|Work loss days", US_national_yearly!$D:$AM, 36, FALSE) / VLOOKUP("transport|PM25|Work loss days", US_national_yearly!$D:$AM, 10, FALSE), 1)</f>
        <v>8.5823200504335624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9.6215661493070752E-3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9.9090652551286299E-3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1.0196564360950185E-2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1.0484063466771741E-2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1.0771562572593298E-2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1.1046935360939298E-2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1.1322308149285304E-2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1.1557822076450945E-2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1.1793336003616582E-2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1.202884993078222E-2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1.2264363857947862E-2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1.24998777851135E-2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1.2656900297451758E-2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1.281392280979002E-2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1.2970945322128278E-2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1.312796783446654E-2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1.3284990346804798E-2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1.3368069915621308E-2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1.3451149484437814E-2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1.3534229053254318E-2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1.3617308622070825E-2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1.3700388190887331E-2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1.3756318449440769E-2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1.3812248707994208E-2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1.3868178966547646E-2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1.3924109225101084E-2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1.3980039483654522E-2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7.4407473139763676E-3</v>
      </c>
      <c r="C2" s="7">
        <f>$B2 * IFERROR(VLOOKUP("transport|NOx|Premature mortality", US_national_yearly!$D:$AM, 11, FALSE) / VLOOKUP("transport|NOx|Premature mortality", US_national_yearly!$D:$AM, 10, FALSE), 1)</f>
        <v>7.5500393152711813E-3</v>
      </c>
      <c r="D2" s="7">
        <f>$B2 * IFERROR(VLOOKUP("transport|NOx|Premature mortality", US_national_yearly!$D:$AM, 12, FALSE) / VLOOKUP("transport|NOx|Premature mortality", US_national_yearly!$D:$AM, 10, FALSE), 1)</f>
        <v>7.6593313165659923E-3</v>
      </c>
      <c r="E2" s="7">
        <f>$B2 * IFERROR(VLOOKUP("transport|NOx|Premature mortality", US_national_yearly!$D:$AM, 13, FALSE) / VLOOKUP("transport|NOx|Premature mortality", US_national_yearly!$D:$AM, 10, FALSE), 1)</f>
        <v>7.7686233178608059E-3</v>
      </c>
      <c r="F2" s="7">
        <f>$B2 * IFERROR(VLOOKUP("transport|NOx|Premature mortality", US_national_yearly!$D:$AM, 14, FALSE) / VLOOKUP("transport|NOx|Premature mortality", US_national_yearly!$D:$AM, 10, FALSE), 1)</f>
        <v>7.8779153191556196E-3</v>
      </c>
      <c r="G2" s="7">
        <f>$B2 * IFERROR(VLOOKUP("transport|NOx|Premature mortality", US_national_yearly!$D:$AM, 15, FALSE) / VLOOKUP("transport|NOx|Premature mortality", US_national_yearly!$D:$AM, 10, FALSE), 1)</f>
        <v>8.0742295927555482E-3</v>
      </c>
      <c r="H2" s="7">
        <f>$B2 * IFERROR(VLOOKUP("transport|NOx|Premature mortality", US_national_yearly!$D:$AM, 16, FALSE) / VLOOKUP("transport|NOx|Premature mortality", US_national_yearly!$D:$AM, 10, FALSE), 1)</f>
        <v>8.2705438663554804E-3</v>
      </c>
      <c r="I2" s="7">
        <f>$B2 * IFERROR(VLOOKUP("transport|NOx|Premature mortality", US_national_yearly!$D:$AM, 17, FALSE) / VLOOKUP("transport|NOx|Premature mortality", US_national_yearly!$D:$AM, 10, FALSE), 1)</f>
        <v>8.3972684537780354E-3</v>
      </c>
      <c r="J2" s="7">
        <f>$B2 * IFERROR(VLOOKUP("transport|NOx|Premature mortality", US_national_yearly!$D:$AM, 18, FALSE) / VLOOKUP("transport|NOx|Premature mortality", US_national_yearly!$D:$AM, 10, FALSE), 1)</f>
        <v>8.5239930412005921E-3</v>
      </c>
      <c r="K2" s="7">
        <f>$B2 * IFERROR(VLOOKUP("transport|NOx|Premature mortality", US_national_yearly!$D:$AM, 19, FALSE) / VLOOKUP("transport|NOx|Premature mortality", US_national_yearly!$D:$AM, 10, FALSE), 1)</f>
        <v>8.6507176286231453E-3</v>
      </c>
      <c r="L2" s="7">
        <f>$B2 * IFERROR(VLOOKUP("transport|NOx|Premature mortality", US_national_yearly!$D:$AM, 20, FALSE) / VLOOKUP("transport|NOx|Premature mortality", US_national_yearly!$D:$AM, 10, FALSE), 1)</f>
        <v>8.7774422160457003E-3</v>
      </c>
      <c r="M2" s="7">
        <f>$B2 * IFERROR(VLOOKUP("transport|NOx|Premature mortality", US_national_yearly!$D:$AM, 21, FALSE) / VLOOKUP("transport|NOx|Premature mortality", US_national_yearly!$D:$AM, 10, FALSE), 1)</f>
        <v>8.904166803468257E-3</v>
      </c>
      <c r="N2" s="7">
        <f>$B2 * IFERROR(VLOOKUP("transport|NOx|Premature mortality", US_national_yearly!$D:$AM, 22, FALSE) / VLOOKUP("transport|NOx|Premature mortality", US_national_yearly!$D:$AM, 10, FALSE), 1)</f>
        <v>8.998043885183514E-3</v>
      </c>
      <c r="O2" s="7">
        <f>$B2 * IFERROR(VLOOKUP("transport|NOx|Premature mortality", US_national_yearly!$D:$AM, 23, FALSE) / VLOOKUP("transport|NOx|Premature mortality", US_national_yearly!$D:$AM, 10, FALSE), 1)</f>
        <v>9.0919209668987727E-3</v>
      </c>
      <c r="P2" s="7">
        <f>$B2 * IFERROR(VLOOKUP("transport|NOx|Premature mortality", US_national_yearly!$D:$AM, 24, FALSE) / VLOOKUP("transport|NOx|Premature mortality", US_national_yearly!$D:$AM, 10, FALSE), 1)</f>
        <v>9.1857980486140297E-3</v>
      </c>
      <c r="Q2" s="7">
        <f>$B2 * IFERROR(VLOOKUP("transport|NOx|Premature mortality", US_national_yearly!$D:$AM, 25, FALSE) / VLOOKUP("transport|NOx|Premature mortality", US_national_yearly!$D:$AM, 10, FALSE), 1)</f>
        <v>9.2796751303292884E-3</v>
      </c>
      <c r="R2" s="7">
        <f>$B2 * IFERROR(VLOOKUP("transport|NOx|Premature mortality", US_national_yearly!$D:$AM, 26, FALSE) / VLOOKUP("transport|NOx|Premature mortality", US_national_yearly!$D:$AM, 10, FALSE), 1)</f>
        <v>9.3735522120445471E-3</v>
      </c>
      <c r="S2" s="7">
        <f>$B2 * IFERROR(VLOOKUP("transport|NOx|Premature mortality", US_national_yearly!$D:$AM, 27, FALSE) / VLOOKUP("transport|NOx|Premature mortality", US_national_yearly!$D:$AM, 10, FALSE), 1)</f>
        <v>9.4162202910137802E-3</v>
      </c>
      <c r="T2" s="7">
        <f>$B2 * IFERROR(VLOOKUP("transport|NOx|Premature mortality", US_national_yearly!$D:$AM, 28, FALSE) / VLOOKUP("transport|NOx|Premature mortality", US_national_yearly!$D:$AM, 10, FALSE), 1)</f>
        <v>9.4588883699830168E-3</v>
      </c>
      <c r="U2" s="7">
        <f>$B2 * IFERROR(VLOOKUP("transport|NOx|Premature mortality", US_national_yearly!$D:$AM, 29, FALSE) / VLOOKUP("transport|NOx|Premature mortality", US_national_yearly!$D:$AM, 10, FALSE), 1)</f>
        <v>9.5015564489522517E-3</v>
      </c>
      <c r="V2" s="7">
        <f>$B2 * IFERROR(VLOOKUP("transport|NOx|Premature mortality", US_national_yearly!$D:$AM, 30, FALSE) / VLOOKUP("transport|NOx|Premature mortality", US_national_yearly!$D:$AM, 10, FALSE), 1)</f>
        <v>9.5442245279214865E-3</v>
      </c>
      <c r="W2" s="7">
        <f>$B2 * IFERROR(VLOOKUP("transport|NOx|Premature mortality", US_national_yearly!$D:$AM, 31, FALSE) / VLOOKUP("transport|NOx|Premature mortality", US_national_yearly!$D:$AM, 10, FALSE), 1)</f>
        <v>9.5868926068907231E-3</v>
      </c>
      <c r="X2" s="7">
        <f>$B2 * IFERROR(VLOOKUP("transport|NOx|Premature mortality", US_national_yearly!$D:$AM, 32, FALSE) / VLOOKUP("transport|NOx|Premature mortality", US_national_yearly!$D:$AM, 10, FALSE), 1)</f>
        <v>9.588370604654544E-3</v>
      </c>
      <c r="Y2" s="7">
        <f>$B2 * IFERROR(VLOOKUP("transport|NOx|Premature mortality", US_national_yearly!$D:$AM, 33, FALSE) / VLOOKUP("transport|NOx|Premature mortality", US_national_yearly!$D:$AM, 10, FALSE), 1)</f>
        <v>9.589848602418365E-3</v>
      </c>
      <c r="Z2" s="7">
        <f>$B2 * IFERROR(VLOOKUP("transport|NOx|Premature mortality", US_national_yearly!$D:$AM, 34, FALSE) / VLOOKUP("transport|NOx|Premature mortality", US_national_yearly!$D:$AM, 10, FALSE), 1)</f>
        <v>9.5913266001821842E-3</v>
      </c>
      <c r="AA2" s="7">
        <f>$B2 * IFERROR(VLOOKUP("transport|NOx|Premature mortality", US_national_yearly!$D:$AM, 35, FALSE) / VLOOKUP("transport|NOx|Premature mortality", US_national_yearly!$D:$AM, 10, FALSE), 1)</f>
        <v>9.5928045979460086E-3</v>
      </c>
      <c r="AB2" s="7">
        <f>$B2 * IFERROR(VLOOKUP("transport|NOx|Premature mortality", US_national_yearly!$D:$AM, 36, FALSE) / VLOOKUP("transport|NOx|Premature mortality", US_national_yearly!$D:$AM, 10, FALSE), 1)</f>
        <v>9.5942825957098295E-3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1.7002183090510256E-5</v>
      </c>
      <c r="C3" s="7">
        <f>$B3 * IFERROR(VLOOKUP("transport|NOx|Infant mortality", US_national_yearly!$D:$AM, 11, FALSE) / VLOOKUP("transport|NOx|Infant mortality", US_national_yearly!$D:$AM, 10, FALSE), 1)</f>
        <v>1.6840193972247727E-5</v>
      </c>
      <c r="D3" s="7">
        <f>$B3 * IFERROR(VLOOKUP("transport|NOx|Infant mortality", US_national_yearly!$D:$AM, 12, FALSE) / VLOOKUP("transport|NOx|Infant mortality", US_national_yearly!$D:$AM, 10, FALSE), 1)</f>
        <v>1.6678204853985194E-5</v>
      </c>
      <c r="E3" s="7">
        <f>$B3 * IFERROR(VLOOKUP("transport|NOx|Infant mortality", US_national_yearly!$D:$AM, 13, FALSE) / VLOOKUP("transport|NOx|Infant mortality", US_national_yearly!$D:$AM, 10, FALSE), 1)</f>
        <v>1.6516215735722661E-5</v>
      </c>
      <c r="F3" s="7">
        <f>$B3 * IFERROR(VLOOKUP("transport|NOx|Infant mortality", US_national_yearly!$D:$AM, 14, FALSE) / VLOOKUP("transport|NOx|Infant mortality", US_national_yearly!$D:$AM, 10, FALSE), 1)</f>
        <v>1.6354226617460132E-5</v>
      </c>
      <c r="G3" s="7">
        <f>$B3 * IFERROR(VLOOKUP("transport|NOx|Infant mortality", US_national_yearly!$D:$AM, 15, FALSE) / VLOOKUP("transport|NOx|Infant mortality", US_national_yearly!$D:$AM, 10, FALSE), 1)</f>
        <v>1.0856743216450789E-5</v>
      </c>
      <c r="H3" s="7">
        <f>$B3 * IFERROR(VLOOKUP("transport|NOx|Infant mortality", US_national_yearly!$D:$AM, 16, FALSE) / VLOOKUP("transport|NOx|Infant mortality", US_national_yearly!$D:$AM, 10, FALSE), 1)</f>
        <v>5.3592598154414466E-6</v>
      </c>
      <c r="I3" s="7">
        <f>$B3 * IFERROR(VLOOKUP("transport|NOx|Infant mortality", US_national_yearly!$D:$AM, 17, FALSE) / VLOOKUP("transport|NOx|Infant mortality", US_national_yearly!$D:$AM, 10, FALSE), 1)</f>
        <v>5.321364731504152E-6</v>
      </c>
      <c r="J3" s="7">
        <f>$B3 * IFERROR(VLOOKUP("transport|NOx|Infant mortality", US_national_yearly!$D:$AM, 18, FALSE) / VLOOKUP("transport|NOx|Infant mortality", US_national_yearly!$D:$AM, 10, FALSE), 1)</f>
        <v>5.2834696475668565E-6</v>
      </c>
      <c r="K3" s="7">
        <f>$B3 * IFERROR(VLOOKUP("transport|NOx|Infant mortality", US_national_yearly!$D:$AM, 19, FALSE) / VLOOKUP("transport|NOx|Infant mortality", US_national_yearly!$D:$AM, 10, FALSE), 1)</f>
        <v>5.2455745636295619E-6</v>
      </c>
      <c r="L3" s="7">
        <f>$B3 * IFERROR(VLOOKUP("transport|NOx|Infant mortality", US_national_yearly!$D:$AM, 20, FALSE) / VLOOKUP("transport|NOx|Infant mortality", US_national_yearly!$D:$AM, 10, FALSE), 1)</f>
        <v>5.2076794796922681E-6</v>
      </c>
      <c r="M3" s="7">
        <f>$B3 * IFERROR(VLOOKUP("transport|NOx|Infant mortality", US_national_yearly!$D:$AM, 21, FALSE) / VLOOKUP("transport|NOx|Infant mortality", US_national_yearly!$D:$AM, 10, FALSE), 1)</f>
        <v>5.1697843957549726E-6</v>
      </c>
      <c r="N3" s="7">
        <f>$B3 * IFERROR(VLOOKUP("transport|NOx|Infant mortality", US_national_yearly!$D:$AM, 22, FALSE) / VLOOKUP("transport|NOx|Infant mortality", US_national_yearly!$D:$AM, 10, FALSE), 1)</f>
        <v>5.1446312235250106E-6</v>
      </c>
      <c r="O3" s="7">
        <f>$B3 * IFERROR(VLOOKUP("transport|NOx|Infant mortality", US_national_yearly!$D:$AM, 23, FALSE) / VLOOKUP("transport|NOx|Infant mortality", US_national_yearly!$D:$AM, 10, FALSE), 1)</f>
        <v>5.1194780512950486E-6</v>
      </c>
      <c r="P3" s="7">
        <f>$B3 * IFERROR(VLOOKUP("transport|NOx|Infant mortality", US_national_yearly!$D:$AM, 24, FALSE) / VLOOKUP("transport|NOx|Infant mortality", US_national_yearly!$D:$AM, 10, FALSE), 1)</f>
        <v>5.0943248790650867E-6</v>
      </c>
      <c r="Q3" s="7">
        <f>$B3 * IFERROR(VLOOKUP("transport|NOx|Infant mortality", US_national_yearly!$D:$AM, 25, FALSE) / VLOOKUP("transport|NOx|Infant mortality", US_national_yearly!$D:$AM, 10, FALSE), 1)</f>
        <v>5.0691717068351255E-6</v>
      </c>
      <c r="R3" s="7">
        <f>$B3 * IFERROR(VLOOKUP("transport|NOx|Infant mortality", US_national_yearly!$D:$AM, 26, FALSE) / VLOOKUP("transport|NOx|Infant mortality", US_national_yearly!$D:$AM, 10, FALSE), 1)</f>
        <v>5.0440185346051635E-6</v>
      </c>
      <c r="S3" s="7">
        <f>$B3 * IFERROR(VLOOKUP("transport|NOx|Infant mortality", US_national_yearly!$D:$AM, 27, FALSE) / VLOOKUP("transport|NOx|Infant mortality", US_national_yearly!$D:$AM, 10, FALSE), 1)</f>
        <v>5.0137804216310719E-6</v>
      </c>
      <c r="T3" s="7">
        <f>$B3 * IFERROR(VLOOKUP("transport|NOx|Infant mortality", US_national_yearly!$D:$AM, 28, FALSE) / VLOOKUP("transport|NOx|Infant mortality", US_national_yearly!$D:$AM, 10, FALSE), 1)</f>
        <v>4.9835423086569795E-6</v>
      </c>
      <c r="U3" s="7">
        <f>$B3 * IFERROR(VLOOKUP("transport|NOx|Infant mortality", US_national_yearly!$D:$AM, 29, FALSE) / VLOOKUP("transport|NOx|Infant mortality", US_national_yearly!$D:$AM, 10, FALSE), 1)</f>
        <v>4.9533041956828879E-6</v>
      </c>
      <c r="V3" s="7">
        <f>$B3 * IFERROR(VLOOKUP("transport|NOx|Infant mortality", US_national_yearly!$D:$AM, 30, FALSE) / VLOOKUP("transport|NOx|Infant mortality", US_national_yearly!$D:$AM, 10, FALSE), 1)</f>
        <v>4.9230660827087962E-6</v>
      </c>
      <c r="W3" s="7">
        <f>$B3 * IFERROR(VLOOKUP("transport|NOx|Infant mortality", US_national_yearly!$D:$AM, 31, FALSE) / VLOOKUP("transport|NOx|Infant mortality", US_national_yearly!$D:$AM, 10, FALSE), 1)</f>
        <v>4.8928279697347046E-6</v>
      </c>
      <c r="X3" s="7">
        <f>$B3 * IFERROR(VLOOKUP("transport|NOx|Infant mortality", US_national_yearly!$D:$AM, 32, FALSE) / VLOOKUP("transport|NOx|Infant mortality", US_national_yearly!$D:$AM, 10, FALSE), 1)</f>
        <v>4.8608043458396791E-6</v>
      </c>
      <c r="Y3" s="7">
        <f>$B3 * IFERROR(VLOOKUP("transport|NOx|Infant mortality", US_national_yearly!$D:$AM, 33, FALSE) / VLOOKUP("transport|NOx|Infant mortality", US_national_yearly!$D:$AM, 10, FALSE), 1)</f>
        <v>4.8287807219446536E-6</v>
      </c>
      <c r="Z3" s="7">
        <f>$B3 * IFERROR(VLOOKUP("transport|NOx|Infant mortality", US_national_yearly!$D:$AM, 34, FALSE) / VLOOKUP("transport|NOx|Infant mortality", US_national_yearly!$D:$AM, 10, FALSE), 1)</f>
        <v>4.7967570980496272E-6</v>
      </c>
      <c r="AA3" s="7">
        <f>$B3 * IFERROR(VLOOKUP("transport|NOx|Infant mortality", US_national_yearly!$D:$AM, 35, FALSE) / VLOOKUP("transport|NOx|Infant mortality", US_national_yearly!$D:$AM, 10, FALSE), 1)</f>
        <v>4.7647334741546017E-6</v>
      </c>
      <c r="AB3" s="7">
        <f>$B3 * IFERROR(VLOOKUP("transport|NOx|Infant mortality", US_national_yearly!$D:$AM, 36, FALSE) / VLOOKUP("transport|NOx|Infant mortality", US_national_yearly!$D:$AM, 10, FALSE), 1)</f>
        <v>4.7327098502595753E-6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2.4465396402420653E-2</v>
      </c>
      <c r="C6" s="7">
        <f>$B6 * IFERROR(VLOOKUP("transport|NOx|Asthma symptoms cough", US_national_yearly!$D:$AM, 11, FALSE) / VLOOKUP("transport|NOx|Asthma symptoms cough", US_national_yearly!$D:$AM, 10, FALSE), 1)</f>
        <v>2.47998783705815E-2</v>
      </c>
      <c r="D6" s="7">
        <f>$B6 * IFERROR(VLOOKUP("transport|NOx|Asthma symptoms cough", US_national_yearly!$D:$AM, 12, FALSE) / VLOOKUP("transport|NOx|Asthma symptoms cough", US_national_yearly!$D:$AM, 10, FALSE), 1)</f>
        <v>2.5134360338742352E-2</v>
      </c>
      <c r="E6" s="7">
        <f>$B6 * IFERROR(VLOOKUP("transport|NOx|Asthma symptoms cough", US_national_yearly!$D:$AM, 13, FALSE) / VLOOKUP("transport|NOx|Asthma symptoms cough", US_national_yearly!$D:$AM, 10, FALSE), 1)</f>
        <v>2.5468842306903199E-2</v>
      </c>
      <c r="F6" s="7">
        <f>$B6 * IFERROR(VLOOKUP("transport|NOx|Asthma symptoms cough", US_national_yearly!$D:$AM, 14, FALSE) / VLOOKUP("transport|NOx|Asthma symptoms cough", US_national_yearly!$D:$AM, 10, FALSE), 1)</f>
        <v>2.5803324275064047E-2</v>
      </c>
      <c r="G6" s="7">
        <f>$B6 * IFERROR(VLOOKUP("transport|NOx|Asthma symptoms cough", US_national_yearly!$D:$AM, 15, FALSE) / VLOOKUP("transport|NOx|Asthma symptoms cough", US_national_yearly!$D:$AM, 10, FALSE), 1)</f>
        <v>2.6070361385943215E-2</v>
      </c>
      <c r="H6" s="7">
        <f>$B6 * IFERROR(VLOOKUP("transport|NOx|Asthma symptoms cough", US_national_yearly!$D:$AM, 16, FALSE) / VLOOKUP("transport|NOx|Asthma symptoms cough", US_national_yearly!$D:$AM, 10, FALSE), 1)</f>
        <v>2.633739849682239E-2</v>
      </c>
      <c r="I6" s="7">
        <f>$B6 * IFERROR(VLOOKUP("transport|NOx|Asthma symptoms cough", US_national_yearly!$D:$AM, 17, FALSE) / VLOOKUP("transport|NOx|Asthma symptoms cough", US_national_yearly!$D:$AM, 10, FALSE), 1)</f>
        <v>2.6429308852890871E-2</v>
      </c>
      <c r="J6" s="7">
        <f>$B6 * IFERROR(VLOOKUP("transport|NOx|Asthma symptoms cough", US_national_yearly!$D:$AM, 18, FALSE) / VLOOKUP("transport|NOx|Asthma symptoms cough", US_national_yearly!$D:$AM, 10, FALSE), 1)</f>
        <v>2.6521219208959359E-2</v>
      </c>
      <c r="K6" s="7">
        <f>$B6 * IFERROR(VLOOKUP("transport|NOx|Asthma symptoms cough", US_national_yearly!$D:$AM, 19, FALSE) / VLOOKUP("transport|NOx|Asthma symptoms cough", US_national_yearly!$D:$AM, 10, FALSE), 1)</f>
        <v>2.6613129565027843E-2</v>
      </c>
      <c r="L6" s="7">
        <f>$B6 * IFERROR(VLOOKUP("transport|NOx|Asthma symptoms cough", US_national_yearly!$D:$AM, 20, FALSE) / VLOOKUP("transport|NOx|Asthma symptoms cough", US_national_yearly!$D:$AM, 10, FALSE), 1)</f>
        <v>2.6705039921096324E-2</v>
      </c>
      <c r="M6" s="7">
        <f>$B6 * IFERROR(VLOOKUP("transport|NOx|Asthma symptoms cough", US_national_yearly!$D:$AM, 21, FALSE) / VLOOKUP("transport|NOx|Asthma symptoms cough", US_national_yearly!$D:$AM, 10, FALSE), 1)</f>
        <v>2.6796950277164812E-2</v>
      </c>
      <c r="N6" s="7">
        <f>$B6 * IFERROR(VLOOKUP("transport|NOx|Asthma symptoms cough", US_national_yearly!$D:$AM, 22, FALSE) / VLOOKUP("transport|NOx|Asthma symptoms cough", US_national_yearly!$D:$AM, 10, FALSE), 1)</f>
        <v>2.6903527179339484E-2</v>
      </c>
      <c r="O6" s="7">
        <f>$B6 * IFERROR(VLOOKUP("transport|NOx|Asthma symptoms cough", US_national_yearly!$D:$AM, 23, FALSE) / VLOOKUP("transport|NOx|Asthma symptoms cough", US_national_yearly!$D:$AM, 10, FALSE), 1)</f>
        <v>2.7010104081514157E-2</v>
      </c>
      <c r="P6" s="7">
        <f>$B6 * IFERROR(VLOOKUP("transport|NOx|Asthma symptoms cough", US_national_yearly!$D:$AM, 24, FALSE) / VLOOKUP("transport|NOx|Asthma symptoms cough", US_national_yearly!$D:$AM, 10, FALSE), 1)</f>
        <v>2.7116680983688829E-2</v>
      </c>
      <c r="Q6" s="7">
        <f>$B6 * IFERROR(VLOOKUP("transport|NOx|Asthma symptoms cough", US_national_yearly!$D:$AM, 25, FALSE) / VLOOKUP("transport|NOx|Asthma symptoms cough", US_national_yearly!$D:$AM, 10, FALSE), 1)</f>
        <v>2.7223257885863508E-2</v>
      </c>
      <c r="R6" s="7">
        <f>$B6 * IFERROR(VLOOKUP("transport|NOx|Asthma symptoms cough", US_national_yearly!$D:$AM, 26, FALSE) / VLOOKUP("transport|NOx|Asthma symptoms cough", US_national_yearly!$D:$AM, 10, FALSE), 1)</f>
        <v>2.7329834788038181E-2</v>
      </c>
      <c r="S6" s="7">
        <f>$B6 * IFERROR(VLOOKUP("transport|NOx|Asthma symptoms cough", US_national_yearly!$D:$AM, 27, FALSE) / VLOOKUP("transport|NOx|Asthma symptoms cough", US_national_yearly!$D:$AM, 10, FALSE), 1)</f>
        <v>2.746905816677012E-2</v>
      </c>
      <c r="T6" s="7">
        <f>$B6 * IFERROR(VLOOKUP("transport|NOx|Asthma symptoms cough", US_national_yearly!$D:$AM, 28, FALSE) / VLOOKUP("transport|NOx|Asthma symptoms cough", US_national_yearly!$D:$AM, 10, FALSE), 1)</f>
        <v>2.7608281545502052E-2</v>
      </c>
      <c r="U6" s="7">
        <f>$B6 * IFERROR(VLOOKUP("transport|NOx|Asthma symptoms cough", US_national_yearly!$D:$AM, 29, FALSE) / VLOOKUP("transport|NOx|Asthma symptoms cough", US_national_yearly!$D:$AM, 10, FALSE), 1)</f>
        <v>2.774750492423398E-2</v>
      </c>
      <c r="V6" s="7">
        <f>$B6 * IFERROR(VLOOKUP("transport|NOx|Asthma symptoms cough", US_national_yearly!$D:$AM, 30, FALSE) / VLOOKUP("transport|NOx|Asthma symptoms cough", US_national_yearly!$D:$AM, 10, FALSE), 1)</f>
        <v>2.7886728302965919E-2</v>
      </c>
      <c r="W6" s="7">
        <f>$B6 * IFERROR(VLOOKUP("transport|NOx|Asthma symptoms cough", US_national_yearly!$D:$AM, 31, FALSE) / VLOOKUP("transport|NOx|Asthma symptoms cough", US_national_yearly!$D:$AM, 10, FALSE), 1)</f>
        <v>2.8025951681697855E-2</v>
      </c>
      <c r="X6" s="7">
        <f>$B6 * IFERROR(VLOOKUP("transport|NOx|Asthma symptoms cough", US_national_yearly!$D:$AM, 32, FALSE) / VLOOKUP("transport|NOx|Asthma symptoms cough", US_national_yearly!$D:$AM, 10, FALSE), 1)</f>
        <v>2.8155310204927248E-2</v>
      </c>
      <c r="Y6" s="7">
        <f>$B6 * IFERROR(VLOOKUP("transport|NOx|Asthma symptoms cough", US_national_yearly!$D:$AM, 33, FALSE) / VLOOKUP("transport|NOx|Asthma symptoms cough", US_national_yearly!$D:$AM, 10, FALSE), 1)</f>
        <v>2.8284668728156638E-2</v>
      </c>
      <c r="Z6" s="7">
        <f>$B6 * IFERROR(VLOOKUP("transport|NOx|Asthma symptoms cough", US_national_yearly!$D:$AM, 34, FALSE) / VLOOKUP("transport|NOx|Asthma symptoms cough", US_national_yearly!$D:$AM, 10, FALSE), 1)</f>
        <v>2.8414027251386031E-2</v>
      </c>
      <c r="AA6" s="7">
        <f>$B6 * IFERROR(VLOOKUP("transport|NOx|Asthma symptoms cough", US_national_yearly!$D:$AM, 35, FALSE) / VLOOKUP("transport|NOx|Asthma symptoms cough", US_national_yearly!$D:$AM, 10, FALSE), 1)</f>
        <v>2.8543385774615425E-2</v>
      </c>
      <c r="AB6" s="7">
        <f>$B6 * IFERROR(VLOOKUP("transport|NOx|Asthma symptoms cough", US_national_yearly!$D:$AM, 36, FALSE) / VLOOKUP("transport|NOx|Asthma symptoms cough", US_national_yearly!$D:$AM, 10, FALSE), 1)</f>
        <v>2.8672744297844822E-2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3.2940512538587916E-2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3.3390863200244245E-2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3.3841213861900567E-2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3.4291564523556896E-2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3.4741915185213225E-2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3.5101457255980156E-2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3.5460999326747081E-2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3.5584748566964898E-2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3.5708497807182722E-2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3.5832247047400539E-2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3.5955996287618357E-2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3.6079745527836181E-2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3.6223241987622529E-2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3.6366738447408883E-2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3.6510234907195224E-2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3.6653731366981579E-2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3.6797227826767927E-2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3.6984679907057998E-2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3.7172131987348075E-2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3.7359584067638146E-2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3.754703614792821E-2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3.7734488228218281E-2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3.7908658144847819E-2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3.808282806147735E-2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3.8256997978106895E-2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3.8431167894736433E-2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3.8605337811365964E-2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5.0347782374170744E-2</v>
      </c>
      <c r="C8" s="7">
        <f>$B8 * IFERROR(VLOOKUP("transport|NOx|Asthma symptoms wheeze", US_national_yearly!$D:$AM, 11, FALSE) / VLOOKUP("transport|NOx|Asthma symptoms wheeze", US_national_yearly!$D:$AM, 10, FALSE), 1)</f>
        <v>5.1036118875540597E-2</v>
      </c>
      <c r="D8" s="7">
        <f>$B8 * IFERROR(VLOOKUP("transport|NOx|Asthma symptoms wheeze", US_national_yearly!$D:$AM, 12, FALSE) / VLOOKUP("transport|NOx|Asthma symptoms wheeze", US_national_yearly!$D:$AM, 10, FALSE), 1)</f>
        <v>5.1724455376910471E-2</v>
      </c>
      <c r="E8" s="7">
        <f>$B8 * IFERROR(VLOOKUP("transport|NOx|Asthma symptoms wheeze", US_national_yearly!$D:$AM, 13, FALSE) / VLOOKUP("transport|NOx|Asthma symptoms wheeze", US_national_yearly!$D:$AM, 10, FALSE), 1)</f>
        <v>5.2412791878280324E-2</v>
      </c>
      <c r="F8" s="7">
        <f>$B8 * IFERROR(VLOOKUP("transport|NOx|Asthma symptoms wheeze", US_national_yearly!$D:$AM, 14, FALSE) / VLOOKUP("transport|NOx|Asthma symptoms wheeze", US_national_yearly!$D:$AM, 10, FALSE), 1)</f>
        <v>5.3101128379650177E-2</v>
      </c>
      <c r="G8" s="7">
        <f>$B8 * IFERROR(VLOOKUP("transport|NOx|Asthma symptoms wheeze", US_national_yearly!$D:$AM, 15, FALSE) / VLOOKUP("transport|NOx|Asthma symptoms wheeze", US_national_yearly!$D:$AM, 10, FALSE), 1)</f>
        <v>5.3650668887875792E-2</v>
      </c>
      <c r="H8" s="7">
        <f>$B8 * IFERROR(VLOOKUP("transport|NOx|Asthma symptoms wheeze", US_national_yearly!$D:$AM, 16, FALSE) / VLOOKUP("transport|NOx|Asthma symptoms wheeze", US_national_yearly!$D:$AM, 10, FALSE), 1)</f>
        <v>5.4200209396101415E-2</v>
      </c>
      <c r="I8" s="7">
        <f>$B8 * IFERROR(VLOOKUP("transport|NOx|Asthma symptoms wheeze", US_national_yearly!$D:$AM, 17, FALSE) / VLOOKUP("transport|NOx|Asthma symptoms wheeze", US_national_yearly!$D:$AM, 10, FALSE), 1)</f>
        <v>5.438935338363679E-2</v>
      </c>
      <c r="J8" s="7">
        <f>$B8 * IFERROR(VLOOKUP("transport|NOx|Asthma symptoms wheeze", US_national_yearly!$D:$AM, 18, FALSE) / VLOOKUP("transport|NOx|Asthma symptoms wheeze", US_national_yearly!$D:$AM, 10, FALSE), 1)</f>
        <v>5.457849737117218E-2</v>
      </c>
      <c r="K8" s="7">
        <f>$B8 * IFERROR(VLOOKUP("transport|NOx|Asthma symptoms wheeze", US_national_yearly!$D:$AM, 19, FALSE) / VLOOKUP("transport|NOx|Asthma symptoms wheeze", US_national_yearly!$D:$AM, 10, FALSE), 1)</f>
        <v>5.4767641358707549E-2</v>
      </c>
      <c r="L8" s="7">
        <f>$B8 * IFERROR(VLOOKUP("transport|NOx|Asthma symptoms wheeze", US_national_yearly!$D:$AM, 20, FALSE) / VLOOKUP("transport|NOx|Asthma symptoms wheeze", US_national_yearly!$D:$AM, 10, FALSE), 1)</f>
        <v>5.4956785346242945E-2</v>
      </c>
      <c r="M8" s="7">
        <f>$B8 * IFERROR(VLOOKUP("transport|NOx|Asthma symptoms wheeze", US_national_yearly!$D:$AM, 21, FALSE) / VLOOKUP("transport|NOx|Asthma symptoms wheeze", US_national_yearly!$D:$AM, 10, FALSE), 1)</f>
        <v>5.5145929333778321E-2</v>
      </c>
      <c r="N8" s="7">
        <f>$B8 * IFERROR(VLOOKUP("transport|NOx|Asthma symptoms wheeze", US_national_yearly!$D:$AM, 22, FALSE) / VLOOKUP("transport|NOx|Asthma symptoms wheeze", US_national_yearly!$D:$AM, 10, FALSE), 1)</f>
        <v>5.536525587244942E-2</v>
      </c>
      <c r="O8" s="7">
        <f>$B8 * IFERROR(VLOOKUP("transport|NOx|Asthma symptoms wheeze", US_national_yearly!$D:$AM, 23, FALSE) / VLOOKUP("transport|NOx|Asthma symptoms wheeze", US_national_yearly!$D:$AM, 10, FALSE), 1)</f>
        <v>5.5584582411120534E-2</v>
      </c>
      <c r="P8" s="7">
        <f>$B8 * IFERROR(VLOOKUP("transport|NOx|Asthma symptoms wheeze", US_national_yearly!$D:$AM, 24, FALSE) / VLOOKUP("transport|NOx|Asthma symptoms wheeze", US_national_yearly!$D:$AM, 10, FALSE), 1)</f>
        <v>5.5803908949791634E-2</v>
      </c>
      <c r="Q8" s="7">
        <f>$B8 * IFERROR(VLOOKUP("transport|NOx|Asthma symptoms wheeze", US_national_yearly!$D:$AM, 25, FALSE) / VLOOKUP("transport|NOx|Asthma symptoms wheeze", US_national_yearly!$D:$AM, 10, FALSE), 1)</f>
        <v>5.6023235488462747E-2</v>
      </c>
      <c r="R8" s="7">
        <f>$B8 * IFERROR(VLOOKUP("transport|NOx|Asthma symptoms wheeze", US_national_yearly!$D:$AM, 26, FALSE) / VLOOKUP("transport|NOx|Asthma symptoms wheeze", US_national_yearly!$D:$AM, 10, FALSE), 1)</f>
        <v>5.6242562027133847E-2</v>
      </c>
      <c r="S8" s="7">
        <f>$B8 * IFERROR(VLOOKUP("transport|NOx|Asthma symptoms wheeze", US_national_yearly!$D:$AM, 27, FALSE) / VLOOKUP("transport|NOx|Asthma symptoms wheeze", US_national_yearly!$D:$AM, 10, FALSE), 1)</f>
        <v>5.6529072341453525E-2</v>
      </c>
      <c r="T8" s="7">
        <f>$B8 * IFERROR(VLOOKUP("transport|NOx|Asthma symptoms wheeze", US_national_yearly!$D:$AM, 28, FALSE) / VLOOKUP("transport|NOx|Asthma symptoms wheeze", US_national_yearly!$D:$AM, 10, FALSE), 1)</f>
        <v>5.6815582655773203E-2</v>
      </c>
      <c r="U8" s="7">
        <f>$B8 * IFERROR(VLOOKUP("transport|NOx|Asthma symptoms wheeze", US_national_yearly!$D:$AM, 29, FALSE) / VLOOKUP("transport|NOx|Asthma symptoms wheeze", US_national_yearly!$D:$AM, 10, FALSE), 1)</f>
        <v>5.7102092970092888E-2</v>
      </c>
      <c r="V8" s="7">
        <f>$B8 * IFERROR(VLOOKUP("transport|NOx|Asthma symptoms wheeze", US_national_yearly!$D:$AM, 30, FALSE) / VLOOKUP("transport|NOx|Asthma symptoms wheeze", US_national_yearly!$D:$AM, 10, FALSE), 1)</f>
        <v>5.738860328441258E-2</v>
      </c>
      <c r="W8" s="7">
        <f>$B8 * IFERROR(VLOOKUP("transport|NOx|Asthma symptoms wheeze", US_national_yearly!$D:$AM, 31, FALSE) / VLOOKUP("transport|NOx|Asthma symptoms wheeze", US_national_yearly!$D:$AM, 10, FALSE), 1)</f>
        <v>5.7675113598732251E-2</v>
      </c>
      <c r="X8" s="7">
        <f>$B8 * IFERROR(VLOOKUP("transport|NOx|Asthma symptoms wheeze", US_national_yearly!$D:$AM, 32, FALSE) / VLOOKUP("transport|NOx|Asthma symptoms wheeze", US_national_yearly!$D:$AM, 10, FALSE), 1)</f>
        <v>5.7941322848036221E-2</v>
      </c>
      <c r="Y8" s="7">
        <f>$B8 * IFERROR(VLOOKUP("transport|NOx|Asthma symptoms wheeze", US_national_yearly!$D:$AM, 33, FALSE) / VLOOKUP("transport|NOx|Asthma symptoms wheeze", US_national_yearly!$D:$AM, 10, FALSE), 1)</f>
        <v>5.8207532097340177E-2</v>
      </c>
      <c r="Z8" s="7">
        <f>$B8 * IFERROR(VLOOKUP("transport|NOx|Asthma symptoms wheeze", US_national_yearly!$D:$AM, 34, FALSE) / VLOOKUP("transport|NOx|Asthma symptoms wheeze", US_national_yearly!$D:$AM, 10, FALSE), 1)</f>
        <v>5.8473741346644147E-2</v>
      </c>
      <c r="AA8" s="7">
        <f>$B8 * IFERROR(VLOOKUP("transport|NOx|Asthma symptoms wheeze", US_national_yearly!$D:$AM, 35, FALSE) / VLOOKUP("transport|NOx|Asthma symptoms wheeze", US_national_yearly!$D:$AM, 10, FALSE), 1)</f>
        <v>5.8739950595948109E-2</v>
      </c>
      <c r="AB8" s="7">
        <f>$B8 * IFERROR(VLOOKUP("transport|NOx|Asthma symptoms wheeze", US_national_yearly!$D:$AM, 36, FALSE) / VLOOKUP("transport|NOx|Asthma symptoms wheeze", US_national_yearly!$D:$AM, 10, FALSE), 1)</f>
        <v>5.9006159845252079E-2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6.215558085291284E-4</v>
      </c>
      <c r="C12" s="7">
        <f>$B12 * IFERROR(VLOOKUP("transport|NOx|Respiratory hospital admissions", US_national_yearly!$D:$AM, 11, FALSE) / VLOOKUP("transport|NOx|Respiratory hospital admissions", US_national_yearly!$D:$AM, 10, FALSE), 1)</f>
        <v>6.3706030976683626E-4</v>
      </c>
      <c r="D12" s="7">
        <f>$B12 * IFERROR(VLOOKUP("transport|NOx|Respiratory hospital admissions", US_national_yearly!$D:$AM, 12, FALSE) / VLOOKUP("transport|NOx|Respiratory hospital admissions", US_national_yearly!$D:$AM, 10, FALSE), 1)</f>
        <v>6.5256481100454413E-4</v>
      </c>
      <c r="E12" s="7">
        <f>$B12 * IFERROR(VLOOKUP("transport|NOx|Respiratory hospital admissions", US_national_yearly!$D:$AM, 13, FALSE) / VLOOKUP("transport|NOx|Respiratory hospital admissions", US_national_yearly!$D:$AM, 10, FALSE), 1)</f>
        <v>6.680693122422521E-4</v>
      </c>
      <c r="F12" s="7">
        <f>$B12 * IFERROR(VLOOKUP("transport|NOx|Respiratory hospital admissions", US_national_yearly!$D:$AM, 14, FALSE) / VLOOKUP("transport|NOx|Respiratory hospital admissions", US_national_yearly!$D:$AM, 10, FALSE), 1)</f>
        <v>6.8357381347996008E-4</v>
      </c>
      <c r="G12" s="7">
        <f>$B12 * IFERROR(VLOOKUP("transport|NOx|Respiratory hospital admissions", US_national_yearly!$D:$AM, 15, FALSE) / VLOOKUP("transport|NOx|Respiratory hospital admissions", US_national_yearly!$D:$AM, 10, FALSE), 1)</f>
        <v>6.983966443736148E-4</v>
      </c>
      <c r="H12" s="7">
        <f>$B12 * IFERROR(VLOOKUP("transport|NOx|Respiratory hospital admissions", US_national_yearly!$D:$AM, 16, FALSE) / VLOOKUP("transport|NOx|Respiratory hospital admissions", US_national_yearly!$D:$AM, 10, FALSE), 1)</f>
        <v>7.1321947526726951E-4</v>
      </c>
      <c r="I12" s="7">
        <f>$B12 * IFERROR(VLOOKUP("transport|NOx|Respiratory hospital admissions", US_national_yearly!$D:$AM, 17, FALSE) / VLOOKUP("transport|NOx|Respiratory hospital admissions", US_national_yearly!$D:$AM, 10, FALSE), 1)</f>
        <v>7.2580436342254697E-4</v>
      </c>
      <c r="J12" s="7">
        <f>$B12 * IFERROR(VLOOKUP("transport|NOx|Respiratory hospital admissions", US_national_yearly!$D:$AM, 18, FALSE) / VLOOKUP("transport|NOx|Respiratory hospital admissions", US_national_yearly!$D:$AM, 10, FALSE), 1)</f>
        <v>7.3838925157782432E-4</v>
      </c>
      <c r="K12" s="7">
        <f>$B12 * IFERROR(VLOOKUP("transport|NOx|Respiratory hospital admissions", US_national_yearly!$D:$AM, 19, FALSE) / VLOOKUP("transport|NOx|Respiratory hospital admissions", US_national_yearly!$D:$AM, 10, FALSE), 1)</f>
        <v>7.5097413973310178E-4</v>
      </c>
      <c r="L12" s="7">
        <f>$B12 * IFERROR(VLOOKUP("transport|NOx|Respiratory hospital admissions", US_national_yearly!$D:$AM, 20, FALSE) / VLOOKUP("transport|NOx|Respiratory hospital admissions", US_national_yearly!$D:$AM, 10, FALSE), 1)</f>
        <v>7.6355902788837924E-4</v>
      </c>
      <c r="M12" s="7">
        <f>$B12 * IFERROR(VLOOKUP("transport|NOx|Respiratory hospital admissions", US_national_yearly!$D:$AM, 21, FALSE) / VLOOKUP("transport|NOx|Respiratory hospital admissions", US_national_yearly!$D:$AM, 10, FALSE), 1)</f>
        <v>7.761439160436567E-4</v>
      </c>
      <c r="N12" s="7">
        <f>$B12 * IFERROR(VLOOKUP("transport|NOx|Respiratory hospital admissions", US_national_yearly!$D:$AM, 22, FALSE) / VLOOKUP("transport|NOx|Respiratory hospital admissions", US_national_yearly!$D:$AM, 10, FALSE), 1)</f>
        <v>7.8455714036082536E-4</v>
      </c>
      <c r="O12" s="7">
        <f>$B12 * IFERROR(VLOOKUP("transport|NOx|Respiratory hospital admissions", US_national_yearly!$D:$AM, 23, FALSE) / VLOOKUP("transport|NOx|Respiratory hospital admissions", US_national_yearly!$D:$AM, 10, FALSE), 1)</f>
        <v>7.9297036467799434E-4</v>
      </c>
      <c r="P12" s="7">
        <f>$B12 * IFERROR(VLOOKUP("transport|NOx|Respiratory hospital admissions", US_national_yearly!$D:$AM, 24, FALSE) / VLOOKUP("transport|NOx|Respiratory hospital admissions", US_national_yearly!$D:$AM, 10, FALSE), 1)</f>
        <v>8.013835889951631E-4</v>
      </c>
      <c r="Q12" s="7">
        <f>$B12 * IFERROR(VLOOKUP("transport|NOx|Respiratory hospital admissions", US_national_yearly!$D:$AM, 25, FALSE) / VLOOKUP("transport|NOx|Respiratory hospital admissions", US_national_yearly!$D:$AM, 10, FALSE), 1)</f>
        <v>8.0979681331233198E-4</v>
      </c>
      <c r="R12" s="7">
        <f>$B12 * IFERROR(VLOOKUP("transport|NOx|Respiratory hospital admissions", US_national_yearly!$D:$AM, 26, FALSE) / VLOOKUP("transport|NOx|Respiratory hospital admissions", US_national_yearly!$D:$AM, 10, FALSE), 1)</f>
        <v>8.1821003762950085E-4</v>
      </c>
      <c r="S12" s="7">
        <f>$B12 * IFERROR(VLOOKUP("transport|NOx|Respiratory hospital admissions", US_national_yearly!$D:$AM, 27, FALSE) / VLOOKUP("transport|NOx|Respiratory hospital admissions", US_national_yearly!$D:$AM, 10, FALSE), 1)</f>
        <v>8.2271761524666768E-4</v>
      </c>
      <c r="T12" s="7">
        <f>$B12 * IFERROR(VLOOKUP("transport|NOx|Respiratory hospital admissions", US_national_yearly!$D:$AM, 28, FALSE) / VLOOKUP("transport|NOx|Respiratory hospital admissions", US_national_yearly!$D:$AM, 10, FALSE), 1)</f>
        <v>8.272251928638344E-4</v>
      </c>
      <c r="U12" s="7">
        <f>$B12 * IFERROR(VLOOKUP("transport|NOx|Respiratory hospital admissions", US_national_yearly!$D:$AM, 29, FALSE) / VLOOKUP("transport|NOx|Respiratory hospital admissions", US_national_yearly!$D:$AM, 10, FALSE), 1)</f>
        <v>8.3173277048100122E-4</v>
      </c>
      <c r="V12" s="7">
        <f>$B12 * IFERROR(VLOOKUP("transport|NOx|Respiratory hospital admissions", US_national_yearly!$D:$AM, 30, FALSE) / VLOOKUP("transport|NOx|Respiratory hospital admissions", US_national_yearly!$D:$AM, 10, FALSE), 1)</f>
        <v>8.3624034809816794E-4</v>
      </c>
      <c r="W12" s="7">
        <f>$B12 * IFERROR(VLOOKUP("transport|NOx|Respiratory hospital admissions", US_national_yearly!$D:$AM, 31, FALSE) / VLOOKUP("transport|NOx|Respiratory hospital admissions", US_national_yearly!$D:$AM, 10, FALSE), 1)</f>
        <v>8.4074792571533488E-4</v>
      </c>
      <c r="X12" s="7">
        <f>$B12 * IFERROR(VLOOKUP("transport|NOx|Respiratory hospital admissions", US_national_yearly!$D:$AM, 32, FALSE) / VLOOKUP("transport|NOx|Respiratory hospital admissions", US_national_yearly!$D:$AM, 10, FALSE), 1)</f>
        <v>8.4382826940802857E-4</v>
      </c>
      <c r="Y12" s="7">
        <f>$B12 * IFERROR(VLOOKUP("transport|NOx|Respiratory hospital admissions", US_national_yearly!$D:$AM, 33, FALSE) / VLOOKUP("transport|NOx|Respiratory hospital admissions", US_national_yearly!$D:$AM, 10, FALSE), 1)</f>
        <v>8.4690861310072238E-4</v>
      </c>
      <c r="Z12" s="7">
        <f>$B12 * IFERROR(VLOOKUP("transport|NOx|Respiratory hospital admissions", US_national_yearly!$D:$AM, 34, FALSE) / VLOOKUP("transport|NOx|Respiratory hospital admissions", US_national_yearly!$D:$AM, 10, FALSE), 1)</f>
        <v>8.4998895679341618E-4</v>
      </c>
      <c r="AA12" s="7">
        <f>$B12 * IFERROR(VLOOKUP("transport|NOx|Respiratory hospital admissions", US_national_yearly!$D:$AM, 35, FALSE) / VLOOKUP("transport|NOx|Respiratory hospital admissions", US_national_yearly!$D:$AM, 10, FALSE), 1)</f>
        <v>8.5306930048611009E-4</v>
      </c>
      <c r="AB12" s="7">
        <f>$B12 * IFERROR(VLOOKUP("transport|NOx|Respiratory hospital admissions", US_national_yearly!$D:$AM, 36, FALSE) / VLOOKUP("transport|NOx|Respiratory hospital admissions", US_national_yearly!$D:$AM, 10, FALSE), 1)</f>
        <v>8.5614964417880378E-4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1.9120535751691271E-3</v>
      </c>
      <c r="C13" s="7">
        <f>$B13 * IFERROR(VLOOKUP("transport|NOx|Non-fatal heart attacks", US_national_yearly!$D:$AM, 11, FALSE) / VLOOKUP("transport|NOx|Non-fatal heart attacks", US_national_yearly!$D:$AM, 10, FALSE), 1)</f>
        <v>1.9667175022565295E-3</v>
      </c>
      <c r="D13" s="7">
        <f>$B13 * IFERROR(VLOOKUP("transport|NOx|Non-fatal heart attacks", US_national_yearly!$D:$AM, 12, FALSE) / VLOOKUP("transport|NOx|Non-fatal heart attacks", US_national_yearly!$D:$AM, 10, FALSE), 1)</f>
        <v>2.021381429343932E-3</v>
      </c>
      <c r="E13" s="7">
        <f>$B13 * IFERROR(VLOOKUP("transport|NOx|Non-fatal heart attacks", US_national_yearly!$D:$AM, 13, FALSE) / VLOOKUP("transport|NOx|Non-fatal heart attacks", US_national_yearly!$D:$AM, 10, FALSE), 1)</f>
        <v>2.0760453564313344E-3</v>
      </c>
      <c r="F13" s="7">
        <f>$B13 * IFERROR(VLOOKUP("transport|NOx|Non-fatal heart attacks", US_national_yearly!$D:$AM, 14, FALSE) / VLOOKUP("transport|NOx|Non-fatal heart attacks", US_national_yearly!$D:$AM, 10, FALSE), 1)</f>
        <v>2.1307092835187369E-3</v>
      </c>
      <c r="G13" s="7">
        <f>$B13 * IFERROR(VLOOKUP("transport|NOx|Non-fatal heart attacks", US_national_yearly!$D:$AM, 15, FALSE) / VLOOKUP("transport|NOx|Non-fatal heart attacks", US_national_yearly!$D:$AM, 10, FALSE), 1)</f>
        <v>2.1817926097712991E-3</v>
      </c>
      <c r="H13" s="7">
        <f>$B13 * IFERROR(VLOOKUP("transport|NOx|Non-fatal heart attacks", US_national_yearly!$D:$AM, 16, FALSE) / VLOOKUP("transport|NOx|Non-fatal heart attacks", US_national_yearly!$D:$AM, 10, FALSE), 1)</f>
        <v>2.2328759360238618E-3</v>
      </c>
      <c r="I13" s="7">
        <f>$B13 * IFERROR(VLOOKUP("transport|NOx|Non-fatal heart attacks", US_national_yearly!$D:$AM, 17, FALSE) / VLOOKUP("transport|NOx|Non-fatal heart attacks", US_national_yearly!$D:$AM, 10, FALSE), 1)</f>
        <v>2.2731492993922644E-3</v>
      </c>
      <c r="J13" s="7">
        <f>$B13 * IFERROR(VLOOKUP("transport|NOx|Non-fatal heart attacks", US_national_yearly!$D:$AM, 18, FALSE) / VLOOKUP("transport|NOx|Non-fatal heart attacks", US_national_yearly!$D:$AM, 10, FALSE), 1)</f>
        <v>2.3134226627606674E-3</v>
      </c>
      <c r="K13" s="7">
        <f>$B13 * IFERROR(VLOOKUP("transport|NOx|Non-fatal heart attacks", US_national_yearly!$D:$AM, 19, FALSE) / VLOOKUP("transport|NOx|Non-fatal heart attacks", US_national_yearly!$D:$AM, 10, FALSE), 1)</f>
        <v>2.3536960261290691E-3</v>
      </c>
      <c r="L13" s="7">
        <f>$B13 * IFERROR(VLOOKUP("transport|NOx|Non-fatal heart attacks", US_national_yearly!$D:$AM, 20, FALSE) / VLOOKUP("transport|NOx|Non-fatal heart attacks", US_national_yearly!$D:$AM, 10, FALSE), 1)</f>
        <v>2.3939693894974735E-3</v>
      </c>
      <c r="M13" s="7">
        <f>$B13 * IFERROR(VLOOKUP("transport|NOx|Non-fatal heart attacks", US_national_yearly!$D:$AM, 21, FALSE) / VLOOKUP("transport|NOx|Non-fatal heart attacks", US_national_yearly!$D:$AM, 10, FALSE), 1)</f>
        <v>2.4342427528658761E-3</v>
      </c>
      <c r="N13" s="7">
        <f>$B13 * IFERROR(VLOOKUP("transport|NOx|Non-fatal heart attacks", US_national_yearly!$D:$AM, 22, FALSE) / VLOOKUP("transport|NOx|Non-fatal heart attacks", US_national_yearly!$D:$AM, 10, FALSE), 1)</f>
        <v>2.4584724296215919E-3</v>
      </c>
      <c r="O13" s="7">
        <f>$B13 * IFERROR(VLOOKUP("transport|NOx|Non-fatal heart attacks", US_national_yearly!$D:$AM, 23, FALSE) / VLOOKUP("transport|NOx|Non-fatal heart attacks", US_national_yearly!$D:$AM, 10, FALSE), 1)</f>
        <v>2.4827021063773083E-3</v>
      </c>
      <c r="P13" s="7">
        <f>$B13 * IFERROR(VLOOKUP("transport|NOx|Non-fatal heart attacks", US_national_yearly!$D:$AM, 24, FALSE) / VLOOKUP("transport|NOx|Non-fatal heart attacks", US_national_yearly!$D:$AM, 10, FALSE), 1)</f>
        <v>2.5069317831330237E-3</v>
      </c>
      <c r="Q13" s="7">
        <f>$B13 * IFERROR(VLOOKUP("transport|NOx|Non-fatal heart attacks", US_national_yearly!$D:$AM, 25, FALSE) / VLOOKUP("transport|NOx|Non-fatal heart attacks", US_national_yearly!$D:$AM, 10, FALSE), 1)</f>
        <v>2.5311614598887405E-3</v>
      </c>
      <c r="R13" s="7">
        <f>$B13 * IFERROR(VLOOKUP("transport|NOx|Non-fatal heart attacks", US_national_yearly!$D:$AM, 26, FALSE) / VLOOKUP("transport|NOx|Non-fatal heart attacks", US_national_yearly!$D:$AM, 10, FALSE), 1)</f>
        <v>2.5553911366444563E-3</v>
      </c>
      <c r="S13" s="7">
        <f>$B13 * IFERROR(VLOOKUP("transport|NOx|Non-fatal heart attacks", US_national_yearly!$D:$AM, 27, FALSE) / VLOOKUP("transport|NOx|Non-fatal heart attacks", US_national_yearly!$D:$AM, 10, FALSE), 1)</f>
        <v>2.5663818856023076E-3</v>
      </c>
      <c r="T13" s="7">
        <f>$B13 * IFERROR(VLOOKUP("transport|NOx|Non-fatal heart attacks", US_national_yearly!$D:$AM, 28, FALSE) / VLOOKUP("transport|NOx|Non-fatal heart attacks", US_national_yearly!$D:$AM, 10, FALSE), 1)</f>
        <v>2.5773726345601584E-3</v>
      </c>
      <c r="U13" s="7">
        <f>$B13 * IFERROR(VLOOKUP("transport|NOx|Non-fatal heart attacks", US_national_yearly!$D:$AM, 29, FALSE) / VLOOKUP("transport|NOx|Non-fatal heart attacks", US_national_yearly!$D:$AM, 10, FALSE), 1)</f>
        <v>2.5883633835180097E-3</v>
      </c>
      <c r="V13" s="7">
        <f>$B13 * IFERROR(VLOOKUP("transport|NOx|Non-fatal heart attacks", US_national_yearly!$D:$AM, 30, FALSE) / VLOOKUP("transport|NOx|Non-fatal heart attacks", US_national_yearly!$D:$AM, 10, FALSE), 1)</f>
        <v>2.5993541324758605E-3</v>
      </c>
      <c r="W13" s="7">
        <f>$B13 * IFERROR(VLOOKUP("transport|NOx|Non-fatal heart attacks", US_national_yearly!$D:$AM, 31, FALSE) / VLOOKUP("transport|NOx|Non-fatal heart attacks", US_national_yearly!$D:$AM, 10, FALSE), 1)</f>
        <v>2.6103448814337113E-3</v>
      </c>
      <c r="X13" s="7">
        <f>$B13 * IFERROR(VLOOKUP("transport|NOx|Non-fatal heart attacks", US_national_yearly!$D:$AM, 32, FALSE) / VLOOKUP("transport|NOx|Non-fatal heart attacks", US_national_yearly!$D:$AM, 10, FALSE), 1)</f>
        <v>2.6176894782008898E-3</v>
      </c>
      <c r="Y13" s="7">
        <f>$B13 * IFERROR(VLOOKUP("transport|NOx|Non-fatal heart attacks", US_national_yearly!$D:$AM, 33, FALSE) / VLOOKUP("transport|NOx|Non-fatal heart attacks", US_national_yearly!$D:$AM, 10, FALSE), 1)</f>
        <v>2.6250340749680683E-3</v>
      </c>
      <c r="Z13" s="7">
        <f>$B13 * IFERROR(VLOOKUP("transport|NOx|Non-fatal heart attacks", US_national_yearly!$D:$AM, 34, FALSE) / VLOOKUP("transport|NOx|Non-fatal heart attacks", US_national_yearly!$D:$AM, 10, FALSE), 1)</f>
        <v>2.6323786717352463E-3</v>
      </c>
      <c r="AA13" s="7">
        <f>$B13 * IFERROR(VLOOKUP("transport|NOx|Non-fatal heart attacks", US_national_yearly!$D:$AM, 35, FALSE) / VLOOKUP("transport|NOx|Non-fatal heart attacks", US_national_yearly!$D:$AM, 10, FALSE), 1)</f>
        <v>2.6397232685024248E-3</v>
      </c>
      <c r="AB13" s="7">
        <f>$B13 * IFERROR(VLOOKUP("transport|NOx|Non-fatal heart attacks", US_national_yearly!$D:$AM, 36, FALSE) / VLOOKUP("transport|NOx|Non-fatal heart attacks", US_national_yearly!$D:$AM, 10, FALSE), 1)</f>
        <v>2.6470678652696033E-3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3.1664397518160214</v>
      </c>
      <c r="C14" s="7">
        <f>$B14 * IFERROR(VLOOKUP("transport|NOx|Minor restricted activity days", US_national_yearly!$D:$AM, 11, FALSE) / VLOOKUP("transport|NOx|Minor restricted activity days", US_national_yearly!$D:$AM, 10, FALSE), 1)</f>
        <v>3.1712944353431123</v>
      </c>
      <c r="D14" s="7">
        <f>$B14 * IFERROR(VLOOKUP("transport|NOx|Minor restricted activity days", US_national_yearly!$D:$AM, 12, FALSE) / VLOOKUP("transport|NOx|Minor restricted activity days", US_national_yearly!$D:$AM, 10, FALSE), 1)</f>
        <v>3.176149118870204</v>
      </c>
      <c r="E14" s="7">
        <f>$B14 * IFERROR(VLOOKUP("transport|NOx|Minor restricted activity days", US_national_yearly!$D:$AM, 13, FALSE) / VLOOKUP("transport|NOx|Minor restricted activity days", US_national_yearly!$D:$AM, 10, FALSE), 1)</f>
        <v>3.1810038023972953</v>
      </c>
      <c r="F14" s="7">
        <f>$B14 * IFERROR(VLOOKUP("transport|NOx|Minor restricted activity days", US_national_yearly!$D:$AM, 14, FALSE) / VLOOKUP("transport|NOx|Minor restricted activity days", US_national_yearly!$D:$AM, 10, FALSE), 1)</f>
        <v>3.1858584859243861</v>
      </c>
      <c r="G14" s="7">
        <f>$B14 * IFERROR(VLOOKUP("transport|NOx|Minor restricted activity days", US_national_yearly!$D:$AM, 15, FALSE) / VLOOKUP("transport|NOx|Minor restricted activity days", US_national_yearly!$D:$AM, 10, FALSE), 1)</f>
        <v>3.1946248888603415</v>
      </c>
      <c r="H14" s="7">
        <f>$B14 * IFERROR(VLOOKUP("transport|NOx|Minor restricted activity days", US_national_yearly!$D:$AM, 16, FALSE) / VLOOKUP("transport|NOx|Minor restricted activity days", US_national_yearly!$D:$AM, 10, FALSE), 1)</f>
        <v>3.2033912917962959</v>
      </c>
      <c r="I14" s="7">
        <f>$B14 * IFERROR(VLOOKUP("transport|NOx|Minor restricted activity days", US_national_yearly!$D:$AM, 17, FALSE) / VLOOKUP("transport|NOx|Minor restricted activity days", US_national_yearly!$D:$AM, 10, FALSE), 1)</f>
        <v>3.2205380292795818</v>
      </c>
      <c r="J14" s="7">
        <f>$B14 * IFERROR(VLOOKUP("transport|NOx|Minor restricted activity days", US_national_yearly!$D:$AM, 18, FALSE) / VLOOKUP("transport|NOx|Minor restricted activity days", US_national_yearly!$D:$AM, 10, FALSE), 1)</f>
        <v>3.2376847667628668</v>
      </c>
      <c r="K14" s="7">
        <f>$B14 * IFERROR(VLOOKUP("transport|NOx|Minor restricted activity days", US_national_yearly!$D:$AM, 19, FALSE) / VLOOKUP("transport|NOx|Minor restricted activity days", US_national_yearly!$D:$AM, 10, FALSE), 1)</f>
        <v>3.2548315042461522</v>
      </c>
      <c r="L14" s="7">
        <f>$B14 * IFERROR(VLOOKUP("transport|NOx|Minor restricted activity days", US_national_yearly!$D:$AM, 20, FALSE) / VLOOKUP("transport|NOx|Minor restricted activity days", US_national_yearly!$D:$AM, 10, FALSE), 1)</f>
        <v>3.2719782417294372</v>
      </c>
      <c r="M14" s="7">
        <f>$B14 * IFERROR(VLOOKUP("transport|NOx|Minor restricted activity days", US_national_yearly!$D:$AM, 21, FALSE) / VLOOKUP("transport|NOx|Minor restricted activity days", US_national_yearly!$D:$AM, 10, FALSE), 1)</f>
        <v>3.2891249792127231</v>
      </c>
      <c r="N14" s="7">
        <f>$B14 * IFERROR(VLOOKUP("transport|NOx|Minor restricted activity days", US_national_yearly!$D:$AM, 22, FALSE) / VLOOKUP("transport|NOx|Minor restricted activity days", US_national_yearly!$D:$AM, 10, FALSE), 1)</f>
        <v>3.3136752193502739</v>
      </c>
      <c r="O14" s="7">
        <f>$B14 * IFERROR(VLOOKUP("transport|NOx|Minor restricted activity days", US_national_yearly!$D:$AM, 23, FALSE) / VLOOKUP("transport|NOx|Minor restricted activity days", US_national_yearly!$D:$AM, 10, FALSE), 1)</f>
        <v>3.3382254594878251</v>
      </c>
      <c r="P14" s="7">
        <f>$B14 * IFERROR(VLOOKUP("transport|NOx|Minor restricted activity days", US_national_yearly!$D:$AM, 24, FALSE) / VLOOKUP("transport|NOx|Minor restricted activity days", US_national_yearly!$D:$AM, 10, FALSE), 1)</f>
        <v>3.3627756996253759</v>
      </c>
      <c r="Q14" s="7">
        <f>$B14 * IFERROR(VLOOKUP("transport|NOx|Minor restricted activity days", US_national_yearly!$D:$AM, 25, FALSE) / VLOOKUP("transport|NOx|Minor restricted activity days", US_national_yearly!$D:$AM, 10, FALSE), 1)</f>
        <v>3.3873259397629272</v>
      </c>
      <c r="R14" s="7">
        <f>$B14 * IFERROR(VLOOKUP("transport|NOx|Minor restricted activity days", US_national_yearly!$D:$AM, 26, FALSE) / VLOOKUP("transport|NOx|Minor restricted activity days", US_national_yearly!$D:$AM, 10, FALSE), 1)</f>
        <v>3.411876179900478</v>
      </c>
      <c r="S14" s="7">
        <f>$B14 * IFERROR(VLOOKUP("transport|NOx|Minor restricted activity days", US_national_yearly!$D:$AM, 27, FALSE) / VLOOKUP("transport|NOx|Minor restricted activity days", US_national_yearly!$D:$AM, 10, FALSE), 1)</f>
        <v>3.4364212584025862</v>
      </c>
      <c r="T14" s="7">
        <f>$B14 * IFERROR(VLOOKUP("transport|NOx|Minor restricted activity days", US_national_yearly!$D:$AM, 28, FALSE) / VLOOKUP("transport|NOx|Minor restricted activity days", US_national_yearly!$D:$AM, 10, FALSE), 1)</f>
        <v>3.4609663369046935</v>
      </c>
      <c r="U14" s="7">
        <f>$B14 * IFERROR(VLOOKUP("transport|NOx|Minor restricted activity days", US_national_yearly!$D:$AM, 29, FALSE) / VLOOKUP("transport|NOx|Minor restricted activity days", US_national_yearly!$D:$AM, 10, FALSE), 1)</f>
        <v>3.4855114154068016</v>
      </c>
      <c r="V14" s="7">
        <f>$B14 * IFERROR(VLOOKUP("transport|NOx|Minor restricted activity days", US_national_yearly!$D:$AM, 30, FALSE) / VLOOKUP("transport|NOx|Minor restricted activity days", US_national_yearly!$D:$AM, 10, FALSE), 1)</f>
        <v>3.5100564939089098</v>
      </c>
      <c r="W14" s="7">
        <f>$B14 * IFERROR(VLOOKUP("transport|NOx|Minor restricted activity days", US_national_yearly!$D:$AM, 31, FALSE) / VLOOKUP("transport|NOx|Minor restricted activity days", US_national_yearly!$D:$AM, 10, FALSE), 1)</f>
        <v>3.5346015724110171</v>
      </c>
      <c r="X14" s="7">
        <f>$B14 * IFERROR(VLOOKUP("transport|NOx|Minor restricted activity days", US_national_yearly!$D:$AM, 32, FALSE) / VLOOKUP("transport|NOx|Minor restricted activity days", US_national_yearly!$D:$AM, 10, FALSE), 1)</f>
        <v>3.5553535012194146</v>
      </c>
      <c r="Y14" s="7">
        <f>$B14 * IFERROR(VLOOKUP("transport|NOx|Minor restricted activity days", US_national_yearly!$D:$AM, 33, FALSE) / VLOOKUP("transport|NOx|Minor restricted activity days", US_national_yearly!$D:$AM, 10, FALSE), 1)</f>
        <v>3.5761054300278121</v>
      </c>
      <c r="Z14" s="7">
        <f>$B14 * IFERROR(VLOOKUP("transport|NOx|Minor restricted activity days", US_national_yearly!$D:$AM, 34, FALSE) / VLOOKUP("transport|NOx|Minor restricted activity days", US_national_yearly!$D:$AM, 10, FALSE), 1)</f>
        <v>3.5968573588362096</v>
      </c>
      <c r="AA14" s="7">
        <f>$B14 * IFERROR(VLOOKUP("transport|NOx|Minor restricted activity days", US_national_yearly!$D:$AM, 35, FALSE) / VLOOKUP("transport|NOx|Minor restricted activity days", US_national_yearly!$D:$AM, 10, FALSE), 1)</f>
        <v>3.6176092876446071</v>
      </c>
      <c r="AB14" s="7">
        <f>$B14 * IFERROR(VLOOKUP("transport|NOx|Minor restricted activity days", US_national_yearly!$D:$AM, 36, FALSE) / VLOOKUP("transport|NOx|Minor restricted activity days", US_national_yearly!$D:$AM, 10, FALSE), 1)</f>
        <v>3.6383612164530046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0.53911795069292578</v>
      </c>
      <c r="C15" s="7">
        <f>$B15 * IFERROR(VLOOKUP("transport|NOx|Work loss days", US_national_yearly!$D:$AM, 11, FALSE) / VLOOKUP("transport|NOx|Work loss days", US_national_yearly!$D:$AM, 10, FALSE), 1)</f>
        <v>0.54031718957152852</v>
      </c>
      <c r="D15" s="7">
        <f>$B15 * IFERROR(VLOOKUP("transport|NOx|Work loss days", US_national_yearly!$D:$AM, 12, FALSE) / VLOOKUP("transport|NOx|Work loss days", US_national_yearly!$D:$AM, 10, FALSE), 1)</f>
        <v>0.54151642845013137</v>
      </c>
      <c r="E15" s="7">
        <f>$B15 * IFERROR(VLOOKUP("transport|NOx|Work loss days", US_national_yearly!$D:$AM, 13, FALSE) / VLOOKUP("transport|NOx|Work loss days", US_national_yearly!$D:$AM, 10, FALSE), 1)</f>
        <v>0.542715667328734</v>
      </c>
      <c r="F15" s="7">
        <f>$B15 * IFERROR(VLOOKUP("transport|NOx|Work loss days", US_national_yearly!$D:$AM, 14, FALSE) / VLOOKUP("transport|NOx|Work loss days", US_national_yearly!$D:$AM, 10, FALSE), 1)</f>
        <v>0.54391490620733685</v>
      </c>
      <c r="G15" s="7">
        <f>$B15 * IFERROR(VLOOKUP("transport|NOx|Work loss days", US_national_yearly!$D:$AM, 15, FALSE) / VLOOKUP("transport|NOx|Work loss days", US_national_yearly!$D:$AM, 10, FALSE), 1)</f>
        <v>0.54566580520013697</v>
      </c>
      <c r="H15" s="7">
        <f>$B15 * IFERROR(VLOOKUP("transport|NOx|Work loss days", US_national_yearly!$D:$AM, 16, FALSE) / VLOOKUP("transport|NOx|Work loss days", US_national_yearly!$D:$AM, 10, FALSE), 1)</f>
        <v>0.5474167041929372</v>
      </c>
      <c r="I15" s="7">
        <f>$B15 * IFERROR(VLOOKUP("transport|NOx|Work loss days", US_national_yearly!$D:$AM, 17, FALSE) / VLOOKUP("transport|NOx|Work loss days", US_national_yearly!$D:$AM, 10, FALSE), 1)</f>
        <v>0.5502530656691722</v>
      </c>
      <c r="J15" s="7">
        <f>$B15 * IFERROR(VLOOKUP("transport|NOx|Work loss days", US_national_yearly!$D:$AM, 18, FALSE) / VLOOKUP("transport|NOx|Work loss days", US_national_yearly!$D:$AM, 10, FALSE), 1)</f>
        <v>0.55308942714540732</v>
      </c>
      <c r="K15" s="7">
        <f>$B15 * IFERROR(VLOOKUP("transport|NOx|Work loss days", US_national_yearly!$D:$AM, 19, FALSE) / VLOOKUP("transport|NOx|Work loss days", US_national_yearly!$D:$AM, 10, FALSE), 1)</f>
        <v>0.55592578862164233</v>
      </c>
      <c r="L15" s="7">
        <f>$B15 * IFERROR(VLOOKUP("transport|NOx|Work loss days", US_national_yearly!$D:$AM, 20, FALSE) / VLOOKUP("transport|NOx|Work loss days", US_national_yearly!$D:$AM, 10, FALSE), 1)</f>
        <v>0.55876215009787733</v>
      </c>
      <c r="M15" s="7">
        <f>$B15 * IFERROR(VLOOKUP("transport|NOx|Work loss days", US_national_yearly!$D:$AM, 21, FALSE) / VLOOKUP("transport|NOx|Work loss days", US_national_yearly!$D:$AM, 10, FALSE), 1)</f>
        <v>0.56159851157411245</v>
      </c>
      <c r="N15" s="7">
        <f>$B15 * IFERROR(VLOOKUP("transport|NOx|Work loss days", US_national_yearly!$D:$AM, 22, FALSE) / VLOOKUP("transport|NOx|Work loss days", US_national_yearly!$D:$AM, 10, FALSE), 1)</f>
        <v>0.56528986198853948</v>
      </c>
      <c r="O15" s="7">
        <f>$B15 * IFERROR(VLOOKUP("transport|NOx|Work loss days", US_national_yearly!$D:$AM, 23, FALSE) / VLOOKUP("transport|NOx|Work loss days", US_national_yearly!$D:$AM, 10, FALSE), 1)</f>
        <v>0.56898121240296662</v>
      </c>
      <c r="P15" s="7">
        <f>$B15 * IFERROR(VLOOKUP("transport|NOx|Work loss days", US_national_yearly!$D:$AM, 24, FALSE) / VLOOKUP("transport|NOx|Work loss days", US_national_yearly!$D:$AM, 10, FALSE), 1)</f>
        <v>0.57267256281739376</v>
      </c>
      <c r="Q15" s="7">
        <f>$B15 * IFERROR(VLOOKUP("transport|NOx|Work loss days", US_national_yearly!$D:$AM, 25, FALSE) / VLOOKUP("transport|NOx|Work loss days", US_national_yearly!$D:$AM, 10, FALSE), 1)</f>
        <v>0.57636391323182068</v>
      </c>
      <c r="R15" s="7">
        <f>$B15 * IFERROR(VLOOKUP("transport|NOx|Work loss days", US_national_yearly!$D:$AM, 26, FALSE) / VLOOKUP("transport|NOx|Work loss days", US_national_yearly!$D:$AM, 10, FALSE), 1)</f>
        <v>0.58005526364624793</v>
      </c>
      <c r="S15" s="7">
        <f>$B15 * IFERROR(VLOOKUP("transport|NOx|Work loss days", US_national_yearly!$D:$AM, 27, FALSE) / VLOOKUP("transport|NOx|Work loss days", US_national_yearly!$D:$AM, 10, FALSE), 1)</f>
        <v>0.58417064737487012</v>
      </c>
      <c r="T15" s="7">
        <f>$B15 * IFERROR(VLOOKUP("transport|NOx|Work loss days", US_national_yearly!$D:$AM, 28, FALSE) / VLOOKUP("transport|NOx|Work loss days", US_national_yearly!$D:$AM, 10, FALSE), 1)</f>
        <v>0.58828603110349231</v>
      </c>
      <c r="U15" s="7">
        <f>$B15 * IFERROR(VLOOKUP("transport|NOx|Work loss days", US_national_yearly!$D:$AM, 29, FALSE) / VLOOKUP("transport|NOx|Work loss days", US_national_yearly!$D:$AM, 10, FALSE), 1)</f>
        <v>0.5924014148321145</v>
      </c>
      <c r="V15" s="7">
        <f>$B15 * IFERROR(VLOOKUP("transport|NOx|Work loss days", US_national_yearly!$D:$AM, 30, FALSE) / VLOOKUP("transport|NOx|Work loss days", US_national_yearly!$D:$AM, 10, FALSE), 1)</f>
        <v>0.59651679856073669</v>
      </c>
      <c r="W15" s="7">
        <f>$B15 * IFERROR(VLOOKUP("transport|NOx|Work loss days", US_national_yearly!$D:$AM, 31, FALSE) / VLOOKUP("transport|NOx|Work loss days", US_national_yearly!$D:$AM, 10, FALSE), 1)</f>
        <v>0.60063218228935888</v>
      </c>
      <c r="X15" s="7">
        <f>$B15 * IFERROR(VLOOKUP("transport|NOx|Work loss days", US_national_yearly!$D:$AM, 32, FALSE) / VLOOKUP("transport|NOx|Work loss days", US_national_yearly!$D:$AM, 10, FALSE), 1)</f>
        <v>0.60420411594695644</v>
      </c>
      <c r="Y15" s="7">
        <f>$B15 * IFERROR(VLOOKUP("transport|NOx|Work loss days", US_national_yearly!$D:$AM, 33, FALSE) / VLOOKUP("transport|NOx|Work loss days", US_national_yearly!$D:$AM, 10, FALSE), 1)</f>
        <v>0.60777604960455389</v>
      </c>
      <c r="Z15" s="7">
        <f>$B15 * IFERROR(VLOOKUP("transport|NOx|Work loss days", US_national_yearly!$D:$AM, 34, FALSE) / VLOOKUP("transport|NOx|Work loss days", US_national_yearly!$D:$AM, 10, FALSE), 1)</f>
        <v>0.61134798326215134</v>
      </c>
      <c r="AA15" s="7">
        <f>$B15 * IFERROR(VLOOKUP("transport|NOx|Work loss days", US_national_yearly!$D:$AM, 35, FALSE) / VLOOKUP("transport|NOx|Work loss days", US_national_yearly!$D:$AM, 10, FALSE), 1)</f>
        <v>0.61491991691974879</v>
      </c>
      <c r="AB15" s="7">
        <f>$B15 * IFERROR(VLOOKUP("transport|NOx|Work loss days", US_national_yearly!$D:$AM, 36, FALSE) / VLOOKUP("transport|NOx|Work loss days", US_national_yearly!$D:$AM, 10, FALSE), 1)</f>
        <v>0.61849185057734624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6.9736406737657059E-4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7.1785585366875818E-4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7.3834763996094555E-4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7.5883942625313303E-4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7.7933121254532061E-4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7.9879502070196796E-4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8.1825882885861552E-4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8.3462638997030875E-4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8.5099395108200208E-4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8.6736151219369542E-4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8.8372907330538865E-4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9.000966344170821E-4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9.1033181271585578E-4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9.2056699101462967E-4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9.3080216931340335E-4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9.4103734761217714E-4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9.5127252591095082E-4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9.5594255670576514E-4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9.6061258750057945E-4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9.6528261829539365E-4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9.6995264909020807E-4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9.7462267988502238E-4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9.7722171393050555E-4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9.7982074797598861E-4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9.8241978202147189E-4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9.8501881606695495E-4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9.8761785011243801E-4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4.7341747714190696E-2</v>
      </c>
      <c r="C2" s="7">
        <f>$B2 * IFERROR(VLOOKUP("transport|SO2|Premature mortality", US_national_yearly!$D:$AM, 11, FALSE) / VLOOKUP("transport|SO2|Premature mortality", US_national_yearly!$D:$AM, 10, FALSE), 1)</f>
        <v>4.7941305334055134E-2</v>
      </c>
      <c r="D2" s="7">
        <f>$B2 * IFERROR(VLOOKUP("transport|SO2|Premature mortality", US_national_yearly!$D:$AM, 12, FALSE) / VLOOKUP("transport|SO2|Premature mortality", US_national_yearly!$D:$AM, 10, FALSE), 1)</f>
        <v>4.8540862953919586E-2</v>
      </c>
      <c r="E2" s="7">
        <f>$B2 * IFERROR(VLOOKUP("transport|SO2|Premature mortality", US_national_yearly!$D:$AM, 13, FALSE) / VLOOKUP("transport|SO2|Premature mortality", US_national_yearly!$D:$AM, 10, FALSE), 1)</f>
        <v>4.9140420573784031E-2</v>
      </c>
      <c r="F2" s="7">
        <f>$B2 * IFERROR(VLOOKUP("transport|SO2|Premature mortality", US_national_yearly!$D:$AM, 14, FALSE) / VLOOKUP("transport|SO2|Premature mortality", US_national_yearly!$D:$AM, 10, FALSE), 1)</f>
        <v>4.9739978193648469E-2</v>
      </c>
      <c r="G2" s="7">
        <f>$B2 * IFERROR(VLOOKUP("transport|SO2|Premature mortality", US_national_yearly!$D:$AM, 15, FALSE) / VLOOKUP("transport|SO2|Premature mortality", US_national_yearly!$D:$AM, 10, FALSE), 1)</f>
        <v>5.0895291747887587E-2</v>
      </c>
      <c r="H2" s="7">
        <f>$B2 * IFERROR(VLOOKUP("transport|SO2|Premature mortality", US_national_yearly!$D:$AM, 16, FALSE) / VLOOKUP("transport|SO2|Premature mortality", US_national_yearly!$D:$AM, 10, FALSE), 1)</f>
        <v>5.2050605302126698E-2</v>
      </c>
      <c r="I2" s="7">
        <f>$B2 * IFERROR(VLOOKUP("transport|SO2|Premature mortality", US_national_yearly!$D:$AM, 17, FALSE) / VLOOKUP("transport|SO2|Premature mortality", US_national_yearly!$D:$AM, 10, FALSE), 1)</f>
        <v>5.281410728947307E-2</v>
      </c>
      <c r="J2" s="7">
        <f>$B2 * IFERROR(VLOOKUP("transport|SO2|Premature mortality", US_national_yearly!$D:$AM, 18, FALSE) / VLOOKUP("transport|SO2|Premature mortality", US_national_yearly!$D:$AM, 10, FALSE), 1)</f>
        <v>5.3577609276819448E-2</v>
      </c>
      <c r="K2" s="7">
        <f>$B2 * IFERROR(VLOOKUP("transport|SO2|Premature mortality", US_national_yearly!$D:$AM, 19, FALSE) / VLOOKUP("transport|SO2|Premature mortality", US_national_yearly!$D:$AM, 10, FALSE), 1)</f>
        <v>5.4341111264165805E-2</v>
      </c>
      <c r="L2" s="7">
        <f>$B2 * IFERROR(VLOOKUP("transport|SO2|Premature mortality", US_national_yearly!$D:$AM, 20, FALSE) / VLOOKUP("transport|SO2|Premature mortality", US_national_yearly!$D:$AM, 10, FALSE), 1)</f>
        <v>5.5104613251512183E-2</v>
      </c>
      <c r="M2" s="7">
        <f>$B2 * IFERROR(VLOOKUP("transport|SO2|Premature mortality", US_national_yearly!$D:$AM, 21, FALSE) / VLOOKUP("transport|SO2|Premature mortality", US_national_yearly!$D:$AM, 10, FALSE), 1)</f>
        <v>5.5868115238858554E-2</v>
      </c>
      <c r="N2" s="7">
        <f>$B2 * IFERROR(VLOOKUP("transport|SO2|Premature mortality", US_national_yearly!$D:$AM, 22, FALSE) / VLOOKUP("transport|SO2|Premature mortality", US_national_yearly!$D:$AM, 10, FALSE), 1)</f>
        <v>5.6464674277341358E-2</v>
      </c>
      <c r="O2" s="7">
        <f>$B2 * IFERROR(VLOOKUP("transport|SO2|Premature mortality", US_national_yearly!$D:$AM, 23, FALSE) / VLOOKUP("transport|SO2|Premature mortality", US_national_yearly!$D:$AM, 10, FALSE), 1)</f>
        <v>5.7061233315824161E-2</v>
      </c>
      <c r="P2" s="7">
        <f>$B2 * IFERROR(VLOOKUP("transport|SO2|Premature mortality", US_national_yearly!$D:$AM, 24, FALSE) / VLOOKUP("transport|SO2|Premature mortality", US_national_yearly!$D:$AM, 10, FALSE), 1)</f>
        <v>5.7657792354306965E-2</v>
      </c>
      <c r="Q2" s="7">
        <f>$B2 * IFERROR(VLOOKUP("transport|SO2|Premature mortality", US_national_yearly!$D:$AM, 25, FALSE) / VLOOKUP("transport|SO2|Premature mortality", US_national_yearly!$D:$AM, 10, FALSE), 1)</f>
        <v>5.8254351392789769E-2</v>
      </c>
      <c r="R2" s="7">
        <f>$B2 * IFERROR(VLOOKUP("transport|SO2|Premature mortality", US_national_yearly!$D:$AM, 26, FALSE) / VLOOKUP("transport|SO2|Premature mortality", US_national_yearly!$D:$AM, 10, FALSE), 1)</f>
        <v>5.8850910431272559E-2</v>
      </c>
      <c r="S2" s="7">
        <f>$B2 * IFERROR(VLOOKUP("transport|SO2|Premature mortality", US_national_yearly!$D:$AM, 27, FALSE) / VLOOKUP("transport|SO2|Premature mortality", US_national_yearly!$D:$AM, 10, FALSE), 1)</f>
        <v>5.9170375739682562E-2</v>
      </c>
      <c r="T2" s="7">
        <f>$B2 * IFERROR(VLOOKUP("transport|SO2|Premature mortality", US_national_yearly!$D:$AM, 28, FALSE) / VLOOKUP("transport|SO2|Premature mortality", US_national_yearly!$D:$AM, 10, FALSE), 1)</f>
        <v>5.9489841048092559E-2</v>
      </c>
      <c r="U2" s="7">
        <f>$B2 * IFERROR(VLOOKUP("transport|SO2|Premature mortality", US_national_yearly!$D:$AM, 29, FALSE) / VLOOKUP("transport|SO2|Premature mortality", US_national_yearly!$D:$AM, 10, FALSE), 1)</f>
        <v>5.9809306356502549E-2</v>
      </c>
      <c r="V2" s="7">
        <f>$B2 * IFERROR(VLOOKUP("transport|SO2|Premature mortality", US_national_yearly!$D:$AM, 30, FALSE) / VLOOKUP("transport|SO2|Premature mortality", US_national_yearly!$D:$AM, 10, FALSE), 1)</f>
        <v>6.0128771664912546E-2</v>
      </c>
      <c r="W2" s="7">
        <f>$B2 * IFERROR(VLOOKUP("transport|SO2|Premature mortality", US_national_yearly!$D:$AM, 31, FALSE) / VLOOKUP("transport|SO2|Premature mortality", US_national_yearly!$D:$AM, 10, FALSE), 1)</f>
        <v>6.044823697332255E-2</v>
      </c>
      <c r="X2" s="7">
        <f>$B2 * IFERROR(VLOOKUP("transport|SO2|Premature mortality", US_national_yearly!$D:$AM, 32, FALSE) / VLOOKUP("transport|SO2|Premature mortality", US_national_yearly!$D:$AM, 10, FALSE), 1)</f>
        <v>6.0513137327896926E-2</v>
      </c>
      <c r="Y2" s="7">
        <f>$B2 * IFERROR(VLOOKUP("transport|SO2|Premature mortality", US_national_yearly!$D:$AM, 33, FALSE) / VLOOKUP("transport|SO2|Premature mortality", US_national_yearly!$D:$AM, 10, FALSE), 1)</f>
        <v>6.0578037682471317E-2</v>
      </c>
      <c r="Z2" s="7">
        <f>$B2 * IFERROR(VLOOKUP("transport|SO2|Premature mortality", US_national_yearly!$D:$AM, 34, FALSE) / VLOOKUP("transport|SO2|Premature mortality", US_national_yearly!$D:$AM, 10, FALSE), 1)</f>
        <v>6.0642938037045707E-2</v>
      </c>
      <c r="AA2" s="7">
        <f>$B2 * IFERROR(VLOOKUP("transport|SO2|Premature mortality", US_national_yearly!$D:$AM, 35, FALSE) / VLOOKUP("transport|SO2|Premature mortality", US_national_yearly!$D:$AM, 10, FALSE), 1)</f>
        <v>6.0707838391620098E-2</v>
      </c>
      <c r="AB2" s="7">
        <f>$B2 * IFERROR(VLOOKUP("transport|SO2|Premature mortality", US_national_yearly!$D:$AM, 36, FALSE) / VLOOKUP("transport|SO2|Premature mortality", US_national_yearly!$D:$AM, 10, FALSE), 1)</f>
        <v>6.0772738746194481E-2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1.0556889047418128E-4</v>
      </c>
      <c r="C3" s="7">
        <f>$B3 * IFERROR(VLOOKUP("transport|SO2|Infant mortality", US_national_yearly!$D:$AM, 11, FALSE) / VLOOKUP("transport|SO2|Infant mortality", US_national_yearly!$D:$AM, 10, FALSE), 1)</f>
        <v>1.0466203444865432E-4</v>
      </c>
      <c r="D3" s="7">
        <f>$B3 * IFERROR(VLOOKUP("transport|SO2|Infant mortality", US_national_yearly!$D:$AM, 12, FALSE) / VLOOKUP("transport|SO2|Infant mortality", US_national_yearly!$D:$AM, 10, FALSE), 1)</f>
        <v>1.0375517842312737E-4</v>
      </c>
      <c r="E3" s="7">
        <f>$B3 * IFERROR(VLOOKUP("transport|SO2|Infant mortality", US_national_yearly!$D:$AM, 13, FALSE) / VLOOKUP("transport|SO2|Infant mortality", US_national_yearly!$D:$AM, 10, FALSE), 1)</f>
        <v>1.028483223976004E-4</v>
      </c>
      <c r="F3" s="7">
        <f>$B3 * IFERROR(VLOOKUP("transport|SO2|Infant mortality", US_national_yearly!$D:$AM, 14, FALSE) / VLOOKUP("transport|SO2|Infant mortality", US_national_yearly!$D:$AM, 10, FALSE), 1)</f>
        <v>1.0194146637207345E-4</v>
      </c>
      <c r="G3" s="7">
        <f>$B3 * IFERROR(VLOOKUP("transport|SO2|Infant mortality", US_national_yearly!$D:$AM, 15, FALSE) / VLOOKUP("transport|SO2|Infant mortality", US_national_yearly!$D:$AM, 10, FALSE), 1)</f>
        <v>6.790122713064048E-5</v>
      </c>
      <c r="H3" s="7">
        <f>$B3 * IFERROR(VLOOKUP("transport|SO2|Infant mortality", US_national_yearly!$D:$AM, 16, FALSE) / VLOOKUP("transport|SO2|Infant mortality", US_national_yearly!$D:$AM, 10, FALSE), 1)</f>
        <v>3.3860987889207556E-5</v>
      </c>
      <c r="I3" s="7">
        <f>$B3 * IFERROR(VLOOKUP("transport|SO2|Infant mortality", US_national_yearly!$D:$AM, 17, FALSE) / VLOOKUP("transport|SO2|Infant mortality", US_national_yearly!$D:$AM, 10, FALSE), 1)</f>
        <v>3.3648567687038118E-5</v>
      </c>
      <c r="J3" s="7">
        <f>$B3 * IFERROR(VLOOKUP("transport|SO2|Infant mortality", US_national_yearly!$D:$AM, 18, FALSE) / VLOOKUP("transport|SO2|Infant mortality", US_national_yearly!$D:$AM, 10, FALSE), 1)</f>
        <v>3.3436147484868681E-5</v>
      </c>
      <c r="K3" s="7">
        <f>$B3 * IFERROR(VLOOKUP("transport|SO2|Infant mortality", US_national_yearly!$D:$AM, 19, FALSE) / VLOOKUP("transport|SO2|Infant mortality", US_national_yearly!$D:$AM, 10, FALSE), 1)</f>
        <v>3.3223727282699244E-5</v>
      </c>
      <c r="L3" s="7">
        <f>$B3 * IFERROR(VLOOKUP("transport|SO2|Infant mortality", US_national_yearly!$D:$AM, 20, FALSE) / VLOOKUP("transport|SO2|Infant mortality", US_national_yearly!$D:$AM, 10, FALSE), 1)</f>
        <v>3.3011307080529814E-5</v>
      </c>
      <c r="M3" s="7">
        <f>$B3 * IFERROR(VLOOKUP("transport|SO2|Infant mortality", US_national_yearly!$D:$AM, 21, FALSE) / VLOOKUP("transport|SO2|Infant mortality", US_national_yearly!$D:$AM, 10, FALSE), 1)</f>
        <v>3.2798886878360376E-5</v>
      </c>
      <c r="N3" s="7">
        <f>$B3 * IFERROR(VLOOKUP("transport|SO2|Infant mortality", US_national_yearly!$D:$AM, 22, FALSE) / VLOOKUP("transport|SO2|Infant mortality", US_national_yearly!$D:$AM, 10, FALSE), 1)</f>
        <v>3.2665552307776926E-5</v>
      </c>
      <c r="O3" s="7">
        <f>$B3 * IFERROR(VLOOKUP("transport|SO2|Infant mortality", US_national_yearly!$D:$AM, 23, FALSE) / VLOOKUP("transport|SO2|Infant mortality", US_national_yearly!$D:$AM, 10, FALSE), 1)</f>
        <v>3.2532217737193475E-5</v>
      </c>
      <c r="P3" s="7">
        <f>$B3 * IFERROR(VLOOKUP("transport|SO2|Infant mortality", US_national_yearly!$D:$AM, 24, FALSE) / VLOOKUP("transport|SO2|Infant mortality", US_national_yearly!$D:$AM, 10, FALSE), 1)</f>
        <v>3.2398883166610018E-5</v>
      </c>
      <c r="Q3" s="7">
        <f>$B3 * IFERROR(VLOOKUP("transport|SO2|Infant mortality", US_national_yearly!$D:$AM, 25, FALSE) / VLOOKUP("transport|SO2|Infant mortality", US_national_yearly!$D:$AM, 10, FALSE), 1)</f>
        <v>3.2265548596026561E-5</v>
      </c>
      <c r="R3" s="7">
        <f>$B3 * IFERROR(VLOOKUP("transport|SO2|Infant mortality", US_national_yearly!$D:$AM, 26, FALSE) / VLOOKUP("transport|SO2|Infant mortality", US_national_yearly!$D:$AM, 10, FALSE), 1)</f>
        <v>3.2132214025443103E-5</v>
      </c>
      <c r="S3" s="7">
        <f>$B3 * IFERROR(VLOOKUP("transport|SO2|Infant mortality", US_national_yearly!$D:$AM, 27, FALSE) / VLOOKUP("transport|SO2|Infant mortality", US_national_yearly!$D:$AM, 10, FALSE), 1)</f>
        <v>3.1964804349159666E-5</v>
      </c>
      <c r="T3" s="7">
        <f>$B3 * IFERROR(VLOOKUP("transport|SO2|Infant mortality", US_national_yearly!$D:$AM, 28, FALSE) / VLOOKUP("transport|SO2|Infant mortality", US_national_yearly!$D:$AM, 10, FALSE), 1)</f>
        <v>3.1797394672876223E-5</v>
      </c>
      <c r="U3" s="7">
        <f>$B3 * IFERROR(VLOOKUP("transport|SO2|Infant mortality", US_national_yearly!$D:$AM, 29, FALSE) / VLOOKUP("transport|SO2|Infant mortality", US_national_yearly!$D:$AM, 10, FALSE), 1)</f>
        <v>3.1629984996592765E-5</v>
      </c>
      <c r="V3" s="7">
        <f>$B3 * IFERROR(VLOOKUP("transport|SO2|Infant mortality", US_national_yearly!$D:$AM, 30, FALSE) / VLOOKUP("transport|SO2|Infant mortality", US_national_yearly!$D:$AM, 10, FALSE), 1)</f>
        <v>3.1462575320309335E-5</v>
      </c>
      <c r="W3" s="7">
        <f>$B3 * IFERROR(VLOOKUP("transport|SO2|Infant mortality", US_national_yearly!$D:$AM, 31, FALSE) / VLOOKUP("transport|SO2|Infant mortality", US_national_yearly!$D:$AM, 10, FALSE), 1)</f>
        <v>3.1295165644025885E-5</v>
      </c>
      <c r="X3" s="7">
        <f>$B3 * IFERROR(VLOOKUP("transport|SO2|Infant mortality", US_national_yearly!$D:$AM, 32, FALSE) / VLOOKUP("transport|SO2|Infant mortality", US_national_yearly!$D:$AM, 10, FALSE), 1)</f>
        <v>3.1112135193156464E-5</v>
      </c>
      <c r="Y3" s="7">
        <f>$B3 * IFERROR(VLOOKUP("transport|SO2|Infant mortality", US_national_yearly!$D:$AM, 33, FALSE) / VLOOKUP("transport|SO2|Infant mortality", US_national_yearly!$D:$AM, 10, FALSE), 1)</f>
        <v>3.0929104742287036E-5</v>
      </c>
      <c r="Z3" s="7">
        <f>$B3 * IFERROR(VLOOKUP("transport|SO2|Infant mortality", US_national_yearly!$D:$AM, 34, FALSE) / VLOOKUP("transport|SO2|Infant mortality", US_national_yearly!$D:$AM, 10, FALSE), 1)</f>
        <v>3.0746074291417615E-5</v>
      </c>
      <c r="AA3" s="7">
        <f>$B3 * IFERROR(VLOOKUP("transport|SO2|Infant mortality", US_national_yearly!$D:$AM, 35, FALSE) / VLOOKUP("transport|SO2|Infant mortality", US_national_yearly!$D:$AM, 10, FALSE), 1)</f>
        <v>3.0563043840548181E-5</v>
      </c>
      <c r="AB3" s="7">
        <f>$B3 * IFERROR(VLOOKUP("transport|SO2|Infant mortality", US_national_yearly!$D:$AM, 36, FALSE) / VLOOKUP("transport|SO2|Infant mortality", US_national_yearly!$D:$AM, 10, FALSE), 1)</f>
        <v>3.0380013389678764E-5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0.15614976283612861</v>
      </c>
      <c r="C6" s="7">
        <f>$B6 * IFERROR(VLOOKUP("transport|SO2|Asthma symptoms cough", US_national_yearly!$D:$AM, 11, FALSE) / VLOOKUP("transport|SO2|Asthma symptoms cough", US_national_yearly!$D:$AM, 10, FALSE), 1)</f>
        <v>0.15614976283612861</v>
      </c>
      <c r="D6" s="7">
        <f>$B6 * IFERROR(VLOOKUP("transport|SO2|Asthma symptoms cough", US_national_yearly!$D:$AM, 12, FALSE) / VLOOKUP("transport|SO2|Asthma symptoms cough", US_national_yearly!$D:$AM, 10, FALSE), 1)</f>
        <v>0.15614976283612861</v>
      </c>
      <c r="E6" s="7">
        <f>$B6 * IFERROR(VLOOKUP("transport|SO2|Asthma symptoms cough", US_national_yearly!$D:$AM, 13, FALSE) / VLOOKUP("transport|SO2|Asthma symptoms cough", US_national_yearly!$D:$AM, 10, FALSE), 1)</f>
        <v>0.15614976283612861</v>
      </c>
      <c r="F6" s="7">
        <f>$B6 * IFERROR(VLOOKUP("transport|SO2|Asthma symptoms cough", US_national_yearly!$D:$AM, 14, FALSE) / VLOOKUP("transport|SO2|Asthma symptoms cough", US_national_yearly!$D:$AM, 10, FALSE), 1)</f>
        <v>0.15614976283612861</v>
      </c>
      <c r="G6" s="7">
        <f>$B6 * IFERROR(VLOOKUP("transport|SO2|Asthma symptoms cough", US_national_yearly!$D:$AM, 15, FALSE) / VLOOKUP("transport|SO2|Asthma symptoms cough", US_national_yearly!$D:$AM, 10, FALSE), 1)</f>
        <v>0.15614976283612861</v>
      </c>
      <c r="H6" s="7">
        <f>$B6 * IFERROR(VLOOKUP("transport|SO2|Asthma symptoms cough", US_national_yearly!$D:$AM, 16, FALSE) / VLOOKUP("transport|SO2|Asthma symptoms cough", US_national_yearly!$D:$AM, 10, FALSE), 1)</f>
        <v>0.15614976283612861</v>
      </c>
      <c r="I6" s="7">
        <f>$B6 * IFERROR(VLOOKUP("transport|SO2|Asthma symptoms cough", US_national_yearly!$D:$AM, 17, FALSE) / VLOOKUP("transport|SO2|Asthma symptoms cough", US_national_yearly!$D:$AM, 10, FALSE), 1)</f>
        <v>0.15614976283612861</v>
      </c>
      <c r="J6" s="7">
        <f>$B6 * IFERROR(VLOOKUP("transport|SO2|Asthma symptoms cough", US_national_yearly!$D:$AM, 18, FALSE) / VLOOKUP("transport|SO2|Asthma symptoms cough", US_national_yearly!$D:$AM, 10, FALSE), 1)</f>
        <v>0.15614976283612861</v>
      </c>
      <c r="K6" s="7">
        <f>$B6 * IFERROR(VLOOKUP("transport|SO2|Asthma symptoms cough", US_national_yearly!$D:$AM, 19, FALSE) / VLOOKUP("transport|SO2|Asthma symptoms cough", US_national_yearly!$D:$AM, 10, FALSE), 1)</f>
        <v>0.15614976283612861</v>
      </c>
      <c r="L6" s="7">
        <f>$B6 * IFERROR(VLOOKUP("transport|SO2|Asthma symptoms cough", US_national_yearly!$D:$AM, 20, FALSE) / VLOOKUP("transport|SO2|Asthma symptoms cough", US_national_yearly!$D:$AM, 10, FALSE), 1)</f>
        <v>0.15614976283612861</v>
      </c>
      <c r="M6" s="7">
        <f>$B6 * IFERROR(VLOOKUP("transport|SO2|Asthma symptoms cough", US_national_yearly!$D:$AM, 21, FALSE) / VLOOKUP("transport|SO2|Asthma symptoms cough", US_national_yearly!$D:$AM, 10, FALSE), 1)</f>
        <v>0.15614976283612861</v>
      </c>
      <c r="N6" s="7">
        <f>$B6 * IFERROR(VLOOKUP("transport|SO2|Asthma symptoms cough", US_national_yearly!$D:$AM, 22, FALSE) / VLOOKUP("transport|SO2|Asthma symptoms cough", US_national_yearly!$D:$AM, 10, FALSE), 1)</f>
        <v>0.15614976283612861</v>
      </c>
      <c r="O6" s="7">
        <f>$B6 * IFERROR(VLOOKUP("transport|SO2|Asthma symptoms cough", US_national_yearly!$D:$AM, 23, FALSE) / VLOOKUP("transport|SO2|Asthma symptoms cough", US_national_yearly!$D:$AM, 10, FALSE), 1)</f>
        <v>0.15614976283612861</v>
      </c>
      <c r="P6" s="7">
        <f>$B6 * IFERROR(VLOOKUP("transport|SO2|Asthma symptoms cough", US_national_yearly!$D:$AM, 24, FALSE) / VLOOKUP("transport|SO2|Asthma symptoms cough", US_national_yearly!$D:$AM, 10, FALSE), 1)</f>
        <v>0.15614976283612861</v>
      </c>
      <c r="Q6" s="7">
        <f>$B6 * IFERROR(VLOOKUP("transport|SO2|Asthma symptoms cough", US_national_yearly!$D:$AM, 25, FALSE) / VLOOKUP("transport|SO2|Asthma symptoms cough", US_national_yearly!$D:$AM, 10, FALSE), 1)</f>
        <v>0.15614976283612861</v>
      </c>
      <c r="R6" s="7">
        <f>$B6 * IFERROR(VLOOKUP("transport|SO2|Asthma symptoms cough", US_national_yearly!$D:$AM, 26, FALSE) / VLOOKUP("transport|SO2|Asthma symptoms cough", US_national_yearly!$D:$AM, 10, FALSE), 1)</f>
        <v>0.15614976283612861</v>
      </c>
      <c r="S6" s="7">
        <f>$B6 * IFERROR(VLOOKUP("transport|SO2|Asthma symptoms cough", US_national_yearly!$D:$AM, 27, FALSE) / VLOOKUP("transport|SO2|Asthma symptoms cough", US_national_yearly!$D:$AM, 10, FALSE), 1)</f>
        <v>0.15614976283612861</v>
      </c>
      <c r="T6" s="7">
        <f>$B6 * IFERROR(VLOOKUP("transport|SO2|Asthma symptoms cough", US_national_yearly!$D:$AM, 28, FALSE) / VLOOKUP("transport|SO2|Asthma symptoms cough", US_national_yearly!$D:$AM, 10, FALSE), 1)</f>
        <v>0.15614976283612861</v>
      </c>
      <c r="U6" s="7">
        <f>$B6 * IFERROR(VLOOKUP("transport|SO2|Asthma symptoms cough", US_national_yearly!$D:$AM, 29, FALSE) / VLOOKUP("transport|SO2|Asthma symptoms cough", US_national_yearly!$D:$AM, 10, FALSE), 1)</f>
        <v>0.15614976283612861</v>
      </c>
      <c r="V6" s="7">
        <f>$B6 * IFERROR(VLOOKUP("transport|SO2|Asthma symptoms cough", US_national_yearly!$D:$AM, 30, FALSE) / VLOOKUP("transport|SO2|Asthma symptoms cough", US_national_yearly!$D:$AM, 10, FALSE), 1)</f>
        <v>0.15614976283612861</v>
      </c>
      <c r="W6" s="7">
        <f>$B6 * IFERROR(VLOOKUP("transport|SO2|Asthma symptoms cough", US_national_yearly!$D:$AM, 31, FALSE) / VLOOKUP("transport|SO2|Asthma symptoms cough", US_national_yearly!$D:$AM, 10, FALSE), 1)</f>
        <v>0.15614976283612861</v>
      </c>
      <c r="X6" s="7">
        <f>$B6 * IFERROR(VLOOKUP("transport|SO2|Asthma symptoms cough", US_national_yearly!$D:$AM, 32, FALSE) / VLOOKUP("transport|SO2|Asthma symptoms cough", US_national_yearly!$D:$AM, 10, FALSE), 1)</f>
        <v>0.15614976283612861</v>
      </c>
      <c r="Y6" s="7">
        <f>$B6 * IFERROR(VLOOKUP("transport|SO2|Asthma symptoms cough", US_national_yearly!$D:$AM, 33, FALSE) / VLOOKUP("transport|SO2|Asthma symptoms cough", US_national_yearly!$D:$AM, 10, FALSE), 1)</f>
        <v>0.15614976283612861</v>
      </c>
      <c r="Z6" s="7">
        <f>$B6 * IFERROR(VLOOKUP("transport|SO2|Asthma symptoms cough", US_national_yearly!$D:$AM, 34, FALSE) / VLOOKUP("transport|SO2|Asthma symptoms cough", US_national_yearly!$D:$AM, 10, FALSE), 1)</f>
        <v>0.15614976283612861</v>
      </c>
      <c r="AA6" s="7">
        <f>$B6 * IFERROR(VLOOKUP("transport|SO2|Asthma symptoms cough", US_national_yearly!$D:$AM, 35, FALSE) / VLOOKUP("transport|SO2|Asthma symptoms cough", US_national_yearly!$D:$AM, 10, FALSE), 1)</f>
        <v>0.15614976283612861</v>
      </c>
      <c r="AB6" s="7">
        <f>$B6 * IFERROR(VLOOKUP("transport|SO2|Asthma symptoms cough", US_national_yearly!$D:$AM, 36, FALSE) / VLOOKUP("transport|SO2|Asthma symptoms cough", US_national_yearly!$D:$AM, 10, FALSE), 1)</f>
        <v>0.15614976283612861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0.21027514717197143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0.21027514717197143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0.21027514717197143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0.21027514717197143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0.21027514717197143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0.21027514717197143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0.21027514717197143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0.21027514717197143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0.21027514717197143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0.21027514717197143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0.21027514717197143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0.21027514717197143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0.21027514717197143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0.21027514717197143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0.21027514717197143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0.21027514717197143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0.21027514717197143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0.21027514717197143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0.21027514717197143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0.21027514717197143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0.21027514717197143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0.21027514717197143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0.21027514717197143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0.21027514717197143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0.21027514717197143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0.21027514717197143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0.21027514717197143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0.32127608062276358</v>
      </c>
      <c r="C8" s="7">
        <f>$B8 * IFERROR(VLOOKUP("transport|SO2|Asthma symptoms wheeze", US_national_yearly!$D:$AM, 11, FALSE) / VLOOKUP("transport|SO2|Asthma symptoms wheeze", US_national_yearly!$D:$AM, 10, FALSE), 1)</f>
        <v>0.32127608062276358</v>
      </c>
      <c r="D8" s="7">
        <f>$B8 * IFERROR(VLOOKUP("transport|SO2|Asthma symptoms wheeze", US_national_yearly!$D:$AM, 12, FALSE) / VLOOKUP("transport|SO2|Asthma symptoms wheeze", US_national_yearly!$D:$AM, 10, FALSE), 1)</f>
        <v>0.32127608062276358</v>
      </c>
      <c r="E8" s="7">
        <f>$B8 * IFERROR(VLOOKUP("transport|SO2|Asthma symptoms wheeze", US_national_yearly!$D:$AM, 13, FALSE) / VLOOKUP("transport|SO2|Asthma symptoms wheeze", US_national_yearly!$D:$AM, 10, FALSE), 1)</f>
        <v>0.32127608062276358</v>
      </c>
      <c r="F8" s="7">
        <f>$B8 * IFERROR(VLOOKUP("transport|SO2|Asthma symptoms wheeze", US_national_yearly!$D:$AM, 14, FALSE) / VLOOKUP("transport|SO2|Asthma symptoms wheeze", US_national_yearly!$D:$AM, 10, FALSE), 1)</f>
        <v>0.32127608062276358</v>
      </c>
      <c r="G8" s="7">
        <f>$B8 * IFERROR(VLOOKUP("transport|SO2|Asthma symptoms wheeze", US_national_yearly!$D:$AM, 15, FALSE) / VLOOKUP("transport|SO2|Asthma symptoms wheeze", US_national_yearly!$D:$AM, 10, FALSE), 1)</f>
        <v>0.32127608062276358</v>
      </c>
      <c r="H8" s="7">
        <f>$B8 * IFERROR(VLOOKUP("transport|SO2|Asthma symptoms wheeze", US_national_yearly!$D:$AM, 16, FALSE) / VLOOKUP("transport|SO2|Asthma symptoms wheeze", US_national_yearly!$D:$AM, 10, FALSE), 1)</f>
        <v>0.32127608062276358</v>
      </c>
      <c r="I8" s="7">
        <f>$B8 * IFERROR(VLOOKUP("transport|SO2|Asthma symptoms wheeze", US_national_yearly!$D:$AM, 17, FALSE) / VLOOKUP("transport|SO2|Asthma symptoms wheeze", US_national_yearly!$D:$AM, 10, FALSE), 1)</f>
        <v>0.32127608062276358</v>
      </c>
      <c r="J8" s="7">
        <f>$B8 * IFERROR(VLOOKUP("transport|SO2|Asthma symptoms wheeze", US_national_yearly!$D:$AM, 18, FALSE) / VLOOKUP("transport|SO2|Asthma symptoms wheeze", US_national_yearly!$D:$AM, 10, FALSE), 1)</f>
        <v>0.32127608062276358</v>
      </c>
      <c r="K8" s="7">
        <f>$B8 * IFERROR(VLOOKUP("transport|SO2|Asthma symptoms wheeze", US_national_yearly!$D:$AM, 19, FALSE) / VLOOKUP("transport|SO2|Asthma symptoms wheeze", US_national_yearly!$D:$AM, 10, FALSE), 1)</f>
        <v>0.32127608062276358</v>
      </c>
      <c r="L8" s="7">
        <f>$B8 * IFERROR(VLOOKUP("transport|SO2|Asthma symptoms wheeze", US_national_yearly!$D:$AM, 20, FALSE) / VLOOKUP("transport|SO2|Asthma symptoms wheeze", US_national_yearly!$D:$AM, 10, FALSE), 1)</f>
        <v>0.32127608062276358</v>
      </c>
      <c r="M8" s="7">
        <f>$B8 * IFERROR(VLOOKUP("transport|SO2|Asthma symptoms wheeze", US_national_yearly!$D:$AM, 21, FALSE) / VLOOKUP("transport|SO2|Asthma symptoms wheeze", US_national_yearly!$D:$AM, 10, FALSE), 1)</f>
        <v>0.32127608062276358</v>
      </c>
      <c r="N8" s="7">
        <f>$B8 * IFERROR(VLOOKUP("transport|SO2|Asthma symptoms wheeze", US_national_yearly!$D:$AM, 22, FALSE) / VLOOKUP("transport|SO2|Asthma symptoms wheeze", US_national_yearly!$D:$AM, 10, FALSE), 1)</f>
        <v>0.32127608062276358</v>
      </c>
      <c r="O8" s="7">
        <f>$B8 * IFERROR(VLOOKUP("transport|SO2|Asthma symptoms wheeze", US_national_yearly!$D:$AM, 23, FALSE) / VLOOKUP("transport|SO2|Asthma symptoms wheeze", US_national_yearly!$D:$AM, 10, FALSE), 1)</f>
        <v>0.32127608062276358</v>
      </c>
      <c r="P8" s="7">
        <f>$B8 * IFERROR(VLOOKUP("transport|SO2|Asthma symptoms wheeze", US_national_yearly!$D:$AM, 24, FALSE) / VLOOKUP("transport|SO2|Asthma symptoms wheeze", US_national_yearly!$D:$AM, 10, FALSE), 1)</f>
        <v>0.32127608062276358</v>
      </c>
      <c r="Q8" s="7">
        <f>$B8 * IFERROR(VLOOKUP("transport|SO2|Asthma symptoms wheeze", US_national_yearly!$D:$AM, 25, FALSE) / VLOOKUP("transport|SO2|Asthma symptoms wheeze", US_national_yearly!$D:$AM, 10, FALSE), 1)</f>
        <v>0.32127608062276358</v>
      </c>
      <c r="R8" s="7">
        <f>$B8 * IFERROR(VLOOKUP("transport|SO2|Asthma symptoms wheeze", US_national_yearly!$D:$AM, 26, FALSE) / VLOOKUP("transport|SO2|Asthma symptoms wheeze", US_national_yearly!$D:$AM, 10, FALSE), 1)</f>
        <v>0.32127608062276358</v>
      </c>
      <c r="S8" s="7">
        <f>$B8 * IFERROR(VLOOKUP("transport|SO2|Asthma symptoms wheeze", US_national_yearly!$D:$AM, 27, FALSE) / VLOOKUP("transport|SO2|Asthma symptoms wheeze", US_national_yearly!$D:$AM, 10, FALSE), 1)</f>
        <v>0.32127608062276358</v>
      </c>
      <c r="T8" s="7">
        <f>$B8 * IFERROR(VLOOKUP("transport|SO2|Asthma symptoms wheeze", US_national_yearly!$D:$AM, 28, FALSE) / VLOOKUP("transport|SO2|Asthma symptoms wheeze", US_national_yearly!$D:$AM, 10, FALSE), 1)</f>
        <v>0.32127608062276358</v>
      </c>
      <c r="U8" s="7">
        <f>$B8 * IFERROR(VLOOKUP("transport|SO2|Asthma symptoms wheeze", US_national_yearly!$D:$AM, 29, FALSE) / VLOOKUP("transport|SO2|Asthma symptoms wheeze", US_national_yearly!$D:$AM, 10, FALSE), 1)</f>
        <v>0.32127608062276358</v>
      </c>
      <c r="V8" s="7">
        <f>$B8 * IFERROR(VLOOKUP("transport|SO2|Asthma symptoms wheeze", US_national_yearly!$D:$AM, 30, FALSE) / VLOOKUP("transport|SO2|Asthma symptoms wheeze", US_national_yearly!$D:$AM, 10, FALSE), 1)</f>
        <v>0.32127608062276358</v>
      </c>
      <c r="W8" s="7">
        <f>$B8 * IFERROR(VLOOKUP("transport|SO2|Asthma symptoms wheeze", US_national_yearly!$D:$AM, 31, FALSE) / VLOOKUP("transport|SO2|Asthma symptoms wheeze", US_national_yearly!$D:$AM, 10, FALSE), 1)</f>
        <v>0.32127608062276358</v>
      </c>
      <c r="X8" s="7">
        <f>$B8 * IFERROR(VLOOKUP("transport|SO2|Asthma symptoms wheeze", US_national_yearly!$D:$AM, 32, FALSE) / VLOOKUP("transport|SO2|Asthma symptoms wheeze", US_national_yearly!$D:$AM, 10, FALSE), 1)</f>
        <v>0.32127608062276358</v>
      </c>
      <c r="Y8" s="7">
        <f>$B8 * IFERROR(VLOOKUP("transport|SO2|Asthma symptoms wheeze", US_national_yearly!$D:$AM, 33, FALSE) / VLOOKUP("transport|SO2|Asthma symptoms wheeze", US_national_yearly!$D:$AM, 10, FALSE), 1)</f>
        <v>0.32127608062276358</v>
      </c>
      <c r="Z8" s="7">
        <f>$B8 * IFERROR(VLOOKUP("transport|SO2|Asthma symptoms wheeze", US_national_yearly!$D:$AM, 34, FALSE) / VLOOKUP("transport|SO2|Asthma symptoms wheeze", US_national_yearly!$D:$AM, 10, FALSE), 1)</f>
        <v>0.32127608062276358</v>
      </c>
      <c r="AA8" s="7">
        <f>$B8 * IFERROR(VLOOKUP("transport|SO2|Asthma symptoms wheeze", US_national_yearly!$D:$AM, 35, FALSE) / VLOOKUP("transport|SO2|Asthma symptoms wheeze", US_national_yearly!$D:$AM, 10, FALSE), 1)</f>
        <v>0.32127608062276358</v>
      </c>
      <c r="AB8" s="7">
        <f>$B8 * IFERROR(VLOOKUP("transport|SO2|Asthma symptoms wheeze", US_national_yearly!$D:$AM, 36, FALSE) / VLOOKUP("transport|SO2|Asthma symptoms wheeze", US_national_yearly!$D:$AM, 10, FALSE), 1)</f>
        <v>0.32127608062276358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4.0271314594957832E-3</v>
      </c>
      <c r="C12" s="7">
        <f>$B12 * IFERROR(VLOOKUP("transport|SO2|Respiratory hospital admissions", US_national_yearly!$D:$AM, 11, FALSE) / VLOOKUP("transport|SO2|Respiratory hospital admissions", US_national_yearly!$D:$AM, 10, FALSE), 1)</f>
        <v>4.0508836809717823E-3</v>
      </c>
      <c r="D12" s="7">
        <f>$B12 * IFERROR(VLOOKUP("transport|SO2|Respiratory hospital admissions", US_national_yearly!$D:$AM, 12, FALSE) / VLOOKUP("transport|SO2|Respiratory hospital admissions", US_national_yearly!$D:$AM, 10, FALSE), 1)</f>
        <v>4.0746359024477815E-3</v>
      </c>
      <c r="E12" s="7">
        <f>$B12 * IFERROR(VLOOKUP("transport|SO2|Respiratory hospital admissions", US_national_yearly!$D:$AM, 13, FALSE) / VLOOKUP("transport|SO2|Respiratory hospital admissions", US_national_yearly!$D:$AM, 10, FALSE), 1)</f>
        <v>4.0983881239237806E-3</v>
      </c>
      <c r="F12" s="7">
        <f>$B12 * IFERROR(VLOOKUP("transport|SO2|Respiratory hospital admissions", US_national_yearly!$D:$AM, 14, FALSE) / VLOOKUP("transport|SO2|Respiratory hospital admissions", US_national_yearly!$D:$AM, 10, FALSE), 1)</f>
        <v>4.1221403453997798E-3</v>
      </c>
      <c r="G12" s="7">
        <f>$B12 * IFERROR(VLOOKUP("transport|SO2|Respiratory hospital admissions", US_national_yearly!$D:$AM, 15, FALSE) / VLOOKUP("transport|SO2|Respiratory hospital admissions", US_national_yearly!$D:$AM, 10, FALSE), 1)</f>
        <v>4.148034273119443E-3</v>
      </c>
      <c r="H12" s="7">
        <f>$B12 * IFERROR(VLOOKUP("transport|SO2|Respiratory hospital admissions", US_national_yearly!$D:$AM, 16, FALSE) / VLOOKUP("transport|SO2|Respiratory hospital admissions", US_national_yearly!$D:$AM, 10, FALSE), 1)</f>
        <v>4.1739282008391053E-3</v>
      </c>
      <c r="I12" s="7">
        <f>$B12 * IFERROR(VLOOKUP("transport|SO2|Respiratory hospital admissions", US_national_yearly!$D:$AM, 17, FALSE) / VLOOKUP("transport|SO2|Respiratory hospital admissions", US_national_yearly!$D:$AM, 10, FALSE), 1)</f>
        <v>4.1994626966086815E-3</v>
      </c>
      <c r="J12" s="7">
        <f>$B12 * IFERROR(VLOOKUP("transport|SO2|Respiratory hospital admissions", US_national_yearly!$D:$AM, 18, FALSE) / VLOOKUP("transport|SO2|Respiratory hospital admissions", US_national_yearly!$D:$AM, 10, FALSE), 1)</f>
        <v>4.2249971923782586E-3</v>
      </c>
      <c r="K12" s="7">
        <f>$B12 * IFERROR(VLOOKUP("transport|SO2|Respiratory hospital admissions", US_national_yearly!$D:$AM, 19, FALSE) / VLOOKUP("transport|SO2|Respiratory hospital admissions", US_national_yearly!$D:$AM, 10, FALSE), 1)</f>
        <v>4.2505316881478331E-3</v>
      </c>
      <c r="L12" s="7">
        <f>$B12 * IFERROR(VLOOKUP("transport|SO2|Respiratory hospital admissions", US_national_yearly!$D:$AM, 20, FALSE) / VLOOKUP("transport|SO2|Respiratory hospital admissions", US_national_yearly!$D:$AM, 10, FALSE), 1)</f>
        <v>4.2760661839174102E-3</v>
      </c>
      <c r="M12" s="7">
        <f>$B12 * IFERROR(VLOOKUP("transport|SO2|Respiratory hospital admissions", US_national_yearly!$D:$AM, 21, FALSE) / VLOOKUP("transport|SO2|Respiratory hospital admissions", US_national_yearly!$D:$AM, 10, FALSE), 1)</f>
        <v>4.3016006796869856E-3</v>
      </c>
      <c r="N12" s="7">
        <f>$B12 * IFERROR(VLOOKUP("transport|SO2|Respiratory hospital admissions", US_national_yearly!$D:$AM, 22, FALSE) / VLOOKUP("transport|SO2|Respiratory hospital admissions", US_national_yearly!$D:$AM, 10, FALSE), 1)</f>
        <v>4.3202400733846997E-3</v>
      </c>
      <c r="O12" s="7">
        <f>$B12 * IFERROR(VLOOKUP("transport|SO2|Respiratory hospital admissions", US_national_yearly!$D:$AM, 23, FALSE) / VLOOKUP("transport|SO2|Respiratory hospital admissions", US_national_yearly!$D:$AM, 10, FALSE), 1)</f>
        <v>4.3388794670824139E-3</v>
      </c>
      <c r="P12" s="7">
        <f>$B12 * IFERROR(VLOOKUP("transport|SO2|Respiratory hospital admissions", US_national_yearly!$D:$AM, 24, FALSE) / VLOOKUP("transport|SO2|Respiratory hospital admissions", US_national_yearly!$D:$AM, 10, FALSE), 1)</f>
        <v>4.3575188607801272E-3</v>
      </c>
      <c r="Q12" s="7">
        <f>$B12 * IFERROR(VLOOKUP("transport|SO2|Respiratory hospital admissions", US_national_yearly!$D:$AM, 25, FALSE) / VLOOKUP("transport|SO2|Respiratory hospital admissions", US_national_yearly!$D:$AM, 10, FALSE), 1)</f>
        <v>4.3761582544778414E-3</v>
      </c>
      <c r="R12" s="7">
        <f>$B12 * IFERROR(VLOOKUP("transport|SO2|Respiratory hospital admissions", US_national_yearly!$D:$AM, 26, FALSE) / VLOOKUP("transport|SO2|Respiratory hospital admissions", US_national_yearly!$D:$AM, 10, FALSE), 1)</f>
        <v>4.3947976481755547E-3</v>
      </c>
      <c r="S12" s="7">
        <f>$B12 * IFERROR(VLOOKUP("transport|SO2|Respiratory hospital admissions", US_national_yearly!$D:$AM, 27, FALSE) / VLOOKUP("transport|SO2|Respiratory hospital admissions", US_national_yearly!$D:$AM, 10, FALSE), 1)</f>
        <v>4.4125782075373028E-3</v>
      </c>
      <c r="T12" s="7">
        <f>$B12 * IFERROR(VLOOKUP("transport|SO2|Respiratory hospital admissions", US_national_yearly!$D:$AM, 28, FALSE) / VLOOKUP("transport|SO2|Respiratory hospital admissions", US_national_yearly!$D:$AM, 10, FALSE), 1)</f>
        <v>4.43035876689905E-3</v>
      </c>
      <c r="U12" s="7">
        <f>$B12 * IFERROR(VLOOKUP("transport|SO2|Respiratory hospital admissions", US_national_yearly!$D:$AM, 29, FALSE) / VLOOKUP("transport|SO2|Respiratory hospital admissions", US_national_yearly!$D:$AM, 10, FALSE), 1)</f>
        <v>4.4481393262607973E-3</v>
      </c>
      <c r="V12" s="7">
        <f>$B12 * IFERROR(VLOOKUP("transport|SO2|Respiratory hospital admissions", US_national_yearly!$D:$AM, 30, FALSE) / VLOOKUP("transport|SO2|Respiratory hospital admissions", US_national_yearly!$D:$AM, 10, FALSE), 1)</f>
        <v>4.4659198856225454E-3</v>
      </c>
      <c r="W12" s="7">
        <f>$B12 * IFERROR(VLOOKUP("transport|SO2|Respiratory hospital admissions", US_national_yearly!$D:$AM, 31, FALSE) / VLOOKUP("transport|SO2|Respiratory hospital admissions", US_national_yearly!$D:$AM, 10, FALSE), 1)</f>
        <v>4.4837004449842935E-3</v>
      </c>
      <c r="X12" s="7">
        <f>$B12 * IFERROR(VLOOKUP("transport|SO2|Respiratory hospital admissions", US_national_yearly!$D:$AM, 32, FALSE) / VLOOKUP("transport|SO2|Respiratory hospital admissions", US_national_yearly!$D:$AM, 10, FALSE), 1)</f>
        <v>4.5005712765976633E-3</v>
      </c>
      <c r="Y12" s="7">
        <f>$B12 * IFERROR(VLOOKUP("transport|SO2|Respiratory hospital admissions", US_national_yearly!$D:$AM, 33, FALSE) / VLOOKUP("transport|SO2|Respiratory hospital admissions", US_national_yearly!$D:$AM, 10, FALSE), 1)</f>
        <v>4.5174421082110339E-3</v>
      </c>
      <c r="Z12" s="7">
        <f>$B12 * IFERROR(VLOOKUP("transport|SO2|Respiratory hospital admissions", US_national_yearly!$D:$AM, 34, FALSE) / VLOOKUP("transport|SO2|Respiratory hospital admissions", US_national_yearly!$D:$AM, 10, FALSE), 1)</f>
        <v>4.5343129398244036E-3</v>
      </c>
      <c r="AA12" s="7">
        <f>$B12 * IFERROR(VLOOKUP("transport|SO2|Respiratory hospital admissions", US_national_yearly!$D:$AM, 35, FALSE) / VLOOKUP("transport|SO2|Respiratory hospital admissions", US_national_yearly!$D:$AM, 10, FALSE), 1)</f>
        <v>4.5511837714377733E-3</v>
      </c>
      <c r="AB12" s="7">
        <f>$B12 * IFERROR(VLOOKUP("transport|SO2|Respiratory hospital admissions", US_national_yearly!$D:$AM, 36, FALSE) / VLOOKUP("transport|SO2|Respiratory hospital admissions", US_national_yearly!$D:$AM, 10, FALSE), 1)</f>
        <v>4.5680546030511448E-3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1.1672760933200119E-2</v>
      </c>
      <c r="C13" s="7">
        <f>$B13 * IFERROR(VLOOKUP("transport|SO2|Non-fatal heart attacks", US_national_yearly!$D:$AM, 11, FALSE) / VLOOKUP("transport|SO2|Non-fatal heart attacks", US_national_yearly!$D:$AM, 10, FALSE), 1)</f>
        <v>1.201543079640646E-2</v>
      </c>
      <c r="D13" s="7">
        <f>$B13 * IFERROR(VLOOKUP("transport|SO2|Non-fatal heart attacks", US_national_yearly!$D:$AM, 12, FALSE) / VLOOKUP("transport|SO2|Non-fatal heart attacks", US_national_yearly!$D:$AM, 10, FALSE), 1)</f>
        <v>1.2358100659612804E-2</v>
      </c>
      <c r="E13" s="7">
        <f>$B13 * IFERROR(VLOOKUP("transport|SO2|Non-fatal heart attacks", US_national_yearly!$D:$AM, 13, FALSE) / VLOOKUP("transport|SO2|Non-fatal heart attacks", US_national_yearly!$D:$AM, 10, FALSE), 1)</f>
        <v>1.2700770522819146E-2</v>
      </c>
      <c r="F13" s="7">
        <f>$B13 * IFERROR(VLOOKUP("transport|SO2|Non-fatal heart attacks", US_national_yearly!$D:$AM, 14, FALSE) / VLOOKUP("transport|SO2|Non-fatal heart attacks", US_national_yearly!$D:$AM, 10, FALSE), 1)</f>
        <v>1.3043440386025486E-2</v>
      </c>
      <c r="G13" s="7">
        <f>$B13 * IFERROR(VLOOKUP("transport|SO2|Non-fatal heart attacks", US_national_yearly!$D:$AM, 15, FALSE) / VLOOKUP("transport|SO2|Non-fatal heart attacks", US_national_yearly!$D:$AM, 10, FALSE), 1)</f>
        <v>1.3366609851600594E-2</v>
      </c>
      <c r="H13" s="7">
        <f>$B13 * IFERROR(VLOOKUP("transport|SO2|Non-fatal heart attacks", US_national_yearly!$D:$AM, 16, FALSE) / VLOOKUP("transport|SO2|Non-fatal heart attacks", US_national_yearly!$D:$AM, 10, FALSE), 1)</f>
        <v>1.3689779317175702E-2</v>
      </c>
      <c r="I13" s="7">
        <f>$B13 * IFERROR(VLOOKUP("transport|SO2|Non-fatal heart attacks", US_national_yearly!$D:$AM, 17, FALSE) / VLOOKUP("transport|SO2|Non-fatal heart attacks", US_national_yearly!$D:$AM, 10, FALSE), 1)</f>
        <v>1.3949829428021646E-2</v>
      </c>
      <c r="J13" s="7">
        <f>$B13 * IFERROR(VLOOKUP("transport|SO2|Non-fatal heart attacks", US_national_yearly!$D:$AM, 18, FALSE) / VLOOKUP("transport|SO2|Non-fatal heart attacks", US_national_yearly!$D:$AM, 10, FALSE), 1)</f>
        <v>1.4209879538867595E-2</v>
      </c>
      <c r="K13" s="7">
        <f>$B13 * IFERROR(VLOOKUP("transport|SO2|Non-fatal heart attacks", US_national_yearly!$D:$AM, 19, FALSE) / VLOOKUP("transport|SO2|Non-fatal heart attacks", US_national_yearly!$D:$AM, 10, FALSE), 1)</f>
        <v>1.4469929649713539E-2</v>
      </c>
      <c r="L13" s="7">
        <f>$B13 * IFERROR(VLOOKUP("transport|SO2|Non-fatal heart attacks", US_national_yearly!$D:$AM, 20, FALSE) / VLOOKUP("transport|SO2|Non-fatal heart attacks", US_national_yearly!$D:$AM, 10, FALSE), 1)</f>
        <v>1.4729979760559491E-2</v>
      </c>
      <c r="M13" s="7">
        <f>$B13 * IFERROR(VLOOKUP("transport|SO2|Non-fatal heart attacks", US_national_yearly!$D:$AM, 21, FALSE) / VLOOKUP("transport|SO2|Non-fatal heart attacks", US_national_yearly!$D:$AM, 10, FALSE), 1)</f>
        <v>1.4990029871405438E-2</v>
      </c>
      <c r="N13" s="7">
        <f>$B13 * IFERROR(VLOOKUP("transport|SO2|Non-fatal heart attacks", US_national_yearly!$D:$AM, 22, FALSE) / VLOOKUP("transport|SO2|Non-fatal heart attacks", US_national_yearly!$D:$AM, 10, FALSE), 1)</f>
        <v>1.5158883550199889E-2</v>
      </c>
      <c r="O13" s="7">
        <f>$B13 * IFERROR(VLOOKUP("transport|SO2|Non-fatal heart attacks", US_national_yearly!$D:$AM, 23, FALSE) / VLOOKUP("transport|SO2|Non-fatal heart attacks", US_national_yearly!$D:$AM, 10, FALSE), 1)</f>
        <v>1.5327737228994345E-2</v>
      </c>
      <c r="P13" s="7">
        <f>$B13 * IFERROR(VLOOKUP("transport|SO2|Non-fatal heart attacks", US_national_yearly!$D:$AM, 24, FALSE) / VLOOKUP("transport|SO2|Non-fatal heart attacks", US_national_yearly!$D:$AM, 10, FALSE), 1)</f>
        <v>1.5496590907788802E-2</v>
      </c>
      <c r="Q13" s="7">
        <f>$B13 * IFERROR(VLOOKUP("transport|SO2|Non-fatal heart attacks", US_national_yearly!$D:$AM, 25, FALSE) / VLOOKUP("transport|SO2|Non-fatal heart attacks", US_national_yearly!$D:$AM, 10, FALSE), 1)</f>
        <v>1.5665444586583255E-2</v>
      </c>
      <c r="R13" s="7">
        <f>$B13 * IFERROR(VLOOKUP("transport|SO2|Non-fatal heart attacks", US_national_yearly!$D:$AM, 26, FALSE) / VLOOKUP("transport|SO2|Non-fatal heart attacks", US_national_yearly!$D:$AM, 10, FALSE), 1)</f>
        <v>1.583429826537771E-2</v>
      </c>
      <c r="S13" s="7">
        <f>$B13 * IFERROR(VLOOKUP("transport|SO2|Non-fatal heart attacks", US_national_yearly!$D:$AM, 27, FALSE) / VLOOKUP("transport|SO2|Non-fatal heart attacks", US_national_yearly!$D:$AM, 10, FALSE), 1)</f>
        <v>1.592245582130997E-2</v>
      </c>
      <c r="T13" s="7">
        <f>$B13 * IFERROR(VLOOKUP("transport|SO2|Non-fatal heart attacks", US_national_yearly!$D:$AM, 28, FALSE) / VLOOKUP("transport|SO2|Non-fatal heart attacks", US_national_yearly!$D:$AM, 10, FALSE), 1)</f>
        <v>1.6010613377242234E-2</v>
      </c>
      <c r="U13" s="7">
        <f>$B13 * IFERROR(VLOOKUP("transport|SO2|Non-fatal heart attacks", US_national_yearly!$D:$AM, 29, FALSE) / VLOOKUP("transport|SO2|Non-fatal heart attacks", US_national_yearly!$D:$AM, 10, FALSE), 1)</f>
        <v>1.6098770933174494E-2</v>
      </c>
      <c r="V13" s="7">
        <f>$B13 * IFERROR(VLOOKUP("transport|SO2|Non-fatal heart attacks", US_national_yearly!$D:$AM, 30, FALSE) / VLOOKUP("transport|SO2|Non-fatal heart attacks", US_national_yearly!$D:$AM, 10, FALSE), 1)</f>
        <v>1.6186928489106755E-2</v>
      </c>
      <c r="W13" s="7">
        <f>$B13 * IFERROR(VLOOKUP("transport|SO2|Non-fatal heart attacks", US_national_yearly!$D:$AM, 31, FALSE) / VLOOKUP("transport|SO2|Non-fatal heart attacks", US_national_yearly!$D:$AM, 10, FALSE), 1)</f>
        <v>1.6275086045039019E-2</v>
      </c>
      <c r="X13" s="7">
        <f>$B13 * IFERROR(VLOOKUP("transport|SO2|Non-fatal heart attacks", US_national_yearly!$D:$AM, 32, FALSE) / VLOOKUP("transport|SO2|Non-fatal heart attacks", US_national_yearly!$D:$AM, 10, FALSE), 1)</f>
        <v>1.6341637288286949E-2</v>
      </c>
      <c r="Y13" s="7">
        <f>$B13 * IFERROR(VLOOKUP("transport|SO2|Non-fatal heart attacks", US_national_yearly!$D:$AM, 33, FALSE) / VLOOKUP("transport|SO2|Non-fatal heart attacks", US_national_yearly!$D:$AM, 10, FALSE), 1)</f>
        <v>1.6408188531534876E-2</v>
      </c>
      <c r="Z13" s="7">
        <f>$B13 * IFERROR(VLOOKUP("transport|SO2|Non-fatal heart attacks", US_national_yearly!$D:$AM, 34, FALSE) / VLOOKUP("transport|SO2|Non-fatal heart attacks", US_national_yearly!$D:$AM, 10, FALSE), 1)</f>
        <v>1.6474739774782806E-2</v>
      </c>
      <c r="AA13" s="7">
        <f>$B13 * IFERROR(VLOOKUP("transport|SO2|Non-fatal heart attacks", US_national_yearly!$D:$AM, 35, FALSE) / VLOOKUP("transport|SO2|Non-fatal heart attacks", US_national_yearly!$D:$AM, 10, FALSE), 1)</f>
        <v>1.6541291018030733E-2</v>
      </c>
      <c r="AB13" s="7">
        <f>$B13 * IFERROR(VLOOKUP("transport|SO2|Non-fatal heart attacks", US_national_yearly!$D:$AM, 36, FALSE) / VLOOKUP("transport|SO2|Non-fatal heart attacks", US_national_yearly!$D:$AM, 10, FALSE), 1)</f>
        <v>1.6607842261278663E-2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20.456918976816002</v>
      </c>
      <c r="C14" s="7">
        <f>$B14 * IFERROR(VLOOKUP("transport|SO2|Minor restricted activity days", US_national_yearly!$D:$AM, 11, FALSE) / VLOOKUP("transport|SO2|Minor restricted activity days", US_national_yearly!$D:$AM, 10, FALSE), 1)</f>
        <v>20.508484053468212</v>
      </c>
      <c r="D14" s="7">
        <f>$B14 * IFERROR(VLOOKUP("transport|SO2|Minor restricted activity days", US_national_yearly!$D:$AM, 12, FALSE) / VLOOKUP("transport|SO2|Minor restricted activity days", US_national_yearly!$D:$AM, 10, FALSE), 1)</f>
        <v>20.560049130120419</v>
      </c>
      <c r="E14" s="7">
        <f>$B14 * IFERROR(VLOOKUP("transport|SO2|Minor restricted activity days", US_national_yearly!$D:$AM, 13, FALSE) / VLOOKUP("transport|SO2|Minor restricted activity days", US_national_yearly!$D:$AM, 10, FALSE), 1)</f>
        <v>20.611614206772629</v>
      </c>
      <c r="F14" s="7">
        <f>$B14 * IFERROR(VLOOKUP("transport|SO2|Minor restricted activity days", US_national_yearly!$D:$AM, 14, FALSE) / VLOOKUP("transport|SO2|Minor restricted activity days", US_national_yearly!$D:$AM, 10, FALSE), 1)</f>
        <v>20.663179283424832</v>
      </c>
      <c r="G14" s="7">
        <f>$B14 * IFERROR(VLOOKUP("transport|SO2|Minor restricted activity days", US_national_yearly!$D:$AM, 15, FALSE) / VLOOKUP("transport|SO2|Minor restricted activity days", US_national_yearly!$D:$AM, 10, FALSE), 1)</f>
        <v>20.739078010475467</v>
      </c>
      <c r="H14" s="7">
        <f>$B14 * IFERROR(VLOOKUP("transport|SO2|Minor restricted activity days", US_national_yearly!$D:$AM, 16, FALSE) / VLOOKUP("transport|SO2|Minor restricted activity days", US_national_yearly!$D:$AM, 10, FALSE), 1)</f>
        <v>20.814976737526099</v>
      </c>
      <c r="I14" s="7">
        <f>$B14 * IFERROR(VLOOKUP("transport|SO2|Minor restricted activity days", US_national_yearly!$D:$AM, 17, FALSE) / VLOOKUP("transport|SO2|Minor restricted activity days", US_national_yearly!$D:$AM, 10, FALSE), 1)</f>
        <v>20.944414941920712</v>
      </c>
      <c r="J14" s="7">
        <f>$B14 * IFERROR(VLOOKUP("transport|SO2|Minor restricted activity days", US_national_yearly!$D:$AM, 18, FALSE) / VLOOKUP("transport|SO2|Minor restricted activity days", US_national_yearly!$D:$AM, 10, FALSE), 1)</f>
        <v>21.073853146315322</v>
      </c>
      <c r="K14" s="7">
        <f>$B14 * IFERROR(VLOOKUP("transport|SO2|Minor restricted activity days", US_national_yearly!$D:$AM, 19, FALSE) / VLOOKUP("transport|SO2|Minor restricted activity days", US_national_yearly!$D:$AM, 10, FALSE), 1)</f>
        <v>21.203291350709936</v>
      </c>
      <c r="L14" s="7">
        <f>$B14 * IFERROR(VLOOKUP("transport|SO2|Minor restricted activity days", US_national_yearly!$D:$AM, 20, FALSE) / VLOOKUP("transport|SO2|Minor restricted activity days", US_national_yearly!$D:$AM, 10, FALSE), 1)</f>
        <v>21.332729555104546</v>
      </c>
      <c r="M14" s="7">
        <f>$B14 * IFERROR(VLOOKUP("transport|SO2|Minor restricted activity days", US_national_yearly!$D:$AM, 21, FALSE) / VLOOKUP("transport|SO2|Minor restricted activity days", US_national_yearly!$D:$AM, 10, FALSE), 1)</f>
        <v>21.462167759499156</v>
      </c>
      <c r="N14" s="7">
        <f>$B14 * IFERROR(VLOOKUP("transport|SO2|Minor restricted activity days", US_national_yearly!$D:$AM, 22, FALSE) / VLOOKUP("transport|SO2|Minor restricted activity days", US_national_yearly!$D:$AM, 10, FALSE), 1)</f>
        <v>21.639218453588942</v>
      </c>
      <c r="O14" s="7">
        <f>$B14 * IFERROR(VLOOKUP("transport|SO2|Minor restricted activity days", US_national_yearly!$D:$AM, 23, FALSE) / VLOOKUP("transport|SO2|Minor restricted activity days", US_national_yearly!$D:$AM, 10, FALSE), 1)</f>
        <v>21.816269147678728</v>
      </c>
      <c r="P14" s="7">
        <f>$B14 * IFERROR(VLOOKUP("transport|SO2|Minor restricted activity days", US_national_yearly!$D:$AM, 24, FALSE) / VLOOKUP("transport|SO2|Minor restricted activity days", US_national_yearly!$D:$AM, 10, FALSE), 1)</f>
        <v>21.993319841768511</v>
      </c>
      <c r="Q14" s="7">
        <f>$B14 * IFERROR(VLOOKUP("transport|SO2|Minor restricted activity days", US_national_yearly!$D:$AM, 25, FALSE) / VLOOKUP("transport|SO2|Minor restricted activity days", US_national_yearly!$D:$AM, 10, FALSE), 1)</f>
        <v>22.170370535858297</v>
      </c>
      <c r="R14" s="7">
        <f>$B14 * IFERROR(VLOOKUP("transport|SO2|Minor restricted activity days", US_national_yearly!$D:$AM, 26, FALSE) / VLOOKUP("transport|SO2|Minor restricted activity days", US_national_yearly!$D:$AM, 10, FALSE), 1)</f>
        <v>22.347421229948083</v>
      </c>
      <c r="S14" s="7">
        <f>$B14 * IFERROR(VLOOKUP("transport|SO2|Minor restricted activity days", US_national_yearly!$D:$AM, 27, FALSE) / VLOOKUP("transport|SO2|Minor restricted activity days", US_national_yearly!$D:$AM, 10, FALSE), 1)</f>
        <v>22.52794174121895</v>
      </c>
      <c r="T14" s="7">
        <f>$B14 * IFERROR(VLOOKUP("transport|SO2|Minor restricted activity days", US_national_yearly!$D:$AM, 28, FALSE) / VLOOKUP("transport|SO2|Minor restricted activity days", US_national_yearly!$D:$AM, 10, FALSE), 1)</f>
        <v>22.70846225248982</v>
      </c>
      <c r="U14" s="7">
        <f>$B14 * IFERROR(VLOOKUP("transport|SO2|Minor restricted activity days", US_national_yearly!$D:$AM, 29, FALSE) / VLOOKUP("transport|SO2|Minor restricted activity days", US_national_yearly!$D:$AM, 10, FALSE), 1)</f>
        <v>22.888982763760687</v>
      </c>
      <c r="V14" s="7">
        <f>$B14 * IFERROR(VLOOKUP("transport|SO2|Minor restricted activity days", US_national_yearly!$D:$AM, 30, FALSE) / VLOOKUP("transport|SO2|Minor restricted activity days", US_national_yearly!$D:$AM, 10, FALSE), 1)</f>
        <v>23.069503275031558</v>
      </c>
      <c r="W14" s="7">
        <f>$B14 * IFERROR(VLOOKUP("transport|SO2|Minor restricted activity days", US_national_yearly!$D:$AM, 31, FALSE) / VLOOKUP("transport|SO2|Minor restricted activity days", US_national_yearly!$D:$AM, 10, FALSE), 1)</f>
        <v>23.250023786302432</v>
      </c>
      <c r="X14" s="7">
        <f>$B14 * IFERROR(VLOOKUP("transport|SO2|Minor restricted activity days", US_national_yearly!$D:$AM, 32, FALSE) / VLOOKUP("transport|SO2|Minor restricted activity days", US_national_yearly!$D:$AM, 10, FALSE), 1)</f>
        <v>23.408777190499279</v>
      </c>
      <c r="Y14" s="7">
        <f>$B14 * IFERROR(VLOOKUP("transport|SO2|Minor restricted activity days", US_national_yearly!$D:$AM, 33, FALSE) / VLOOKUP("transport|SO2|Minor restricted activity days", US_national_yearly!$D:$AM, 10, FALSE), 1)</f>
        <v>23.567530594696127</v>
      </c>
      <c r="Z14" s="7">
        <f>$B14 * IFERROR(VLOOKUP("transport|SO2|Minor restricted activity days", US_national_yearly!$D:$AM, 34, FALSE) / VLOOKUP("transport|SO2|Minor restricted activity days", US_national_yearly!$D:$AM, 10, FALSE), 1)</f>
        <v>23.726283998892981</v>
      </c>
      <c r="AA14" s="7">
        <f>$B14 * IFERROR(VLOOKUP("transport|SO2|Minor restricted activity days", US_national_yearly!$D:$AM, 35, FALSE) / VLOOKUP("transport|SO2|Minor restricted activity days", US_national_yearly!$D:$AM, 10, FALSE), 1)</f>
        <v>23.885037403089829</v>
      </c>
      <c r="AB14" s="7">
        <f>$B14 * IFERROR(VLOOKUP("transport|SO2|Minor restricted activity days", US_national_yearly!$D:$AM, 36, FALSE) / VLOOKUP("transport|SO2|Minor restricted activity days", US_national_yearly!$D:$AM, 10, FALSE), 1)</f>
        <v>24.04379080728668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3.4787040676536853</v>
      </c>
      <c r="C15" s="7">
        <f>$B15 * IFERROR(VLOOKUP("transport|SO2|Work loss days", US_national_yearly!$D:$AM, 11, FALSE) / VLOOKUP("transport|SO2|Work loss days", US_national_yearly!$D:$AM, 10, FALSE), 1)</f>
        <v>3.4899745159417774</v>
      </c>
      <c r="D15" s="7">
        <f>$B15 * IFERROR(VLOOKUP("transport|SO2|Work loss days", US_national_yearly!$D:$AM, 12, FALSE) / VLOOKUP("transport|SO2|Work loss days", US_national_yearly!$D:$AM, 10, FALSE), 1)</f>
        <v>3.5012449642298695</v>
      </c>
      <c r="E15" s="7">
        <f>$B15 * IFERROR(VLOOKUP("transport|SO2|Work loss days", US_national_yearly!$D:$AM, 13, FALSE) / VLOOKUP("transport|SO2|Work loss days", US_national_yearly!$D:$AM, 10, FALSE), 1)</f>
        <v>3.5125154125179616</v>
      </c>
      <c r="F15" s="7">
        <f>$B15 * IFERROR(VLOOKUP("transport|SO2|Work loss days", US_national_yearly!$D:$AM, 14, FALSE) / VLOOKUP("transport|SO2|Work loss days", US_national_yearly!$D:$AM, 10, FALSE), 1)</f>
        <v>3.5237858608060537</v>
      </c>
      <c r="G15" s="7">
        <f>$B15 * IFERROR(VLOOKUP("transport|SO2|Work loss days", US_national_yearly!$D:$AM, 15, FALSE) / VLOOKUP("transport|SO2|Work loss days", US_national_yearly!$D:$AM, 10, FALSE), 1)</f>
        <v>3.5385120805219361</v>
      </c>
      <c r="H15" s="7">
        <f>$B15 * IFERROR(VLOOKUP("transport|SO2|Work loss days", US_national_yearly!$D:$AM, 16, FALSE) / VLOOKUP("transport|SO2|Work loss days", US_national_yearly!$D:$AM, 10, FALSE), 1)</f>
        <v>3.5532383002378172</v>
      </c>
      <c r="I15" s="7">
        <f>$B15 * IFERROR(VLOOKUP("transport|SO2|Work loss days", US_national_yearly!$D:$AM, 17, FALSE) / VLOOKUP("transport|SO2|Work loss days", US_national_yearly!$D:$AM, 10, FALSE), 1)</f>
        <v>3.574780782829774</v>
      </c>
      <c r="J15" s="7">
        <f>$B15 * IFERROR(VLOOKUP("transport|SO2|Work loss days", US_national_yearly!$D:$AM, 18, FALSE) / VLOOKUP("transport|SO2|Work loss days", US_national_yearly!$D:$AM, 10, FALSE), 1)</f>
        <v>3.5963232654217303</v>
      </c>
      <c r="K15" s="7">
        <f>$B15 * IFERROR(VLOOKUP("transport|SO2|Work loss days", US_national_yearly!$D:$AM, 19, FALSE) / VLOOKUP("transport|SO2|Work loss days", US_national_yearly!$D:$AM, 10, FALSE), 1)</f>
        <v>3.6178657480136875</v>
      </c>
      <c r="L15" s="7">
        <f>$B15 * IFERROR(VLOOKUP("transport|SO2|Work loss days", US_national_yearly!$D:$AM, 20, FALSE) / VLOOKUP("transport|SO2|Work loss days", US_national_yearly!$D:$AM, 10, FALSE), 1)</f>
        <v>3.6394082306056443</v>
      </c>
      <c r="M15" s="7">
        <f>$B15 * IFERROR(VLOOKUP("transport|SO2|Work loss days", US_national_yearly!$D:$AM, 21, FALSE) / VLOOKUP("transport|SO2|Work loss days", US_national_yearly!$D:$AM, 10, FALSE), 1)</f>
        <v>3.6609507131976016</v>
      </c>
      <c r="N15" s="7">
        <f>$B15 * IFERROR(VLOOKUP("transport|SO2|Work loss days", US_national_yearly!$D:$AM, 22, FALSE) / VLOOKUP("transport|SO2|Work loss days", US_national_yearly!$D:$AM, 10, FALSE), 1)</f>
        <v>3.6879614953961566</v>
      </c>
      <c r="O15" s="7">
        <f>$B15 * IFERROR(VLOOKUP("transport|SO2|Work loss days", US_national_yearly!$D:$AM, 23, FALSE) / VLOOKUP("transport|SO2|Work loss days", US_national_yearly!$D:$AM, 10, FALSE), 1)</f>
        <v>3.714972277594712</v>
      </c>
      <c r="P15" s="7">
        <f>$B15 * IFERROR(VLOOKUP("transport|SO2|Work loss days", US_national_yearly!$D:$AM, 24, FALSE) / VLOOKUP("transport|SO2|Work loss days", US_national_yearly!$D:$AM, 10, FALSE), 1)</f>
        <v>3.7419830597932662</v>
      </c>
      <c r="Q15" s="7">
        <f>$B15 * IFERROR(VLOOKUP("transport|SO2|Work loss days", US_national_yearly!$D:$AM, 25, FALSE) / VLOOKUP("transport|SO2|Work loss days", US_national_yearly!$D:$AM, 10, FALSE), 1)</f>
        <v>3.7689938419918216</v>
      </c>
      <c r="R15" s="7">
        <f>$B15 * IFERROR(VLOOKUP("transport|SO2|Work loss days", US_national_yearly!$D:$AM, 26, FALSE) / VLOOKUP("transport|SO2|Work loss days", US_national_yearly!$D:$AM, 10, FALSE), 1)</f>
        <v>3.7960046241903767</v>
      </c>
      <c r="S15" s="7">
        <f>$B15 * IFERROR(VLOOKUP("transport|SO2|Work loss days", US_national_yearly!$D:$AM, 27, FALSE) / VLOOKUP("transport|SO2|Work loss days", US_national_yearly!$D:$AM, 10, FALSE), 1)</f>
        <v>3.8261890842438504</v>
      </c>
      <c r="T15" s="7">
        <f>$B15 * IFERROR(VLOOKUP("transport|SO2|Work loss days", US_national_yearly!$D:$AM, 28, FALSE) / VLOOKUP("transport|SO2|Work loss days", US_national_yearly!$D:$AM, 10, FALSE), 1)</f>
        <v>3.856373544297325</v>
      </c>
      <c r="U15" s="7">
        <f>$B15 * IFERROR(VLOOKUP("transport|SO2|Work loss days", US_national_yearly!$D:$AM, 29, FALSE) / VLOOKUP("transport|SO2|Work loss days", US_national_yearly!$D:$AM, 10, FALSE), 1)</f>
        <v>3.8865580043507988</v>
      </c>
      <c r="V15" s="7">
        <f>$B15 * IFERROR(VLOOKUP("transport|SO2|Work loss days", US_national_yearly!$D:$AM, 30, FALSE) / VLOOKUP("transport|SO2|Work loss days", US_national_yearly!$D:$AM, 10, FALSE), 1)</f>
        <v>3.9167424644042725</v>
      </c>
      <c r="W15" s="7">
        <f>$B15 * IFERROR(VLOOKUP("transport|SO2|Work loss days", US_national_yearly!$D:$AM, 31, FALSE) / VLOOKUP("transport|SO2|Work loss days", US_national_yearly!$D:$AM, 10, FALSE), 1)</f>
        <v>3.9469269244577472</v>
      </c>
      <c r="X15" s="7">
        <f>$B15 * IFERROR(VLOOKUP("transport|SO2|Work loss days", US_national_yearly!$D:$AM, 32, FALSE) / VLOOKUP("transport|SO2|Work loss days", US_national_yearly!$D:$AM, 10, FALSE), 1)</f>
        <v>3.974028409061956</v>
      </c>
      <c r="Y15" s="7">
        <f>$B15 * IFERROR(VLOOKUP("transport|SO2|Work loss days", US_national_yearly!$D:$AM, 33, FALSE) / VLOOKUP("transport|SO2|Work loss days", US_national_yearly!$D:$AM, 10, FALSE), 1)</f>
        <v>4.0011298936661657</v>
      </c>
      <c r="Z15" s="7">
        <f>$B15 * IFERROR(VLOOKUP("transport|SO2|Work loss days", US_national_yearly!$D:$AM, 34, FALSE) / VLOOKUP("transport|SO2|Work loss days", US_national_yearly!$D:$AM, 10, FALSE), 1)</f>
        <v>4.0282313782703749</v>
      </c>
      <c r="AA15" s="7">
        <f>$B15 * IFERROR(VLOOKUP("transport|SO2|Work loss days", US_national_yearly!$D:$AM, 35, FALSE) / VLOOKUP("transport|SO2|Work loss days", US_national_yearly!$D:$AM, 10, FALSE), 1)</f>
        <v>4.0553328628745842</v>
      </c>
      <c r="AB15" s="7">
        <f>$B15 * IFERROR(VLOOKUP("transport|SO2|Work loss days", US_national_yearly!$D:$AM, 36, FALSE) / VLOOKUP("transport|SO2|Work loss days", US_national_yearly!$D:$AM, 10, FALSE), 1)</f>
        <v>4.0824343474787934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4.4872922823010258E-3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4.6230051846525688E-3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4.7587180870041117E-3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4.8944309893556547E-3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5.0301438917071985E-3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5.1601439478799688E-3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5.2901440040527409E-3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5.401528682903306E-3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5.5129133617538711E-3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5.6242980406044371E-3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5.7356827194550023E-3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5.8470673983055665E-3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5.9218925302025995E-3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5.9967176620996307E-3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6.0715427939966619E-3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6.1463679258936931E-3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6.2211930577907261E-3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6.2605457496141973E-3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6.2998984414376685E-3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6.3392511332611406E-3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6.3786038250846118E-3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6.4179565169080839E-3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6.4443752798297813E-3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6.4707940427514796E-3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6.4972128056731771E-3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6.5236315685948763E-3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6.5500503315165737E-3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7.2227181280246203E-2</v>
      </c>
      <c r="C2" s="7">
        <f>$B2 * IFERROR(VLOOKUP("electricity|PM25|Premature mortality", US_national_yearly!$D:$AM, 11, FALSE) / VLOOKUP("electricity|PM25|Premature mortality", US_national_yearly!$D:$AM, 10, FALSE), 1)</f>
        <v>7.3121804318712832E-2</v>
      </c>
      <c r="D2" s="7">
        <f>$B2 * IFERROR(VLOOKUP("electricity|PM25|Premature mortality", US_national_yearly!$D:$AM, 12, FALSE) / VLOOKUP("electricity|PM25|Premature mortality", US_national_yearly!$D:$AM, 10, FALSE), 1)</f>
        <v>7.4016427357179462E-2</v>
      </c>
      <c r="E2" s="7">
        <f>$B2 * IFERROR(VLOOKUP("electricity|PM25|Premature mortality", US_national_yearly!$D:$AM, 13, FALSE) / VLOOKUP("electricity|PM25|Premature mortality", US_national_yearly!$D:$AM, 10, FALSE), 1)</f>
        <v>7.4911050395646092E-2</v>
      </c>
      <c r="F2" s="7">
        <f>$B2 * IFERROR(VLOOKUP("electricity|PM25|Premature mortality", US_national_yearly!$D:$AM, 14, FALSE) / VLOOKUP("electricity|PM25|Premature mortality", US_national_yearly!$D:$AM, 10, FALSE), 1)</f>
        <v>7.580567343411275E-2</v>
      </c>
      <c r="G2" s="7">
        <f>$B2 * IFERROR(VLOOKUP("electricity|PM25|Premature mortality", US_national_yearly!$D:$AM, 15, FALSE) / VLOOKUP("electricity|PM25|Premature mortality", US_national_yearly!$D:$AM, 10, FALSE), 1)</f>
        <v>7.7562760659212929E-2</v>
      </c>
      <c r="H2" s="7">
        <f>$B2 * IFERROR(VLOOKUP("electricity|PM25|Premature mortality", US_national_yearly!$D:$AM, 16, FALSE) / VLOOKUP("electricity|PM25|Premature mortality", US_national_yearly!$D:$AM, 10, FALSE), 1)</f>
        <v>7.9319847884313135E-2</v>
      </c>
      <c r="I2" s="7">
        <f>$B2 * IFERROR(VLOOKUP("electricity|PM25|Premature mortality", US_national_yearly!$D:$AM, 17, FALSE) / VLOOKUP("electricity|PM25|Premature mortality", US_national_yearly!$D:$AM, 10, FALSE), 1)</f>
        <v>8.0500449716211828E-2</v>
      </c>
      <c r="J2" s="7">
        <f>$B2 * IFERROR(VLOOKUP("electricity|PM25|Premature mortality", US_national_yearly!$D:$AM, 18, FALSE) / VLOOKUP("electricity|PM25|Premature mortality", US_national_yearly!$D:$AM, 10, FALSE), 1)</f>
        <v>8.168105154811052E-2</v>
      </c>
      <c r="K2" s="7">
        <f>$B2 * IFERROR(VLOOKUP("electricity|PM25|Premature mortality", US_national_yearly!$D:$AM, 19, FALSE) / VLOOKUP("electricity|PM25|Premature mortality", US_national_yearly!$D:$AM, 10, FALSE), 1)</f>
        <v>8.2861653380009212E-2</v>
      </c>
      <c r="L2" s="7">
        <f>$B2 * IFERROR(VLOOKUP("electricity|PM25|Premature mortality", US_national_yearly!$D:$AM, 20, FALSE) / VLOOKUP("electricity|PM25|Premature mortality", US_national_yearly!$D:$AM, 10, FALSE), 1)</f>
        <v>8.4042255211907918E-2</v>
      </c>
      <c r="M2" s="7">
        <f>$B2 * IFERROR(VLOOKUP("electricity|PM25|Premature mortality", US_national_yearly!$D:$AM, 21, FALSE) / VLOOKUP("electricity|PM25|Premature mortality", US_national_yearly!$D:$AM, 10, FALSE), 1)</f>
        <v>8.522285704380661E-2</v>
      </c>
      <c r="N2" s="7">
        <f>$B2 * IFERROR(VLOOKUP("electricity|PM25|Premature mortality", US_national_yearly!$D:$AM, 22, FALSE) / VLOOKUP("electricity|PM25|Premature mortality", US_national_yearly!$D:$AM, 10, FALSE), 1)</f>
        <v>8.6163930367437941E-2</v>
      </c>
      <c r="O2" s="7">
        <f>$B2 * IFERROR(VLOOKUP("electricity|PM25|Premature mortality", US_national_yearly!$D:$AM, 23, FALSE) / VLOOKUP("electricity|PM25|Premature mortality", US_national_yearly!$D:$AM, 10, FALSE), 1)</f>
        <v>8.7105003691069258E-2</v>
      </c>
      <c r="P2" s="7">
        <f>$B2 * IFERROR(VLOOKUP("electricity|PM25|Premature mortality", US_national_yearly!$D:$AM, 24, FALSE) / VLOOKUP("electricity|PM25|Premature mortality", US_national_yearly!$D:$AM, 10, FALSE), 1)</f>
        <v>8.8046077014700588E-2</v>
      </c>
      <c r="Q2" s="7">
        <f>$B2 * IFERROR(VLOOKUP("electricity|PM25|Premature mortality", US_national_yearly!$D:$AM, 25, FALSE) / VLOOKUP("electricity|PM25|Premature mortality", US_national_yearly!$D:$AM, 10, FALSE), 1)</f>
        <v>8.8987150338331905E-2</v>
      </c>
      <c r="R2" s="7">
        <f>$B2 * IFERROR(VLOOKUP("electricity|PM25|Premature mortality", US_national_yearly!$D:$AM, 26, FALSE) / VLOOKUP("electricity|PM25|Premature mortality", US_national_yearly!$D:$AM, 10, FALSE), 1)</f>
        <v>8.9928223661963236E-2</v>
      </c>
      <c r="S2" s="7">
        <f>$B2 * IFERROR(VLOOKUP("electricity|PM25|Premature mortality", US_national_yearly!$D:$AM, 27, FALSE) / VLOOKUP("electricity|PM25|Premature mortality", US_national_yearly!$D:$AM, 10, FALSE), 1)</f>
        <v>9.0466710861661082E-2</v>
      </c>
      <c r="T2" s="7">
        <f>$B2 * IFERROR(VLOOKUP("electricity|PM25|Premature mortality", US_national_yearly!$D:$AM, 28, FALSE) / VLOOKUP("electricity|PM25|Premature mortality", US_national_yearly!$D:$AM, 10, FALSE), 1)</f>
        <v>9.1005198061358927E-2</v>
      </c>
      <c r="U2" s="7">
        <f>$B2 * IFERROR(VLOOKUP("electricity|PM25|Premature mortality", US_national_yearly!$D:$AM, 29, FALSE) / VLOOKUP("electricity|PM25|Premature mortality", US_national_yearly!$D:$AM, 10, FALSE), 1)</f>
        <v>9.1543685261056801E-2</v>
      </c>
      <c r="V2" s="7">
        <f>$B2 * IFERROR(VLOOKUP("electricity|PM25|Premature mortality", US_national_yearly!$D:$AM, 30, FALSE) / VLOOKUP("electricity|PM25|Premature mortality", US_national_yearly!$D:$AM, 10, FALSE), 1)</f>
        <v>9.2082172460754633E-2</v>
      </c>
      <c r="W2" s="7">
        <f>$B2 * IFERROR(VLOOKUP("electricity|PM25|Premature mortality", US_national_yearly!$D:$AM, 31, FALSE) / VLOOKUP("electricity|PM25|Premature mortality", US_national_yearly!$D:$AM, 10, FALSE), 1)</f>
        <v>9.2620659660452478E-2</v>
      </c>
      <c r="X2" s="7">
        <f>$B2 * IFERROR(VLOOKUP("electricity|PM25|Premature mortality", US_national_yearly!$D:$AM, 32, FALSE) / VLOOKUP("electricity|PM25|Premature mortality", US_national_yearly!$D:$AM, 10, FALSE), 1)</f>
        <v>9.2770247922889626E-2</v>
      </c>
      <c r="Y2" s="7">
        <f>$B2 * IFERROR(VLOOKUP("electricity|PM25|Premature mortality", US_national_yearly!$D:$AM, 33, FALSE) / VLOOKUP("electricity|PM25|Premature mortality", US_national_yearly!$D:$AM, 10, FALSE), 1)</f>
        <v>9.291983618532676E-2</v>
      </c>
      <c r="Z2" s="7">
        <f>$B2 * IFERROR(VLOOKUP("electricity|PM25|Premature mortality", US_national_yearly!$D:$AM, 34, FALSE) / VLOOKUP("electricity|PM25|Premature mortality", US_national_yearly!$D:$AM, 10, FALSE), 1)</f>
        <v>9.3069424447763893E-2</v>
      </c>
      <c r="AA2" s="7">
        <f>$B2 * IFERROR(VLOOKUP("electricity|PM25|Premature mortality", US_national_yearly!$D:$AM, 35, FALSE) / VLOOKUP("electricity|PM25|Premature mortality", US_national_yearly!$D:$AM, 10, FALSE), 1)</f>
        <v>9.3219012710201041E-2</v>
      </c>
      <c r="AB2" s="7">
        <f>$B2 * IFERROR(VLOOKUP("electricity|PM25|Premature mortality", US_national_yearly!$D:$AM, 36, FALSE) / VLOOKUP("electricity|PM25|Premature mortality", US_national_yearly!$D:$AM, 10, FALSE), 1)</f>
        <v>9.3368600972638188E-2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1.6542949352655519E-4</v>
      </c>
      <c r="C3" s="7">
        <f>$B3 * IFERROR(VLOOKUP("electricity|PM25|Infant mortality", US_national_yearly!$D:$AM, 11, FALSE) / VLOOKUP("electricity|PM25|Infant mortality", US_national_yearly!$D:$AM, 10, FALSE), 1)</f>
        <v>1.639881067661572E-4</v>
      </c>
      <c r="D3" s="7">
        <f>$B3 * IFERROR(VLOOKUP("electricity|PM25|Infant mortality", US_national_yearly!$D:$AM, 12, FALSE) / VLOOKUP("electricity|PM25|Infant mortality", US_national_yearly!$D:$AM, 10, FALSE), 1)</f>
        <v>1.6254672000575924E-4</v>
      </c>
      <c r="E3" s="7">
        <f>$B3 * IFERROR(VLOOKUP("electricity|PM25|Infant mortality", US_national_yearly!$D:$AM, 13, FALSE) / VLOOKUP("electricity|PM25|Infant mortality", US_national_yearly!$D:$AM, 10, FALSE), 1)</f>
        <v>1.6110533324536125E-4</v>
      </c>
      <c r="F3" s="7">
        <f>$B3 * IFERROR(VLOOKUP("electricity|PM25|Infant mortality", US_national_yearly!$D:$AM, 14, FALSE) / VLOOKUP("electricity|PM25|Infant mortality", US_national_yearly!$D:$AM, 10, FALSE), 1)</f>
        <v>1.5966394648496326E-4</v>
      </c>
      <c r="G3" s="7">
        <f>$B3 * IFERROR(VLOOKUP("electricity|PM25|Infant mortality", US_national_yearly!$D:$AM, 15, FALSE) / VLOOKUP("electricity|PM25|Infant mortality", US_national_yearly!$D:$AM, 10, FALSE), 1)</f>
        <v>1.0588415283657357E-4</v>
      </c>
      <c r="H3" s="7">
        <f>$B3 * IFERROR(VLOOKUP("electricity|PM25|Infant mortality", US_national_yearly!$D:$AM, 16, FALSE) / VLOOKUP("electricity|PM25|Infant mortality", US_national_yearly!$D:$AM, 10, FALSE), 1)</f>
        <v>5.2104359188183911E-5</v>
      </c>
      <c r="I3" s="7">
        <f>$B3 * IFERROR(VLOOKUP("electricity|PM25|Infant mortality", US_national_yearly!$D:$AM, 17, FALSE) / VLOOKUP("electricity|PM25|Infant mortality", US_national_yearly!$D:$AM, 10, FALSE), 1)</f>
        <v>5.1736478536829934E-5</v>
      </c>
      <c r="J3" s="7">
        <f>$B3 * IFERROR(VLOOKUP("electricity|PM25|Infant mortality", US_national_yearly!$D:$AM, 18, FALSE) / VLOOKUP("electricity|PM25|Infant mortality", US_national_yearly!$D:$AM, 10, FALSE), 1)</f>
        <v>5.1368597885475985E-5</v>
      </c>
      <c r="K3" s="7">
        <f>$B3 * IFERROR(VLOOKUP("electricity|PM25|Infant mortality", US_national_yearly!$D:$AM, 19, FALSE) / VLOOKUP("electricity|PM25|Infant mortality", US_national_yearly!$D:$AM, 10, FALSE), 1)</f>
        <v>5.1000717234122008E-5</v>
      </c>
      <c r="L3" s="7">
        <f>$B3 * IFERROR(VLOOKUP("electricity|PM25|Infant mortality", US_national_yearly!$D:$AM, 20, FALSE) / VLOOKUP("electricity|PM25|Infant mortality", US_national_yearly!$D:$AM, 10, FALSE), 1)</f>
        <v>5.0632836582768045E-5</v>
      </c>
      <c r="M3" s="7">
        <f>$B3 * IFERROR(VLOOKUP("electricity|PM25|Infant mortality", US_national_yearly!$D:$AM, 21, FALSE) / VLOOKUP("electricity|PM25|Infant mortality", US_national_yearly!$D:$AM, 10, FALSE), 1)</f>
        <v>5.0264955931414082E-5</v>
      </c>
      <c r="N3" s="7">
        <f>$B3 * IFERROR(VLOOKUP("electricity|PM25|Infant mortality", US_national_yearly!$D:$AM, 22, FALSE) / VLOOKUP("electricity|PM25|Infant mortality", US_national_yearly!$D:$AM, 10, FALSE), 1)</f>
        <v>5.0028359829927732E-5</v>
      </c>
      <c r="O3" s="7">
        <f>$B3 * IFERROR(VLOOKUP("electricity|PM25|Infant mortality", US_national_yearly!$D:$AM, 23, FALSE) / VLOOKUP("electricity|PM25|Infant mortality", US_national_yearly!$D:$AM, 10, FALSE), 1)</f>
        <v>4.9791763728441388E-5</v>
      </c>
      <c r="P3" s="7">
        <f>$B3 * IFERROR(VLOOKUP("electricity|PM25|Infant mortality", US_national_yearly!$D:$AM, 24, FALSE) / VLOOKUP("electricity|PM25|Infant mortality", US_national_yearly!$D:$AM, 10, FALSE), 1)</f>
        <v>4.9555167626955037E-5</v>
      </c>
      <c r="Q3" s="7">
        <f>$B3 * IFERROR(VLOOKUP("electricity|PM25|Infant mortality", US_national_yearly!$D:$AM, 25, FALSE) / VLOOKUP("electricity|PM25|Infant mortality", US_national_yearly!$D:$AM, 10, FALSE), 1)</f>
        <v>4.9318571525468686E-5</v>
      </c>
      <c r="R3" s="7">
        <f>$B3 * IFERROR(VLOOKUP("electricity|PM25|Infant mortality", US_national_yearly!$D:$AM, 26, FALSE) / VLOOKUP("electricity|PM25|Infant mortality", US_national_yearly!$D:$AM, 10, FALSE), 1)</f>
        <v>4.9081975423982335E-5</v>
      </c>
      <c r="S3" s="7">
        <f>$B3 * IFERROR(VLOOKUP("electricity|PM25|Infant mortality", US_national_yearly!$D:$AM, 27, FALSE) / VLOOKUP("electricity|PM25|Infant mortality", US_national_yearly!$D:$AM, 10, FALSE), 1)</f>
        <v>4.8798528007302854E-5</v>
      </c>
      <c r="T3" s="7">
        <f>$B3 * IFERROR(VLOOKUP("electricity|PM25|Infant mortality", US_national_yearly!$D:$AM, 28, FALSE) / VLOOKUP("electricity|PM25|Infant mortality", US_national_yearly!$D:$AM, 10, FALSE), 1)</f>
        <v>4.8515080590623373E-5</v>
      </c>
      <c r="U3" s="7">
        <f>$B3 * IFERROR(VLOOKUP("electricity|PM25|Infant mortality", US_national_yearly!$D:$AM, 29, FALSE) / VLOOKUP("electricity|PM25|Infant mortality", US_national_yearly!$D:$AM, 10, FALSE), 1)</f>
        <v>4.8231633173943899E-5</v>
      </c>
      <c r="V3" s="7">
        <f>$B3 * IFERROR(VLOOKUP("electricity|PM25|Infant mortality", US_national_yearly!$D:$AM, 30, FALSE) / VLOOKUP("electricity|PM25|Infant mortality", US_national_yearly!$D:$AM, 10, FALSE), 1)</f>
        <v>4.7948185757264418E-5</v>
      </c>
      <c r="W3" s="7">
        <f>$B3 * IFERROR(VLOOKUP("electricity|PM25|Infant mortality", US_national_yearly!$D:$AM, 31, FALSE) / VLOOKUP("electricity|PM25|Infant mortality", US_national_yearly!$D:$AM, 10, FALSE), 1)</f>
        <v>4.7664738340584937E-5</v>
      </c>
      <c r="X3" s="7">
        <f>$B3 * IFERROR(VLOOKUP("electricity|PM25|Infant mortality", US_national_yearly!$D:$AM, 32, FALSE) / VLOOKUP("electricity|PM25|Infant mortality", US_national_yearly!$D:$AM, 10, FALSE), 1)</f>
        <v>4.7371830825474293E-5</v>
      </c>
      <c r="Y3" s="7">
        <f>$B3 * IFERROR(VLOOKUP("electricity|PM25|Infant mortality", US_national_yearly!$D:$AM, 33, FALSE) / VLOOKUP("electricity|PM25|Infant mortality", US_national_yearly!$D:$AM, 10, FALSE), 1)</f>
        <v>4.7078923310363643E-5</v>
      </c>
      <c r="Z3" s="7">
        <f>$B3 * IFERROR(VLOOKUP("electricity|PM25|Infant mortality", US_national_yearly!$D:$AM, 34, FALSE) / VLOOKUP("electricity|PM25|Infant mortality", US_national_yearly!$D:$AM, 10, FALSE), 1)</f>
        <v>4.6786015795253E-5</v>
      </c>
      <c r="AA3" s="7">
        <f>$B3 * IFERROR(VLOOKUP("electricity|PM25|Infant mortality", US_national_yearly!$D:$AM, 35, FALSE) / VLOOKUP("electricity|PM25|Infant mortality", US_national_yearly!$D:$AM, 10, FALSE), 1)</f>
        <v>4.649310828014235E-5</v>
      </c>
      <c r="AB3" s="7">
        <f>$B3 * IFERROR(VLOOKUP("electricity|PM25|Infant mortality", US_national_yearly!$D:$AM, 36, FALSE) / VLOOKUP("electricity|PM25|Infant mortality", US_national_yearly!$D:$AM, 10, FALSE), 1)</f>
        <v>4.6200200765031707E-5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0.23651869649050591</v>
      </c>
      <c r="C6" s="7">
        <f>$B6 * IFERROR(VLOOKUP("electricity|PM25|Asthma symptoms cough", US_national_yearly!$D:$AM, 11, FALSE) / VLOOKUP("electricity|PM25|Asthma symptoms cough", US_national_yearly!$D:$AM, 10, FALSE), 1)</f>
        <v>0.23651869649050591</v>
      </c>
      <c r="D6" s="7">
        <f>$B6 * IFERROR(VLOOKUP("electricity|PM25|Asthma symptoms cough", US_national_yearly!$D:$AM, 12, FALSE) / VLOOKUP("electricity|PM25|Asthma symptoms cough", US_national_yearly!$D:$AM, 10, FALSE), 1)</f>
        <v>0.23651869649050591</v>
      </c>
      <c r="E6" s="7">
        <f>$B6 * IFERROR(VLOOKUP("electricity|PM25|Asthma symptoms cough", US_national_yearly!$D:$AM, 13, FALSE) / VLOOKUP("electricity|PM25|Asthma symptoms cough", US_national_yearly!$D:$AM, 10, FALSE), 1)</f>
        <v>0.23651869649050591</v>
      </c>
      <c r="F6" s="7">
        <f>$B6 * IFERROR(VLOOKUP("electricity|PM25|Asthma symptoms cough", US_national_yearly!$D:$AM, 14, FALSE) / VLOOKUP("electricity|PM25|Asthma symptoms cough", US_national_yearly!$D:$AM, 10, FALSE), 1)</f>
        <v>0.23651869649050591</v>
      </c>
      <c r="G6" s="7">
        <f>$B6 * IFERROR(VLOOKUP("electricity|PM25|Asthma symptoms cough", US_national_yearly!$D:$AM, 15, FALSE) / VLOOKUP("electricity|PM25|Asthma symptoms cough", US_national_yearly!$D:$AM, 10, FALSE), 1)</f>
        <v>0.23651869649050591</v>
      </c>
      <c r="H6" s="7">
        <f>$B6 * IFERROR(VLOOKUP("electricity|PM25|Asthma symptoms cough", US_national_yearly!$D:$AM, 16, FALSE) / VLOOKUP("electricity|PM25|Asthma symptoms cough", US_national_yearly!$D:$AM, 10, FALSE), 1)</f>
        <v>0.23651869649050591</v>
      </c>
      <c r="I6" s="7">
        <f>$B6 * IFERROR(VLOOKUP("electricity|PM25|Asthma symptoms cough", US_national_yearly!$D:$AM, 17, FALSE) / VLOOKUP("electricity|PM25|Asthma symptoms cough", US_national_yearly!$D:$AM, 10, FALSE), 1)</f>
        <v>0.23651869649050591</v>
      </c>
      <c r="J6" s="7">
        <f>$B6 * IFERROR(VLOOKUP("electricity|PM25|Asthma symptoms cough", US_national_yearly!$D:$AM, 18, FALSE) / VLOOKUP("electricity|PM25|Asthma symptoms cough", US_national_yearly!$D:$AM, 10, FALSE), 1)</f>
        <v>0.23651869649050591</v>
      </c>
      <c r="K6" s="7">
        <f>$B6 * IFERROR(VLOOKUP("electricity|PM25|Asthma symptoms cough", US_national_yearly!$D:$AM, 19, FALSE) / VLOOKUP("electricity|PM25|Asthma symptoms cough", US_national_yearly!$D:$AM, 10, FALSE), 1)</f>
        <v>0.23651869649050591</v>
      </c>
      <c r="L6" s="7">
        <f>$B6 * IFERROR(VLOOKUP("electricity|PM25|Asthma symptoms cough", US_national_yearly!$D:$AM, 20, FALSE) / VLOOKUP("electricity|PM25|Asthma symptoms cough", US_national_yearly!$D:$AM, 10, FALSE), 1)</f>
        <v>0.23651869649050591</v>
      </c>
      <c r="M6" s="7">
        <f>$B6 * IFERROR(VLOOKUP("electricity|PM25|Asthma symptoms cough", US_national_yearly!$D:$AM, 21, FALSE) / VLOOKUP("electricity|PM25|Asthma symptoms cough", US_national_yearly!$D:$AM, 10, FALSE), 1)</f>
        <v>0.23651869649050591</v>
      </c>
      <c r="N6" s="7">
        <f>$B6 * IFERROR(VLOOKUP("electricity|PM25|Asthma symptoms cough", US_national_yearly!$D:$AM, 22, FALSE) / VLOOKUP("electricity|PM25|Asthma symptoms cough", US_national_yearly!$D:$AM, 10, FALSE), 1)</f>
        <v>0.23651869649050591</v>
      </c>
      <c r="O6" s="7">
        <f>$B6 * IFERROR(VLOOKUP("electricity|PM25|Asthma symptoms cough", US_national_yearly!$D:$AM, 23, FALSE) / VLOOKUP("electricity|PM25|Asthma symptoms cough", US_national_yearly!$D:$AM, 10, FALSE), 1)</f>
        <v>0.23651869649050591</v>
      </c>
      <c r="P6" s="7">
        <f>$B6 * IFERROR(VLOOKUP("electricity|PM25|Asthma symptoms cough", US_national_yearly!$D:$AM, 24, FALSE) / VLOOKUP("electricity|PM25|Asthma symptoms cough", US_national_yearly!$D:$AM, 10, FALSE), 1)</f>
        <v>0.23651869649050591</v>
      </c>
      <c r="Q6" s="7">
        <f>$B6 * IFERROR(VLOOKUP("electricity|PM25|Asthma symptoms cough", US_national_yearly!$D:$AM, 25, FALSE) / VLOOKUP("electricity|PM25|Asthma symptoms cough", US_national_yearly!$D:$AM, 10, FALSE), 1)</f>
        <v>0.23651869649050591</v>
      </c>
      <c r="R6" s="7">
        <f>$B6 * IFERROR(VLOOKUP("electricity|PM25|Asthma symptoms cough", US_national_yearly!$D:$AM, 26, FALSE) / VLOOKUP("electricity|PM25|Asthma symptoms cough", US_national_yearly!$D:$AM, 10, FALSE), 1)</f>
        <v>0.23651869649050591</v>
      </c>
      <c r="S6" s="7">
        <f>$B6 * IFERROR(VLOOKUP("electricity|PM25|Asthma symptoms cough", US_national_yearly!$D:$AM, 27, FALSE) / VLOOKUP("electricity|PM25|Asthma symptoms cough", US_national_yearly!$D:$AM, 10, FALSE), 1)</f>
        <v>0.23651869649050591</v>
      </c>
      <c r="T6" s="7">
        <f>$B6 * IFERROR(VLOOKUP("electricity|PM25|Asthma symptoms cough", US_national_yearly!$D:$AM, 28, FALSE) / VLOOKUP("electricity|PM25|Asthma symptoms cough", US_national_yearly!$D:$AM, 10, FALSE), 1)</f>
        <v>0.23651869649050591</v>
      </c>
      <c r="U6" s="7">
        <f>$B6 * IFERROR(VLOOKUP("electricity|PM25|Asthma symptoms cough", US_national_yearly!$D:$AM, 29, FALSE) / VLOOKUP("electricity|PM25|Asthma symptoms cough", US_national_yearly!$D:$AM, 10, FALSE), 1)</f>
        <v>0.23651869649050591</v>
      </c>
      <c r="V6" s="7">
        <f>$B6 * IFERROR(VLOOKUP("electricity|PM25|Asthma symptoms cough", US_national_yearly!$D:$AM, 30, FALSE) / VLOOKUP("electricity|PM25|Asthma symptoms cough", US_national_yearly!$D:$AM, 10, FALSE), 1)</f>
        <v>0.23651869649050591</v>
      </c>
      <c r="W6" s="7">
        <f>$B6 * IFERROR(VLOOKUP("electricity|PM25|Asthma symptoms cough", US_national_yearly!$D:$AM, 31, FALSE) / VLOOKUP("electricity|PM25|Asthma symptoms cough", US_national_yearly!$D:$AM, 10, FALSE), 1)</f>
        <v>0.23651869649050591</v>
      </c>
      <c r="X6" s="7">
        <f>$B6 * IFERROR(VLOOKUP("electricity|PM25|Asthma symptoms cough", US_national_yearly!$D:$AM, 32, FALSE) / VLOOKUP("electricity|PM25|Asthma symptoms cough", US_national_yearly!$D:$AM, 10, FALSE), 1)</f>
        <v>0.23651869649050591</v>
      </c>
      <c r="Y6" s="7">
        <f>$B6 * IFERROR(VLOOKUP("electricity|PM25|Asthma symptoms cough", US_national_yearly!$D:$AM, 33, FALSE) / VLOOKUP("electricity|PM25|Asthma symptoms cough", US_national_yearly!$D:$AM, 10, FALSE), 1)</f>
        <v>0.23651869649050591</v>
      </c>
      <c r="Z6" s="7">
        <f>$B6 * IFERROR(VLOOKUP("electricity|PM25|Asthma symptoms cough", US_national_yearly!$D:$AM, 34, FALSE) / VLOOKUP("electricity|PM25|Asthma symptoms cough", US_national_yearly!$D:$AM, 10, FALSE), 1)</f>
        <v>0.23651869649050591</v>
      </c>
      <c r="AA6" s="7">
        <f>$B6 * IFERROR(VLOOKUP("electricity|PM25|Asthma symptoms cough", US_national_yearly!$D:$AM, 35, FALSE) / VLOOKUP("electricity|PM25|Asthma symptoms cough", US_national_yearly!$D:$AM, 10, FALSE), 1)</f>
        <v>0.23651869649050591</v>
      </c>
      <c r="AB6" s="7">
        <f>$B6 * IFERROR(VLOOKUP("electricity|PM25|Asthma symptoms cough", US_national_yearly!$D:$AM, 36, FALSE) / VLOOKUP("electricity|PM25|Asthma symptoms cough", US_national_yearly!$D:$AM, 10, FALSE), 1)</f>
        <v>0.23651869649050591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0.31850168814158075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0.31850168814158075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0.31850168814158075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0.31850168814158075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0.31850168814158075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0.31850168814158075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0.31850168814158075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0.31850168814158075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0.31850168814158075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0.31850168814158075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0.31850168814158075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0.31850168814158075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0.31850168814158075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0.31850168814158075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0.31850168814158075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0.31850168814158075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0.31850168814158075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0.31850168814158075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0.31850168814158075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0.31850168814158075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0.31850168814158075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0.31850168814158075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0.31850168814158075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0.31850168814158075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0.31850168814158075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0.31850168814158075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0.31850168814158075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0.48663463391805756</v>
      </c>
      <c r="C8" s="7">
        <f>$B8 * IFERROR(VLOOKUP("electricity|PM25|Asthma symptoms wheeze", US_national_yearly!$D:$AM, 11, FALSE) / VLOOKUP("electricity|PM25|Asthma symptoms wheeze", US_national_yearly!$D:$AM, 10, FALSE), 1)</f>
        <v>0.48663463391805756</v>
      </c>
      <c r="D8" s="7">
        <f>$B8 * IFERROR(VLOOKUP("electricity|PM25|Asthma symptoms wheeze", US_national_yearly!$D:$AM, 12, FALSE) / VLOOKUP("electricity|PM25|Asthma symptoms wheeze", US_national_yearly!$D:$AM, 10, FALSE), 1)</f>
        <v>0.48663463391805756</v>
      </c>
      <c r="E8" s="7">
        <f>$B8 * IFERROR(VLOOKUP("electricity|PM25|Asthma symptoms wheeze", US_national_yearly!$D:$AM, 13, FALSE) / VLOOKUP("electricity|PM25|Asthma symptoms wheeze", US_national_yearly!$D:$AM, 10, FALSE), 1)</f>
        <v>0.48663463391805756</v>
      </c>
      <c r="F8" s="7">
        <f>$B8 * IFERROR(VLOOKUP("electricity|PM25|Asthma symptoms wheeze", US_national_yearly!$D:$AM, 14, FALSE) / VLOOKUP("electricity|PM25|Asthma symptoms wheeze", US_national_yearly!$D:$AM, 10, FALSE), 1)</f>
        <v>0.48663463391805756</v>
      </c>
      <c r="G8" s="7">
        <f>$B8 * IFERROR(VLOOKUP("electricity|PM25|Asthma symptoms wheeze", US_national_yearly!$D:$AM, 15, FALSE) / VLOOKUP("electricity|PM25|Asthma symptoms wheeze", US_national_yearly!$D:$AM, 10, FALSE), 1)</f>
        <v>0.48663463391805756</v>
      </c>
      <c r="H8" s="7">
        <f>$B8 * IFERROR(VLOOKUP("electricity|PM25|Asthma symptoms wheeze", US_national_yearly!$D:$AM, 16, FALSE) / VLOOKUP("electricity|PM25|Asthma symptoms wheeze", US_national_yearly!$D:$AM, 10, FALSE), 1)</f>
        <v>0.48663463391805756</v>
      </c>
      <c r="I8" s="7">
        <f>$B8 * IFERROR(VLOOKUP("electricity|PM25|Asthma symptoms wheeze", US_national_yearly!$D:$AM, 17, FALSE) / VLOOKUP("electricity|PM25|Asthma symptoms wheeze", US_national_yearly!$D:$AM, 10, FALSE), 1)</f>
        <v>0.48663463391805756</v>
      </c>
      <c r="J8" s="7">
        <f>$B8 * IFERROR(VLOOKUP("electricity|PM25|Asthma symptoms wheeze", US_national_yearly!$D:$AM, 18, FALSE) / VLOOKUP("electricity|PM25|Asthma symptoms wheeze", US_national_yearly!$D:$AM, 10, FALSE), 1)</f>
        <v>0.48663463391805756</v>
      </c>
      <c r="K8" s="7">
        <f>$B8 * IFERROR(VLOOKUP("electricity|PM25|Asthma symptoms wheeze", US_national_yearly!$D:$AM, 19, FALSE) / VLOOKUP("electricity|PM25|Asthma symptoms wheeze", US_national_yearly!$D:$AM, 10, FALSE), 1)</f>
        <v>0.48663463391805756</v>
      </c>
      <c r="L8" s="7">
        <f>$B8 * IFERROR(VLOOKUP("electricity|PM25|Asthma symptoms wheeze", US_national_yearly!$D:$AM, 20, FALSE) / VLOOKUP("electricity|PM25|Asthma symptoms wheeze", US_national_yearly!$D:$AM, 10, FALSE), 1)</f>
        <v>0.48663463391805756</v>
      </c>
      <c r="M8" s="7">
        <f>$B8 * IFERROR(VLOOKUP("electricity|PM25|Asthma symptoms wheeze", US_national_yearly!$D:$AM, 21, FALSE) / VLOOKUP("electricity|PM25|Asthma symptoms wheeze", US_national_yearly!$D:$AM, 10, FALSE), 1)</f>
        <v>0.48663463391805756</v>
      </c>
      <c r="N8" s="7">
        <f>$B8 * IFERROR(VLOOKUP("electricity|PM25|Asthma symptoms wheeze", US_national_yearly!$D:$AM, 22, FALSE) / VLOOKUP("electricity|PM25|Asthma symptoms wheeze", US_national_yearly!$D:$AM, 10, FALSE), 1)</f>
        <v>0.48663463391805756</v>
      </c>
      <c r="O8" s="7">
        <f>$B8 * IFERROR(VLOOKUP("electricity|PM25|Asthma symptoms wheeze", US_national_yearly!$D:$AM, 23, FALSE) / VLOOKUP("electricity|PM25|Asthma symptoms wheeze", US_national_yearly!$D:$AM, 10, FALSE), 1)</f>
        <v>0.48663463391805756</v>
      </c>
      <c r="P8" s="7">
        <f>$B8 * IFERROR(VLOOKUP("electricity|PM25|Asthma symptoms wheeze", US_national_yearly!$D:$AM, 24, FALSE) / VLOOKUP("electricity|PM25|Asthma symptoms wheeze", US_national_yearly!$D:$AM, 10, FALSE), 1)</f>
        <v>0.48663463391805756</v>
      </c>
      <c r="Q8" s="7">
        <f>$B8 * IFERROR(VLOOKUP("electricity|PM25|Asthma symptoms wheeze", US_national_yearly!$D:$AM, 25, FALSE) / VLOOKUP("electricity|PM25|Asthma symptoms wheeze", US_national_yearly!$D:$AM, 10, FALSE), 1)</f>
        <v>0.48663463391805756</v>
      </c>
      <c r="R8" s="7">
        <f>$B8 * IFERROR(VLOOKUP("electricity|PM25|Asthma symptoms wheeze", US_national_yearly!$D:$AM, 26, FALSE) / VLOOKUP("electricity|PM25|Asthma symptoms wheeze", US_national_yearly!$D:$AM, 10, FALSE), 1)</f>
        <v>0.48663463391805756</v>
      </c>
      <c r="S8" s="7">
        <f>$B8 * IFERROR(VLOOKUP("electricity|PM25|Asthma symptoms wheeze", US_national_yearly!$D:$AM, 27, FALSE) / VLOOKUP("electricity|PM25|Asthma symptoms wheeze", US_national_yearly!$D:$AM, 10, FALSE), 1)</f>
        <v>0.48663463391805756</v>
      </c>
      <c r="T8" s="7">
        <f>$B8 * IFERROR(VLOOKUP("electricity|PM25|Asthma symptoms wheeze", US_national_yearly!$D:$AM, 28, FALSE) / VLOOKUP("electricity|PM25|Asthma symptoms wheeze", US_national_yearly!$D:$AM, 10, FALSE), 1)</f>
        <v>0.48663463391805756</v>
      </c>
      <c r="U8" s="7">
        <f>$B8 * IFERROR(VLOOKUP("electricity|PM25|Asthma symptoms wheeze", US_national_yearly!$D:$AM, 29, FALSE) / VLOOKUP("electricity|PM25|Asthma symptoms wheeze", US_national_yearly!$D:$AM, 10, FALSE), 1)</f>
        <v>0.48663463391805756</v>
      </c>
      <c r="V8" s="7">
        <f>$B8 * IFERROR(VLOOKUP("electricity|PM25|Asthma symptoms wheeze", US_national_yearly!$D:$AM, 30, FALSE) / VLOOKUP("electricity|PM25|Asthma symptoms wheeze", US_national_yearly!$D:$AM, 10, FALSE), 1)</f>
        <v>0.48663463391805756</v>
      </c>
      <c r="W8" s="7">
        <f>$B8 * IFERROR(VLOOKUP("electricity|PM25|Asthma symptoms wheeze", US_national_yearly!$D:$AM, 31, FALSE) / VLOOKUP("electricity|PM25|Asthma symptoms wheeze", US_national_yearly!$D:$AM, 10, FALSE), 1)</f>
        <v>0.48663463391805756</v>
      </c>
      <c r="X8" s="7">
        <f>$B8 * IFERROR(VLOOKUP("electricity|PM25|Asthma symptoms wheeze", US_national_yearly!$D:$AM, 32, FALSE) / VLOOKUP("electricity|PM25|Asthma symptoms wheeze", US_national_yearly!$D:$AM, 10, FALSE), 1)</f>
        <v>0.48663463391805756</v>
      </c>
      <c r="Y8" s="7">
        <f>$B8 * IFERROR(VLOOKUP("electricity|PM25|Asthma symptoms wheeze", US_national_yearly!$D:$AM, 33, FALSE) / VLOOKUP("electricity|PM25|Asthma symptoms wheeze", US_national_yearly!$D:$AM, 10, FALSE), 1)</f>
        <v>0.48663463391805756</v>
      </c>
      <c r="Z8" s="7">
        <f>$B8 * IFERROR(VLOOKUP("electricity|PM25|Asthma symptoms wheeze", US_national_yearly!$D:$AM, 34, FALSE) / VLOOKUP("electricity|PM25|Asthma symptoms wheeze", US_national_yearly!$D:$AM, 10, FALSE), 1)</f>
        <v>0.48663463391805756</v>
      </c>
      <c r="AA8" s="7">
        <f>$B8 * IFERROR(VLOOKUP("electricity|PM25|Asthma symptoms wheeze", US_national_yearly!$D:$AM, 35, FALSE) / VLOOKUP("electricity|PM25|Asthma symptoms wheeze", US_national_yearly!$D:$AM, 10, FALSE), 1)</f>
        <v>0.48663463391805756</v>
      </c>
      <c r="AB8" s="7">
        <f>$B8 * IFERROR(VLOOKUP("electricity|PM25|Asthma symptoms wheeze", US_national_yearly!$D:$AM, 36, FALSE) / VLOOKUP("electricity|PM25|Asthma symptoms wheeze", US_national_yearly!$D:$AM, 10, FALSE), 1)</f>
        <v>0.48663463391805756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5.9036948134665356E-3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5.9361408014364089E-3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5.9685867894062805E-3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6.0010327773761547E-3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6.0334787653460262E-3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6.0682600669039787E-3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6.1030413684619311E-3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6.1341149081837309E-3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6.1651884479055298E-3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6.1962619876273278E-3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6.2273355273491267E-3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6.2584090670709264E-3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6.279369273013851E-3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6.3003294789567765E-3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6.321289684899702E-3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6.3422498908426257E-3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6.3632100967855511E-3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6.3827420774008907E-3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6.4022740580162276E-3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6.4218060386315653E-3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6.441338019246904E-3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6.4608699998622409E-3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6.4801834091083007E-3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6.4994968183543595E-3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6.5188102276004184E-3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6.5381236368464773E-3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6.5574370460925371E-3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1.9703298466863084E-2</v>
      </c>
      <c r="C13" s="7">
        <f>$B13 * IFERROR(VLOOKUP("electricity|PM25|Non-fatal heart attacks", US_national_yearly!$D:$AM, 11, FALSE) / VLOOKUP("electricity|PM25|Non-fatal heart attacks", US_national_yearly!$D:$AM, 10, FALSE), 1)</f>
        <v>2.0274000996270022E-2</v>
      </c>
      <c r="D13" s="7">
        <f>$B13 * IFERROR(VLOOKUP("electricity|PM25|Non-fatal heart attacks", US_national_yearly!$D:$AM, 12, FALSE) / VLOOKUP("electricity|PM25|Non-fatal heart attacks", US_national_yearly!$D:$AM, 10, FALSE), 1)</f>
        <v>2.0844703525676956E-2</v>
      </c>
      <c r="E13" s="7">
        <f>$B13 * IFERROR(VLOOKUP("electricity|PM25|Non-fatal heart attacks", US_national_yearly!$D:$AM, 13, FALSE) / VLOOKUP("electricity|PM25|Non-fatal heart attacks", US_national_yearly!$D:$AM, 10, FALSE), 1)</f>
        <v>2.141540605508389E-2</v>
      </c>
      <c r="F13" s="7">
        <f>$B13 * IFERROR(VLOOKUP("electricity|PM25|Non-fatal heart attacks", US_national_yearly!$D:$AM, 14, FALSE) / VLOOKUP("electricity|PM25|Non-fatal heart attacks", US_national_yearly!$D:$AM, 10, FALSE), 1)</f>
        <v>2.1986108584490828E-2</v>
      </c>
      <c r="G13" s="7">
        <f>$B13 * IFERROR(VLOOKUP("electricity|PM25|Non-fatal heart attacks", US_national_yearly!$D:$AM, 15, FALSE) / VLOOKUP("electricity|PM25|Non-fatal heart attacks", US_national_yearly!$D:$AM, 10, FALSE), 1)</f>
        <v>2.252780058983821E-2</v>
      </c>
      <c r="H13" s="7">
        <f>$B13 * IFERROR(VLOOKUP("electricity|PM25|Non-fatal heart attacks", US_national_yearly!$D:$AM, 16, FALSE) / VLOOKUP("electricity|PM25|Non-fatal heart attacks", US_national_yearly!$D:$AM, 10, FALSE), 1)</f>
        <v>2.3069492595185589E-2</v>
      </c>
      <c r="I13" s="7">
        <f>$B13 * IFERROR(VLOOKUP("electricity|PM25|Non-fatal heart attacks", US_national_yearly!$D:$AM, 17, FALSE) / VLOOKUP("electricity|PM25|Non-fatal heart attacks", US_national_yearly!$D:$AM, 10, FALSE), 1)</f>
        <v>2.3511449321779211E-2</v>
      </c>
      <c r="J13" s="7">
        <f>$B13 * IFERROR(VLOOKUP("electricity|PM25|Non-fatal heart attacks", US_national_yearly!$D:$AM, 18, FALSE) / VLOOKUP("electricity|PM25|Non-fatal heart attacks", US_national_yearly!$D:$AM, 10, FALSE), 1)</f>
        <v>2.3953406048372837E-2</v>
      </c>
      <c r="K13" s="7">
        <f>$B13 * IFERROR(VLOOKUP("electricity|PM25|Non-fatal heart attacks", US_national_yearly!$D:$AM, 19, FALSE) / VLOOKUP("electricity|PM25|Non-fatal heart attacks", US_national_yearly!$D:$AM, 10, FALSE), 1)</f>
        <v>2.4395362774966456E-2</v>
      </c>
      <c r="L13" s="7">
        <f>$B13 * IFERROR(VLOOKUP("electricity|PM25|Non-fatal heart attacks", US_national_yearly!$D:$AM, 20, FALSE) / VLOOKUP("electricity|PM25|Non-fatal heart attacks", US_national_yearly!$D:$AM, 10, FALSE), 1)</f>
        <v>2.4837319501560075E-2</v>
      </c>
      <c r="M13" s="7">
        <f>$B13 * IFERROR(VLOOKUP("electricity|PM25|Non-fatal heart attacks", US_national_yearly!$D:$AM, 21, FALSE) / VLOOKUP("electricity|PM25|Non-fatal heart attacks", US_national_yearly!$D:$AM, 10, FALSE), 1)</f>
        <v>2.5279276228153704E-2</v>
      </c>
      <c r="N13" s="7">
        <f>$B13 * IFERROR(VLOOKUP("electricity|PM25|Non-fatal heart attacks", US_national_yearly!$D:$AM, 22, FALSE) / VLOOKUP("electricity|PM25|Non-fatal heart attacks", US_national_yearly!$D:$AM, 10, FALSE), 1)</f>
        <v>2.5566049090266704E-2</v>
      </c>
      <c r="O13" s="7">
        <f>$B13 * IFERROR(VLOOKUP("electricity|PM25|Non-fatal heart attacks", US_national_yearly!$D:$AM, 23, FALSE) / VLOOKUP("electricity|PM25|Non-fatal heart attacks", US_national_yearly!$D:$AM, 10, FALSE), 1)</f>
        <v>2.5852821952379704E-2</v>
      </c>
      <c r="P13" s="7">
        <f>$B13 * IFERROR(VLOOKUP("electricity|PM25|Non-fatal heart attacks", US_national_yearly!$D:$AM, 24, FALSE) / VLOOKUP("electricity|PM25|Non-fatal heart attacks", US_national_yearly!$D:$AM, 10, FALSE), 1)</f>
        <v>2.6139594814492698E-2</v>
      </c>
      <c r="Q13" s="7">
        <f>$B13 * IFERROR(VLOOKUP("electricity|PM25|Non-fatal heart attacks", US_national_yearly!$D:$AM, 25, FALSE) / VLOOKUP("electricity|PM25|Non-fatal heart attacks", US_national_yearly!$D:$AM, 10, FALSE), 1)</f>
        <v>2.6426367676605698E-2</v>
      </c>
      <c r="R13" s="7">
        <f>$B13 * IFERROR(VLOOKUP("electricity|PM25|Non-fatal heart attacks", US_national_yearly!$D:$AM, 26, FALSE) / VLOOKUP("electricity|PM25|Non-fatal heart attacks", US_national_yearly!$D:$AM, 10, FALSE), 1)</f>
        <v>2.6713140538718698E-2</v>
      </c>
      <c r="S13" s="7">
        <f>$B13 * IFERROR(VLOOKUP("electricity|PM25|Non-fatal heart attacks", US_national_yearly!$D:$AM, 27, FALSE) / VLOOKUP("electricity|PM25|Non-fatal heart attacks", US_national_yearly!$D:$AM, 10, FALSE), 1)</f>
        <v>2.6871016366564325E-2</v>
      </c>
      <c r="T13" s="7">
        <f>$B13 * IFERROR(VLOOKUP("electricity|PM25|Non-fatal heart attacks", US_national_yearly!$D:$AM, 28, FALSE) / VLOOKUP("electricity|PM25|Non-fatal heart attacks", US_national_yearly!$D:$AM, 10, FALSE), 1)</f>
        <v>2.7028892194409956E-2</v>
      </c>
      <c r="U13" s="7">
        <f>$B13 * IFERROR(VLOOKUP("electricity|PM25|Non-fatal heart attacks", US_national_yearly!$D:$AM, 29, FALSE) / VLOOKUP("electricity|PM25|Non-fatal heart attacks", US_national_yearly!$D:$AM, 10, FALSE), 1)</f>
        <v>2.7186768022255583E-2</v>
      </c>
      <c r="V13" s="7">
        <f>$B13 * IFERROR(VLOOKUP("electricity|PM25|Non-fatal heart attacks", US_national_yearly!$D:$AM, 30, FALSE) / VLOOKUP("electricity|PM25|Non-fatal heart attacks", US_national_yearly!$D:$AM, 10, FALSE), 1)</f>
        <v>2.734464385010121E-2</v>
      </c>
      <c r="W13" s="7">
        <f>$B13 * IFERROR(VLOOKUP("electricity|PM25|Non-fatal heart attacks", US_national_yearly!$D:$AM, 31, FALSE) / VLOOKUP("electricity|PM25|Non-fatal heart attacks", US_national_yearly!$D:$AM, 10, FALSE), 1)</f>
        <v>2.7502519677946841E-2</v>
      </c>
      <c r="X13" s="7">
        <f>$B13 * IFERROR(VLOOKUP("electricity|PM25|Non-fatal heart attacks", US_national_yearly!$D:$AM, 32, FALSE) / VLOOKUP("electricity|PM25|Non-fatal heart attacks", US_national_yearly!$D:$AM, 10, FALSE), 1)</f>
        <v>2.7626028430231406E-2</v>
      </c>
      <c r="Y13" s="7">
        <f>$B13 * IFERROR(VLOOKUP("electricity|PM25|Non-fatal heart attacks", US_national_yearly!$D:$AM, 33, FALSE) / VLOOKUP("electricity|PM25|Non-fatal heart attacks", US_national_yearly!$D:$AM, 10, FALSE), 1)</f>
        <v>2.7749537182515976E-2</v>
      </c>
      <c r="Z13" s="7">
        <f>$B13 * IFERROR(VLOOKUP("electricity|PM25|Non-fatal heart attacks", US_national_yearly!$D:$AM, 34, FALSE) / VLOOKUP("electricity|PM25|Non-fatal heart attacks", US_national_yearly!$D:$AM, 10, FALSE), 1)</f>
        <v>2.7873045934800542E-2</v>
      </c>
      <c r="AA13" s="7">
        <f>$B13 * IFERROR(VLOOKUP("electricity|PM25|Non-fatal heart attacks", US_national_yearly!$D:$AM, 35, FALSE) / VLOOKUP("electricity|PM25|Non-fatal heart attacks", US_national_yearly!$D:$AM, 10, FALSE), 1)</f>
        <v>2.7996554687085114E-2</v>
      </c>
      <c r="AB13" s="7">
        <f>$B13 * IFERROR(VLOOKUP("electricity|PM25|Non-fatal heart attacks", US_national_yearly!$D:$AM, 36, FALSE) / VLOOKUP("electricity|PM25|Non-fatal heart attacks", US_national_yearly!$D:$AM, 10, FALSE), 1)</f>
        <v>2.812006343936968E-2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30.170949707039782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30.237927187370484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30.304904667701198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30.371882148031901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30.438859628362611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30.538246448235139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30.637633268107667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30.813123328678472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30.988613389249288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31.164103449820097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31.339593510390912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31.515083570961721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31.758538896995287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32.001994223028866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32.245449549062435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32.488904875096011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32.73236020112958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32.97791545279668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33.223470704463772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33.469025956130864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33.714581207797963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33.960136459465062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34.17062856489558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34.381120670326112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34.591612775756644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34.802104881187162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35.012596986617702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5.1296431617309963</v>
      </c>
      <c r="C15" s="7">
        <f>$B15 * IFERROR(VLOOKUP("electricity|PM25|Work loss days", US_national_yearly!$D:$AM, 11, FALSE) / VLOOKUP("electricity|PM25|Work loss days", US_national_yearly!$D:$AM, 10, FALSE), 1)</f>
        <v>5.1443219321566893</v>
      </c>
      <c r="D15" s="7">
        <f>$B15 * IFERROR(VLOOKUP("electricity|PM25|Work loss days", US_national_yearly!$D:$AM, 12, FALSE) / VLOOKUP("electricity|PM25|Work loss days", US_national_yearly!$D:$AM, 10, FALSE), 1)</f>
        <v>5.1590007025823832</v>
      </c>
      <c r="E15" s="7">
        <f>$B15 * IFERROR(VLOOKUP("electricity|PM25|Work loss days", US_national_yearly!$D:$AM, 13, FALSE) / VLOOKUP("electricity|PM25|Work loss days", US_national_yearly!$D:$AM, 10, FALSE), 1)</f>
        <v>5.1736794730080762</v>
      </c>
      <c r="F15" s="7">
        <f>$B15 * IFERROR(VLOOKUP("electricity|PM25|Work loss days", US_national_yearly!$D:$AM, 14, FALSE) / VLOOKUP("electricity|PM25|Work loss days", US_national_yearly!$D:$AM, 10, FALSE), 1)</f>
        <v>5.1883582434337692</v>
      </c>
      <c r="G15" s="7">
        <f>$B15 * IFERROR(VLOOKUP("electricity|PM25|Work loss days", US_national_yearly!$D:$AM, 15, FALSE) / VLOOKUP("electricity|PM25|Work loss days", US_national_yearly!$D:$AM, 10, FALSE), 1)</f>
        <v>5.207373836987836</v>
      </c>
      <c r="H15" s="7">
        <f>$B15 * IFERROR(VLOOKUP("electricity|PM25|Work loss days", US_national_yearly!$D:$AM, 16, FALSE) / VLOOKUP("electricity|PM25|Work loss days", US_national_yearly!$D:$AM, 10, FALSE), 1)</f>
        <v>5.2263894305419027</v>
      </c>
      <c r="I15" s="7">
        <f>$B15 * IFERROR(VLOOKUP("electricity|PM25|Work loss days", US_national_yearly!$D:$AM, 17, FALSE) / VLOOKUP("electricity|PM25|Work loss days", US_national_yearly!$D:$AM, 10, FALSE), 1)</f>
        <v>5.2549761283643655</v>
      </c>
      <c r="J15" s="7">
        <f>$B15 * IFERROR(VLOOKUP("electricity|PM25|Work loss days", US_national_yearly!$D:$AM, 18, FALSE) / VLOOKUP("electricity|PM25|Work loss days", US_national_yearly!$D:$AM, 10, FALSE), 1)</f>
        <v>5.2835628261868264</v>
      </c>
      <c r="K15" s="7">
        <f>$B15 * IFERROR(VLOOKUP("electricity|PM25|Work loss days", US_national_yearly!$D:$AM, 19, FALSE) / VLOOKUP("electricity|PM25|Work loss days", US_national_yearly!$D:$AM, 10, FALSE), 1)</f>
        <v>5.3121495240092882</v>
      </c>
      <c r="L15" s="7">
        <f>$B15 * IFERROR(VLOOKUP("electricity|PM25|Work loss days", US_national_yearly!$D:$AM, 20, FALSE) / VLOOKUP("electricity|PM25|Work loss days", US_national_yearly!$D:$AM, 10, FALSE), 1)</f>
        <v>5.34073622183175</v>
      </c>
      <c r="M15" s="7">
        <f>$B15 * IFERROR(VLOOKUP("electricity|PM25|Work loss days", US_national_yearly!$D:$AM, 21, FALSE) / VLOOKUP("electricity|PM25|Work loss days", US_national_yearly!$D:$AM, 10, FALSE), 1)</f>
        <v>5.3693229196542127</v>
      </c>
      <c r="N15" s="7">
        <f>$B15 * IFERROR(VLOOKUP("electricity|PM25|Work loss days", US_national_yearly!$D:$AM, 22, FALSE) / VLOOKUP("electricity|PM25|Work loss days", US_national_yearly!$D:$AM, 10, FALSE), 1)</f>
        <v>5.4062303311023472</v>
      </c>
      <c r="O15" s="7">
        <f>$B15 * IFERROR(VLOOKUP("electricity|PM25|Work loss days", US_national_yearly!$D:$AM, 23, FALSE) / VLOOKUP("electricity|PM25|Work loss days", US_national_yearly!$D:$AM, 10, FALSE), 1)</f>
        <v>5.4431377425504825</v>
      </c>
      <c r="P15" s="7">
        <f>$B15 * IFERROR(VLOOKUP("electricity|PM25|Work loss days", US_national_yearly!$D:$AM, 24, FALSE) / VLOOKUP("electricity|PM25|Work loss days", US_national_yearly!$D:$AM, 10, FALSE), 1)</f>
        <v>5.480045153998617</v>
      </c>
      <c r="Q15" s="7">
        <f>$B15 * IFERROR(VLOOKUP("electricity|PM25|Work loss days", US_national_yearly!$D:$AM, 25, FALSE) / VLOOKUP("electricity|PM25|Work loss days", US_national_yearly!$D:$AM, 10, FALSE), 1)</f>
        <v>5.5169525654467515</v>
      </c>
      <c r="R15" s="7">
        <f>$B15 * IFERROR(VLOOKUP("electricity|PM25|Work loss days", US_national_yearly!$D:$AM, 26, FALSE) / VLOOKUP("electricity|PM25|Work loss days", US_national_yearly!$D:$AM, 10, FALSE), 1)</f>
        <v>5.5538599768948869</v>
      </c>
      <c r="S15" s="7">
        <f>$B15 * IFERROR(VLOOKUP("electricity|PM25|Work loss days", US_national_yearly!$D:$AM, 27, FALSE) / VLOOKUP("electricity|PM25|Work loss days", US_national_yearly!$D:$AM, 10, FALSE), 1)</f>
        <v>5.5948141710400954</v>
      </c>
      <c r="T15" s="7">
        <f>$B15 * IFERROR(VLOOKUP("electricity|PM25|Work loss days", US_national_yearly!$D:$AM, 28, FALSE) / VLOOKUP("electricity|PM25|Work loss days", US_national_yearly!$D:$AM, 10, FALSE), 1)</f>
        <v>5.6357683651853057</v>
      </c>
      <c r="U15" s="7">
        <f>$B15 * IFERROR(VLOOKUP("electricity|PM25|Work loss days", US_national_yearly!$D:$AM, 29, FALSE) / VLOOKUP("electricity|PM25|Work loss days", US_national_yearly!$D:$AM, 10, FALSE), 1)</f>
        <v>5.6767225593305159</v>
      </c>
      <c r="V15" s="7">
        <f>$B15 * IFERROR(VLOOKUP("electricity|PM25|Work loss days", US_national_yearly!$D:$AM, 30, FALSE) / VLOOKUP("electricity|PM25|Work loss days", US_national_yearly!$D:$AM, 10, FALSE), 1)</f>
        <v>5.7176767534757262</v>
      </c>
      <c r="W15" s="7">
        <f>$B15 * IFERROR(VLOOKUP("electricity|PM25|Work loss days", US_national_yearly!$D:$AM, 31, FALSE) / VLOOKUP("electricity|PM25|Work loss days", US_national_yearly!$D:$AM, 10, FALSE), 1)</f>
        <v>5.7586309476209347</v>
      </c>
      <c r="X15" s="7">
        <f>$B15 * IFERROR(VLOOKUP("electricity|PM25|Work loss days", US_national_yearly!$D:$AM, 32, FALSE) / VLOOKUP("electricity|PM25|Work loss days", US_national_yearly!$D:$AM, 10, FALSE), 1)</f>
        <v>5.7947592668455661</v>
      </c>
      <c r="Y15" s="7">
        <f>$B15 * IFERROR(VLOOKUP("electricity|PM25|Work loss days", US_national_yearly!$D:$AM, 33, FALSE) / VLOOKUP("electricity|PM25|Work loss days", US_national_yearly!$D:$AM, 10, FALSE), 1)</f>
        <v>5.8308875860701948</v>
      </c>
      <c r="Z15" s="7">
        <f>$B15 * IFERROR(VLOOKUP("electricity|PM25|Work loss days", US_national_yearly!$D:$AM, 34, FALSE) / VLOOKUP("electricity|PM25|Work loss days", US_national_yearly!$D:$AM, 10, FALSE), 1)</f>
        <v>5.8670159052948243</v>
      </c>
      <c r="AA15" s="7">
        <f>$B15 * IFERROR(VLOOKUP("electricity|PM25|Work loss days", US_national_yearly!$D:$AM, 35, FALSE) / VLOOKUP("electricity|PM25|Work loss days", US_national_yearly!$D:$AM, 10, FALSE), 1)</f>
        <v>5.9031442245194556</v>
      </c>
      <c r="AB15" s="7">
        <f>$B15 * IFERROR(VLOOKUP("electricity|PM25|Work loss days", US_national_yearly!$D:$AM, 36, FALSE) / VLOOKUP("electricity|PM25|Work loss days", US_national_yearly!$D:$AM, 10, FALSE), 1)</f>
        <v>5.9392725437440852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6.5789987725013389E-3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6.7742299634782144E-3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6.9694611544550899E-3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7.1646923454319654E-3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7.3599235364088418E-3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7.5482237172258956E-3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7.7365238980429503E-3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7.8996444799988817E-3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8.0627650619548141E-3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8.2258856439107447E-3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8.389006225866677E-3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8.5521268078226076E-3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8.6617802018502197E-3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8.7714335958778301E-3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8.8810869899054404E-3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8.9907403839330526E-3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9.1003937779606629E-3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9.1609116324917472E-3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9.2214294870228298E-3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9.2819473415539158E-3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9.3424651960850001E-3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9.4029830506160844E-3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9.4452035833064059E-3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9.4874241159967274E-3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9.5296446486870488E-3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9.571865181377372E-3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9.6140857140676952E-3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3.3950274492388047E-3</v>
      </c>
      <c r="C2" s="7">
        <f>$B2 * IFERROR(VLOOKUP("electricity|NOx|Premature mortality", US_national_yearly!$D:$AM, 11, FALSE) / VLOOKUP("electricity|NOx|Premature mortality", US_national_yearly!$D:$AM, 10, FALSE), 1)</f>
        <v>3.4463963660001508E-3</v>
      </c>
      <c r="D2" s="7">
        <f>$B2 * IFERROR(VLOOKUP("electricity|NOx|Premature mortality", US_national_yearly!$D:$AM, 12, FALSE) / VLOOKUP("electricity|NOx|Premature mortality", US_national_yearly!$D:$AM, 10, FALSE), 1)</f>
        <v>3.4977652827614977E-3</v>
      </c>
      <c r="E2" s="7">
        <f>$B2 * IFERROR(VLOOKUP("electricity|NOx|Premature mortality", US_national_yearly!$D:$AM, 13, FALSE) / VLOOKUP("electricity|NOx|Premature mortality", US_national_yearly!$D:$AM, 10, FALSE), 1)</f>
        <v>3.5491341995228438E-3</v>
      </c>
      <c r="F2" s="7">
        <f>$B2 * IFERROR(VLOOKUP("electricity|NOx|Premature mortality", US_national_yearly!$D:$AM, 14, FALSE) / VLOOKUP("electricity|NOx|Premature mortality", US_national_yearly!$D:$AM, 10, FALSE), 1)</f>
        <v>3.6005031162841899E-3</v>
      </c>
      <c r="G2" s="7">
        <f>$B2 * IFERROR(VLOOKUP("electricity|NOx|Premature mortality", US_national_yearly!$D:$AM, 15, FALSE) / VLOOKUP("electricity|NOx|Premature mortality", US_national_yearly!$D:$AM, 10, FALSE), 1)</f>
        <v>3.6922669203520906E-3</v>
      </c>
      <c r="H2" s="7">
        <f>$B2 * IFERROR(VLOOKUP("electricity|NOx|Premature mortality", US_national_yearly!$D:$AM, 16, FALSE) / VLOOKUP("electricity|NOx|Premature mortality", US_national_yearly!$D:$AM, 10, FALSE), 1)</f>
        <v>3.7840307244199904E-3</v>
      </c>
      <c r="I2" s="7">
        <f>$B2 * IFERROR(VLOOKUP("electricity|NOx|Premature mortality", US_national_yearly!$D:$AM, 17, FALSE) / VLOOKUP("electricity|NOx|Premature mortality", US_national_yearly!$D:$AM, 10, FALSE), 1)</f>
        <v>3.8450115414032314E-3</v>
      </c>
      <c r="J2" s="7">
        <f>$B2 * IFERROR(VLOOKUP("electricity|NOx|Premature mortality", US_national_yearly!$D:$AM, 18, FALSE) / VLOOKUP("electricity|NOx|Premature mortality", US_national_yearly!$D:$AM, 10, FALSE), 1)</f>
        <v>3.9059923583864733E-3</v>
      </c>
      <c r="K2" s="7">
        <f>$B2 * IFERROR(VLOOKUP("electricity|NOx|Premature mortality", US_national_yearly!$D:$AM, 19, FALSE) / VLOOKUP("electricity|NOx|Premature mortality", US_national_yearly!$D:$AM, 10, FALSE), 1)</f>
        <v>3.9669731753697148E-3</v>
      </c>
      <c r="L2" s="7">
        <f>$B2 * IFERROR(VLOOKUP("electricity|NOx|Premature mortality", US_national_yearly!$D:$AM, 20, FALSE) / VLOOKUP("electricity|NOx|Premature mortality", US_national_yearly!$D:$AM, 10, FALSE), 1)</f>
        <v>4.0279539923529558E-3</v>
      </c>
      <c r="M2" s="7">
        <f>$B2 * IFERROR(VLOOKUP("electricity|NOx|Premature mortality", US_national_yearly!$D:$AM, 21, FALSE) / VLOOKUP("electricity|NOx|Premature mortality", US_national_yearly!$D:$AM, 10, FALSE), 1)</f>
        <v>4.0889348093361977E-3</v>
      </c>
      <c r="N2" s="7">
        <f>$B2 * IFERROR(VLOOKUP("electricity|NOx|Premature mortality", US_national_yearly!$D:$AM, 22, FALSE) / VLOOKUP("electricity|NOx|Premature mortality", US_national_yearly!$D:$AM, 10, FALSE), 1)</f>
        <v>4.1359885593191606E-3</v>
      </c>
      <c r="O2" s="7">
        <f>$B2 * IFERROR(VLOOKUP("electricity|NOx|Premature mortality", US_national_yearly!$D:$AM, 23, FALSE) / VLOOKUP("electricity|NOx|Premature mortality", US_national_yearly!$D:$AM, 10, FALSE), 1)</f>
        <v>4.1830423093021244E-3</v>
      </c>
      <c r="P2" s="7">
        <f>$B2 * IFERROR(VLOOKUP("electricity|NOx|Premature mortality", US_national_yearly!$D:$AM, 24, FALSE) / VLOOKUP("electricity|NOx|Premature mortality", US_national_yearly!$D:$AM, 10, FALSE), 1)</f>
        <v>4.2300960592850873E-3</v>
      </c>
      <c r="Q2" s="7">
        <f>$B2 * IFERROR(VLOOKUP("electricity|NOx|Premature mortality", US_national_yearly!$D:$AM, 25, FALSE) / VLOOKUP("electricity|NOx|Premature mortality", US_national_yearly!$D:$AM, 10, FALSE), 1)</f>
        <v>4.2771498092680511E-3</v>
      </c>
      <c r="R2" s="7">
        <f>$B2 * IFERROR(VLOOKUP("electricity|NOx|Premature mortality", US_national_yearly!$D:$AM, 26, FALSE) / VLOOKUP("electricity|NOx|Premature mortality", US_national_yearly!$D:$AM, 10, FALSE), 1)</f>
        <v>4.324203559251014E-3</v>
      </c>
      <c r="S2" s="7">
        <f>$B2 * IFERROR(VLOOKUP("electricity|NOx|Premature mortality", US_national_yearly!$D:$AM, 27, FALSE) / VLOOKUP("electricity|NOx|Premature mortality", US_national_yearly!$D:$AM, 10, FALSE), 1)</f>
        <v>4.3485182020409126E-3</v>
      </c>
      <c r="T2" s="7">
        <f>$B2 * IFERROR(VLOOKUP("electricity|NOx|Premature mortality", US_national_yearly!$D:$AM, 28, FALSE) / VLOOKUP("electricity|NOx|Premature mortality", US_national_yearly!$D:$AM, 10, FALSE), 1)</f>
        <v>4.3728328448308113E-3</v>
      </c>
      <c r="U2" s="7">
        <f>$B2 * IFERROR(VLOOKUP("electricity|NOx|Premature mortality", US_national_yearly!$D:$AM, 29, FALSE) / VLOOKUP("electricity|NOx|Premature mortality", US_national_yearly!$D:$AM, 10, FALSE), 1)</f>
        <v>4.3971474876207109E-3</v>
      </c>
      <c r="V2" s="7">
        <f>$B2 * IFERROR(VLOOKUP("electricity|NOx|Premature mortality", US_national_yearly!$D:$AM, 30, FALSE) / VLOOKUP("electricity|NOx|Premature mortality", US_national_yearly!$D:$AM, 10, FALSE), 1)</f>
        <v>4.4214621304106087E-3</v>
      </c>
      <c r="W2" s="7">
        <f>$B2 * IFERROR(VLOOKUP("electricity|NOx|Premature mortality", US_national_yearly!$D:$AM, 31, FALSE) / VLOOKUP("electricity|NOx|Premature mortality", US_national_yearly!$D:$AM, 10, FALSE), 1)</f>
        <v>4.4457767732005073E-3</v>
      </c>
      <c r="X2" s="7">
        <f>$B2 * IFERROR(VLOOKUP("electricity|NOx|Premature mortality", US_national_yearly!$D:$AM, 32, FALSE) / VLOOKUP("electricity|NOx|Premature mortality", US_national_yearly!$D:$AM, 10, FALSE), 1)</f>
        <v>4.4512775007645436E-3</v>
      </c>
      <c r="Y2" s="7">
        <f>$B2 * IFERROR(VLOOKUP("electricity|NOx|Premature mortality", US_national_yearly!$D:$AM, 33, FALSE) / VLOOKUP("electricity|NOx|Premature mortality", US_national_yearly!$D:$AM, 10, FALSE), 1)</f>
        <v>4.4567782283285789E-3</v>
      </c>
      <c r="Z2" s="7">
        <f>$B2 * IFERROR(VLOOKUP("electricity|NOx|Premature mortality", US_national_yearly!$D:$AM, 34, FALSE) / VLOOKUP("electricity|NOx|Premature mortality", US_national_yearly!$D:$AM, 10, FALSE), 1)</f>
        <v>4.4622789558926151E-3</v>
      </c>
      <c r="AA2" s="7">
        <f>$B2 * IFERROR(VLOOKUP("electricity|NOx|Premature mortality", US_national_yearly!$D:$AM, 35, FALSE) / VLOOKUP("electricity|NOx|Premature mortality", US_national_yearly!$D:$AM, 10, FALSE), 1)</f>
        <v>4.4677796834566505E-3</v>
      </c>
      <c r="AB2" s="7">
        <f>$B2 * IFERROR(VLOOKUP("electricity|NOx|Premature mortality", US_national_yearly!$D:$AM, 36, FALSE) / VLOOKUP("electricity|NOx|Premature mortality", US_national_yearly!$D:$AM, 10, FALSE), 1)</f>
        <v>4.4732804110206867E-3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7.8882172690373677E-6</v>
      </c>
      <c r="C3" s="7">
        <f>$B3 * IFERROR(VLOOKUP("electricity|NOx|Infant mortality", US_national_yearly!$D:$AM, 11, FALSE) / VLOOKUP("electricity|NOx|Infant mortality", US_national_yearly!$D:$AM, 10, FALSE), 1)</f>
        <v>7.8144184895407201E-6</v>
      </c>
      <c r="D3" s="7">
        <f>$B3 * IFERROR(VLOOKUP("electricity|NOx|Infant mortality", US_national_yearly!$D:$AM, 12, FALSE) / VLOOKUP("electricity|NOx|Infant mortality", US_national_yearly!$D:$AM, 10, FALSE), 1)</f>
        <v>7.7406197100440709E-6</v>
      </c>
      <c r="E3" s="7">
        <f>$B3 * IFERROR(VLOOKUP("electricity|NOx|Infant mortality", US_national_yearly!$D:$AM, 13, FALSE) / VLOOKUP("electricity|NOx|Infant mortality", US_national_yearly!$D:$AM, 10, FALSE), 1)</f>
        <v>7.6668209305474233E-6</v>
      </c>
      <c r="F3" s="7">
        <f>$B3 * IFERROR(VLOOKUP("electricity|NOx|Infant mortality", US_national_yearly!$D:$AM, 14, FALSE) / VLOOKUP("electricity|NOx|Infant mortality", US_national_yearly!$D:$AM, 10, FALSE), 1)</f>
        <v>7.5930221510507732E-6</v>
      </c>
      <c r="G3" s="7">
        <f>$B3 * IFERROR(VLOOKUP("electricity|NOx|Infant mortality", US_national_yearly!$D:$AM, 15, FALSE) / VLOOKUP("electricity|NOx|Infant mortality", US_national_yearly!$D:$AM, 10, FALSE), 1)</f>
        <v>5.0307533608344719E-6</v>
      </c>
      <c r="H3" s="7">
        <f>$B3 * IFERROR(VLOOKUP("electricity|NOx|Infant mortality", US_national_yearly!$D:$AM, 16, FALSE) / VLOOKUP("electricity|NOx|Infant mortality", US_national_yearly!$D:$AM, 10, FALSE), 1)</f>
        <v>2.4684845706181709E-6</v>
      </c>
      <c r="I3" s="7">
        <f>$B3 * IFERROR(VLOOKUP("electricity|NOx|Infant mortality", US_national_yearly!$D:$AM, 17, FALSE) / VLOOKUP("electricity|NOx|Infant mortality", US_national_yearly!$D:$AM, 10, FALSE), 1)</f>
        <v>2.4505324018970271E-6</v>
      </c>
      <c r="J3" s="7">
        <f>$B3 * IFERROR(VLOOKUP("electricity|NOx|Infant mortality", US_national_yearly!$D:$AM, 18, FALSE) / VLOOKUP("electricity|NOx|Infant mortality", US_national_yearly!$D:$AM, 10, FALSE), 1)</f>
        <v>2.4325802331758838E-6</v>
      </c>
      <c r="K3" s="7">
        <f>$B3 * IFERROR(VLOOKUP("electricity|NOx|Infant mortality", US_national_yearly!$D:$AM, 19, FALSE) / VLOOKUP("electricity|NOx|Infant mortality", US_national_yearly!$D:$AM, 10, FALSE), 1)</f>
        <v>2.4146280644547401E-6</v>
      </c>
      <c r="L3" s="7">
        <f>$B3 * IFERROR(VLOOKUP("electricity|NOx|Infant mortality", US_national_yearly!$D:$AM, 20, FALSE) / VLOOKUP("electricity|NOx|Infant mortality", US_national_yearly!$D:$AM, 10, FALSE), 1)</f>
        <v>2.3966758957335964E-6</v>
      </c>
      <c r="M3" s="7">
        <f>$B3 * IFERROR(VLOOKUP("electricity|NOx|Infant mortality", US_national_yearly!$D:$AM, 21, FALSE) / VLOOKUP("electricity|NOx|Infant mortality", US_national_yearly!$D:$AM, 10, FALSE), 1)</f>
        <v>2.3787237270124522E-6</v>
      </c>
      <c r="N3" s="7">
        <f>$B3 * IFERROR(VLOOKUP("electricity|NOx|Infant mortality", US_national_yearly!$D:$AM, 22, FALSE) / VLOOKUP("electricity|NOx|Infant mortality", US_national_yearly!$D:$AM, 10, FALSE), 1)</f>
        <v>2.3666687167584237E-6</v>
      </c>
      <c r="O3" s="7">
        <f>$B3 * IFERROR(VLOOKUP("electricity|NOx|Infant mortality", US_national_yearly!$D:$AM, 23, FALSE) / VLOOKUP("electricity|NOx|Infant mortality", US_national_yearly!$D:$AM, 10, FALSE), 1)</f>
        <v>2.3546137065043948E-6</v>
      </c>
      <c r="P3" s="7">
        <f>$B3 * IFERROR(VLOOKUP("electricity|NOx|Infant mortality", US_national_yearly!$D:$AM, 24, FALSE) / VLOOKUP("electricity|NOx|Infant mortality", US_national_yearly!$D:$AM, 10, FALSE), 1)</f>
        <v>2.3425586962503659E-6</v>
      </c>
      <c r="Q3" s="7">
        <f>$B3 * IFERROR(VLOOKUP("electricity|NOx|Infant mortality", US_national_yearly!$D:$AM, 25, FALSE) / VLOOKUP("electricity|NOx|Infant mortality", US_national_yearly!$D:$AM, 10, FALSE), 1)</f>
        <v>2.3305036859963374E-6</v>
      </c>
      <c r="R3" s="7">
        <f>$B3 * IFERROR(VLOOKUP("electricity|NOx|Infant mortality", US_national_yearly!$D:$AM, 26, FALSE) / VLOOKUP("electricity|NOx|Infant mortality", US_national_yearly!$D:$AM, 10, FALSE), 1)</f>
        <v>2.3184486757423089E-6</v>
      </c>
      <c r="S3" s="7">
        <f>$B3 * IFERROR(VLOOKUP("electricity|NOx|Infant mortality", US_national_yearly!$D:$AM, 27, FALSE) / VLOOKUP("electricity|NOx|Infant mortality", US_national_yearly!$D:$AM, 10, FALSE), 1)</f>
        <v>2.3041372792573806E-6</v>
      </c>
      <c r="T3" s="7">
        <f>$B3 * IFERROR(VLOOKUP("electricity|NOx|Infant mortality", US_national_yearly!$D:$AM, 28, FALSE) / VLOOKUP("electricity|NOx|Infant mortality", US_national_yearly!$D:$AM, 10, FALSE), 1)</f>
        <v>2.2898258827724519E-6</v>
      </c>
      <c r="U3" s="7">
        <f>$B3 * IFERROR(VLOOKUP("electricity|NOx|Infant mortality", US_national_yearly!$D:$AM, 29, FALSE) / VLOOKUP("electricity|NOx|Infant mortality", US_national_yearly!$D:$AM, 10, FALSE), 1)</f>
        <v>2.275514486287524E-6</v>
      </c>
      <c r="V3" s="7">
        <f>$B3 * IFERROR(VLOOKUP("electricity|NOx|Infant mortality", US_national_yearly!$D:$AM, 30, FALSE) / VLOOKUP("electricity|NOx|Infant mortality", US_national_yearly!$D:$AM, 10, FALSE), 1)</f>
        <v>2.261203089802596E-6</v>
      </c>
      <c r="W3" s="7">
        <f>$B3 * IFERROR(VLOOKUP("electricity|NOx|Infant mortality", US_national_yearly!$D:$AM, 31, FALSE) / VLOOKUP("electricity|NOx|Infant mortality", US_national_yearly!$D:$AM, 10, FALSE), 1)</f>
        <v>2.2468916933176677E-6</v>
      </c>
      <c r="X3" s="7">
        <f>$B3 * IFERROR(VLOOKUP("electricity|NOx|Infant mortality", US_national_yearly!$D:$AM, 32, FALSE) / VLOOKUP("electricity|NOx|Infant mortality", US_national_yearly!$D:$AM, 10, FALSE), 1)</f>
        <v>2.2321556151278906E-6</v>
      </c>
      <c r="Y3" s="7">
        <f>$B3 * IFERROR(VLOOKUP("electricity|NOx|Infant mortality", US_national_yearly!$D:$AM, 33, FALSE) / VLOOKUP("electricity|NOx|Infant mortality", US_national_yearly!$D:$AM, 10, FALSE), 1)</f>
        <v>2.2174195369381134E-6</v>
      </c>
      <c r="Z3" s="7">
        <f>$B3 * IFERROR(VLOOKUP("electricity|NOx|Infant mortality", US_national_yearly!$D:$AM, 34, FALSE) / VLOOKUP("electricity|NOx|Infant mortality", US_national_yearly!$D:$AM, 10, FALSE), 1)</f>
        <v>2.2026834587483363E-6</v>
      </c>
      <c r="AA3" s="7">
        <f>$B3 * IFERROR(VLOOKUP("electricity|NOx|Infant mortality", US_national_yearly!$D:$AM, 35, FALSE) / VLOOKUP("electricity|NOx|Infant mortality", US_national_yearly!$D:$AM, 10, FALSE), 1)</f>
        <v>2.1879473805585591E-6</v>
      </c>
      <c r="AB3" s="7">
        <f>$B3 * IFERROR(VLOOKUP("electricity|NOx|Infant mortality", US_national_yearly!$D:$AM, 36, FALSE) / VLOOKUP("electricity|NOx|Infant mortality", US_national_yearly!$D:$AM, 10, FALSE), 1)</f>
        <v>2.1732113023687815E-6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1.0801494245281514E-2</v>
      </c>
      <c r="C6" s="7">
        <f>$B6 * IFERROR(VLOOKUP("electricity|NOx|Asthma symptoms cough", US_national_yearly!$D:$AM, 11, FALSE) / VLOOKUP("electricity|NOx|Asthma symptoms cough", US_national_yearly!$D:$AM, 10, FALSE), 1)</f>
        <v>1.0949785053590348E-2</v>
      </c>
      <c r="D6" s="7">
        <f>$B6 * IFERROR(VLOOKUP("electricity|NOx|Asthma symptoms cough", US_national_yearly!$D:$AM, 12, FALSE) / VLOOKUP("electricity|NOx|Asthma symptoms cough", US_national_yearly!$D:$AM, 10, FALSE), 1)</f>
        <v>1.1098075861899183E-2</v>
      </c>
      <c r="E6" s="7">
        <f>$B6 * IFERROR(VLOOKUP("electricity|NOx|Asthma symptoms cough", US_national_yearly!$D:$AM, 13, FALSE) / VLOOKUP("electricity|NOx|Asthma symptoms cough", US_national_yearly!$D:$AM, 10, FALSE), 1)</f>
        <v>1.1246366670208017E-2</v>
      </c>
      <c r="F6" s="7">
        <f>$B6 * IFERROR(VLOOKUP("electricity|NOx|Asthma symptoms cough", US_national_yearly!$D:$AM, 14, FALSE) / VLOOKUP("electricity|NOx|Asthma symptoms cough", US_national_yearly!$D:$AM, 10, FALSE), 1)</f>
        <v>1.139465747851685E-2</v>
      </c>
      <c r="G6" s="7">
        <f>$B6 * IFERROR(VLOOKUP("electricity|NOx|Asthma symptoms cough", US_national_yearly!$D:$AM, 15, FALSE) / VLOOKUP("electricity|NOx|Asthma symptoms cough", US_national_yearly!$D:$AM, 10, FALSE), 1)</f>
        <v>1.1515225768382844E-2</v>
      </c>
      <c r="H6" s="7">
        <f>$B6 * IFERROR(VLOOKUP("electricity|NOx|Asthma symptoms cough", US_national_yearly!$D:$AM, 16, FALSE) / VLOOKUP("electricity|NOx|Asthma symptoms cough", US_national_yearly!$D:$AM, 10, FALSE), 1)</f>
        <v>1.1635794058248838E-2</v>
      </c>
      <c r="I6" s="7">
        <f>$B6 * IFERROR(VLOOKUP("electricity|NOx|Asthma symptoms cough", US_national_yearly!$D:$AM, 17, FALSE) / VLOOKUP("electricity|NOx|Asthma symptoms cough", US_national_yearly!$D:$AM, 10, FALSE), 1)</f>
        <v>1.168061387831021E-2</v>
      </c>
      <c r="J6" s="7">
        <f>$B6 * IFERROR(VLOOKUP("electricity|NOx|Asthma symptoms cough", US_national_yearly!$D:$AM, 18, FALSE) / VLOOKUP("electricity|NOx|Asthma symptoms cough", US_national_yearly!$D:$AM, 10, FALSE), 1)</f>
        <v>1.1725433698371583E-2</v>
      </c>
      <c r="K6" s="7">
        <f>$B6 * IFERROR(VLOOKUP("electricity|NOx|Asthma symptoms cough", US_national_yearly!$D:$AM, 19, FALSE) / VLOOKUP("electricity|NOx|Asthma symptoms cough", US_national_yearly!$D:$AM, 10, FALSE), 1)</f>
        <v>1.1770253518432958E-2</v>
      </c>
      <c r="L6" s="7">
        <f>$B6 * IFERROR(VLOOKUP("electricity|NOx|Asthma symptoms cough", US_national_yearly!$D:$AM, 20, FALSE) / VLOOKUP("electricity|NOx|Asthma symptoms cough", US_national_yearly!$D:$AM, 10, FALSE), 1)</f>
        <v>1.181507333849433E-2</v>
      </c>
      <c r="M6" s="7">
        <f>$B6 * IFERROR(VLOOKUP("electricity|NOx|Asthma symptoms cough", US_national_yearly!$D:$AM, 21, FALSE) / VLOOKUP("electricity|NOx|Asthma symptoms cough", US_national_yearly!$D:$AM, 10, FALSE), 1)</f>
        <v>1.1859893158555707E-2</v>
      </c>
      <c r="N6" s="7">
        <f>$B6 * IFERROR(VLOOKUP("electricity|NOx|Asthma symptoms cough", US_national_yearly!$D:$AM, 22, FALSE) / VLOOKUP("electricity|NOx|Asthma symptoms cough", US_national_yearly!$D:$AM, 10, FALSE), 1)</f>
        <v>1.1909553145855825E-2</v>
      </c>
      <c r="O6" s="7">
        <f>$B6 * IFERROR(VLOOKUP("electricity|NOx|Asthma symptoms cough", US_national_yearly!$D:$AM, 23, FALSE) / VLOOKUP("electricity|NOx|Asthma symptoms cough", US_national_yearly!$D:$AM, 10, FALSE), 1)</f>
        <v>1.195921313315595E-2</v>
      </c>
      <c r="P6" s="7">
        <f>$B6 * IFERROR(VLOOKUP("electricity|NOx|Asthma symptoms cough", US_national_yearly!$D:$AM, 24, FALSE) / VLOOKUP("electricity|NOx|Asthma symptoms cough", US_national_yearly!$D:$AM, 10, FALSE), 1)</f>
        <v>1.2008873120456069E-2</v>
      </c>
      <c r="Q6" s="7">
        <f>$B6 * IFERROR(VLOOKUP("electricity|NOx|Asthma symptoms cough", US_national_yearly!$D:$AM, 25, FALSE) / VLOOKUP("electricity|NOx|Asthma symptoms cough", US_national_yearly!$D:$AM, 10, FALSE), 1)</f>
        <v>1.2058533107756191E-2</v>
      </c>
      <c r="R6" s="7">
        <f>$B6 * IFERROR(VLOOKUP("electricity|NOx|Asthma symptoms cough", US_national_yearly!$D:$AM, 26, FALSE) / VLOOKUP("electricity|NOx|Asthma symptoms cough", US_national_yearly!$D:$AM, 10, FALSE), 1)</f>
        <v>1.2108193095056312E-2</v>
      </c>
      <c r="S6" s="7">
        <f>$B6 * IFERROR(VLOOKUP("electricity|NOx|Asthma symptoms cough", US_national_yearly!$D:$AM, 27, FALSE) / VLOOKUP("electricity|NOx|Asthma symptoms cough", US_national_yearly!$D:$AM, 10, FALSE), 1)</f>
        <v>1.2170148502297137E-2</v>
      </c>
      <c r="T6" s="7">
        <f>$B6 * IFERROR(VLOOKUP("electricity|NOx|Asthma symptoms cough", US_national_yearly!$D:$AM, 28, FALSE) / VLOOKUP("electricity|NOx|Asthma symptoms cough", US_national_yearly!$D:$AM, 10, FALSE), 1)</f>
        <v>1.223210390953796E-2</v>
      </c>
      <c r="U6" s="7">
        <f>$B6 * IFERROR(VLOOKUP("electricity|NOx|Asthma symptoms cough", US_national_yearly!$D:$AM, 29, FALSE) / VLOOKUP("electricity|NOx|Asthma symptoms cough", US_national_yearly!$D:$AM, 10, FALSE), 1)</f>
        <v>1.2294059316778787E-2</v>
      </c>
      <c r="V6" s="7">
        <f>$B6 * IFERROR(VLOOKUP("electricity|NOx|Asthma symptoms cough", US_national_yearly!$D:$AM, 30, FALSE) / VLOOKUP("electricity|NOx|Asthma symptoms cough", US_national_yearly!$D:$AM, 10, FALSE), 1)</f>
        <v>1.2356014724019608E-2</v>
      </c>
      <c r="W6" s="7">
        <f>$B6 * IFERROR(VLOOKUP("electricity|NOx|Asthma symptoms cough", US_national_yearly!$D:$AM, 31, FALSE) / VLOOKUP("electricity|NOx|Asthma symptoms cough", US_national_yearly!$D:$AM, 10, FALSE), 1)</f>
        <v>1.2417970131260433E-2</v>
      </c>
      <c r="X6" s="7">
        <f>$B6 * IFERROR(VLOOKUP("electricity|NOx|Asthma symptoms cough", US_national_yearly!$D:$AM, 32, FALSE) / VLOOKUP("electricity|NOx|Asthma symptoms cough", US_national_yearly!$D:$AM, 10, FALSE), 1)</f>
        <v>1.2475050061514573E-2</v>
      </c>
      <c r="Y6" s="7">
        <f>$B6 * IFERROR(VLOOKUP("electricity|NOx|Asthma symptoms cough", US_national_yearly!$D:$AM, 33, FALSE) / VLOOKUP("electricity|NOx|Asthma symptoms cough", US_national_yearly!$D:$AM, 10, FALSE), 1)</f>
        <v>1.2532129991768715E-2</v>
      </c>
      <c r="Z6" s="7">
        <f>$B6 * IFERROR(VLOOKUP("electricity|NOx|Asthma symptoms cough", US_national_yearly!$D:$AM, 34, FALSE) / VLOOKUP("electricity|NOx|Asthma symptoms cough", US_national_yearly!$D:$AM, 10, FALSE), 1)</f>
        <v>1.2589209922022856E-2</v>
      </c>
      <c r="AA6" s="7">
        <f>$B6 * IFERROR(VLOOKUP("electricity|NOx|Asthma symptoms cough", US_national_yearly!$D:$AM, 35, FALSE) / VLOOKUP("electricity|NOx|Asthma symptoms cough", US_national_yearly!$D:$AM, 10, FALSE), 1)</f>
        <v>1.2646289852276995E-2</v>
      </c>
      <c r="AB6" s="7">
        <f>$B6 * IFERROR(VLOOKUP("electricity|NOx|Asthma symptoms cough", US_national_yearly!$D:$AM, 36, FALSE) / VLOOKUP("electricity|NOx|Asthma symptoms cough", US_national_yearly!$D:$AM, 10, FALSE), 1)</f>
        <v>1.2703369782531136E-2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1.4545671795911918E-2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1.4745365410055108E-2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1.4945059024198301E-2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1.5144752638341493E-2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1.5344446252484684E-2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1.5506807748779166E-2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1.5669169245073646E-2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1.5729525189496572E-2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1.5789881133919492E-2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1.5850237078342416E-2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1.5910593022765335E-2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1.5970948967188259E-2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1.6037822850997335E-2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1.6104696734806419E-2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1.6171570618615495E-2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1.6238444502424575E-2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1.6305318386233655E-2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1.6388749714775282E-2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1.6472181043316908E-2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1.6555612371858534E-2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1.6639043700400161E-2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1.6722475028941787E-2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1.679934086879958E-2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1.6876206708657374E-2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1.6953072548515167E-2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1.7029938388372957E-2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1.7106804228230754E-2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2.2223704920913384E-2</v>
      </c>
      <c r="C8" s="7">
        <f>$B8 * IFERROR(VLOOKUP("electricity|NOx|Asthma symptoms wheeze", US_national_yearly!$D:$AM, 11, FALSE) / VLOOKUP("electricity|NOx|Asthma symptoms wheeze", US_national_yearly!$D:$AM, 10, FALSE), 1)</f>
        <v>2.2528808186317941E-2</v>
      </c>
      <c r="D8" s="7">
        <f>$B8 * IFERROR(VLOOKUP("electricity|NOx|Asthma symptoms wheeze", US_national_yearly!$D:$AM, 12, FALSE) / VLOOKUP("electricity|NOx|Asthma symptoms wheeze", US_national_yearly!$D:$AM, 10, FALSE), 1)</f>
        <v>2.2833911451722498E-2</v>
      </c>
      <c r="E8" s="7">
        <f>$B8 * IFERROR(VLOOKUP("electricity|NOx|Asthma symptoms wheeze", US_national_yearly!$D:$AM, 13, FALSE) / VLOOKUP("electricity|NOx|Asthma symptoms wheeze", US_national_yearly!$D:$AM, 10, FALSE), 1)</f>
        <v>2.3139014717127055E-2</v>
      </c>
      <c r="F8" s="7">
        <f>$B8 * IFERROR(VLOOKUP("electricity|NOx|Asthma symptoms wheeze", US_national_yearly!$D:$AM, 14, FALSE) / VLOOKUP("electricity|NOx|Asthma symptoms wheeze", US_national_yearly!$D:$AM, 10, FALSE), 1)</f>
        <v>2.3444117982531616E-2</v>
      </c>
      <c r="G8" s="7">
        <f>$B8 * IFERROR(VLOOKUP("electricity|NOx|Asthma symptoms wheeze", US_national_yearly!$D:$AM, 15, FALSE) / VLOOKUP("electricity|NOx|Asthma symptoms wheeze", US_national_yearly!$D:$AM, 10, FALSE), 1)</f>
        <v>2.3692183114509179E-2</v>
      </c>
      <c r="H8" s="7">
        <f>$B8 * IFERROR(VLOOKUP("electricity|NOx|Asthma symptoms wheeze", US_national_yearly!$D:$AM, 16, FALSE) / VLOOKUP("electricity|NOx|Asthma symptoms wheeze", US_national_yearly!$D:$AM, 10, FALSE), 1)</f>
        <v>2.3940248246486748E-2</v>
      </c>
      <c r="I8" s="7">
        <f>$B8 * IFERROR(VLOOKUP("electricity|NOx|Asthma symptoms wheeze", US_national_yearly!$D:$AM, 17, FALSE) / VLOOKUP("electricity|NOx|Asthma symptoms wheeze", US_national_yearly!$D:$AM, 10, FALSE), 1)</f>
        <v>2.403246349293206E-2</v>
      </c>
      <c r="J8" s="7">
        <f>$B8 * IFERROR(VLOOKUP("electricity|NOx|Asthma symptoms wheeze", US_national_yearly!$D:$AM, 18, FALSE) / VLOOKUP("electricity|NOx|Asthma symptoms wheeze", US_national_yearly!$D:$AM, 10, FALSE), 1)</f>
        <v>2.4124678739377368E-2</v>
      </c>
      <c r="K8" s="7">
        <f>$B8 * IFERROR(VLOOKUP("electricity|NOx|Asthma symptoms wheeze", US_national_yearly!$D:$AM, 19, FALSE) / VLOOKUP("electricity|NOx|Asthma symptoms wheeze", US_national_yearly!$D:$AM, 10, FALSE), 1)</f>
        <v>2.4216893985822687E-2</v>
      </c>
      <c r="L8" s="7">
        <f>$B8 * IFERROR(VLOOKUP("electricity|NOx|Asthma symptoms wheeze", US_national_yearly!$D:$AM, 20, FALSE) / VLOOKUP("electricity|NOx|Asthma symptoms wheeze", US_national_yearly!$D:$AM, 10, FALSE), 1)</f>
        <v>2.4309109232267999E-2</v>
      </c>
      <c r="M8" s="7">
        <f>$B8 * IFERROR(VLOOKUP("electricity|NOx|Asthma symptoms wheeze", US_national_yearly!$D:$AM, 21, FALSE) / VLOOKUP("electricity|NOx|Asthma symptoms wheeze", US_national_yearly!$D:$AM, 10, FALSE), 1)</f>
        <v>2.4401324478713307E-2</v>
      </c>
      <c r="N8" s="7">
        <f>$B8 * IFERROR(VLOOKUP("electricity|NOx|Asthma symptoms wheeze", US_national_yearly!$D:$AM, 22, FALSE) / VLOOKUP("electricity|NOx|Asthma symptoms wheeze", US_national_yearly!$D:$AM, 10, FALSE), 1)</f>
        <v>2.45034982036769E-2</v>
      </c>
      <c r="O8" s="7">
        <f>$B8 * IFERROR(VLOOKUP("electricity|NOx|Asthma symptoms wheeze", US_national_yearly!$D:$AM, 23, FALSE) / VLOOKUP("electricity|NOx|Asthma symptoms wheeze", US_national_yearly!$D:$AM, 10, FALSE), 1)</f>
        <v>2.46056719286405E-2</v>
      </c>
      <c r="P8" s="7">
        <f>$B8 * IFERROR(VLOOKUP("electricity|NOx|Asthma symptoms wheeze", US_national_yearly!$D:$AM, 24, FALSE) / VLOOKUP("electricity|NOx|Asthma symptoms wheeze", US_national_yearly!$D:$AM, 10, FALSE), 1)</f>
        <v>2.4707845653604101E-2</v>
      </c>
      <c r="Q8" s="7">
        <f>$B8 * IFERROR(VLOOKUP("electricity|NOx|Asthma symptoms wheeze", US_national_yearly!$D:$AM, 25, FALSE) / VLOOKUP("electricity|NOx|Asthma symptoms wheeze", US_national_yearly!$D:$AM, 10, FALSE), 1)</f>
        <v>2.4810019378567694E-2</v>
      </c>
      <c r="R8" s="7">
        <f>$B8 * IFERROR(VLOOKUP("electricity|NOx|Asthma symptoms wheeze", US_national_yearly!$D:$AM, 26, FALSE) / VLOOKUP("electricity|NOx|Asthma symptoms wheeze", US_national_yearly!$D:$AM, 10, FALSE), 1)</f>
        <v>2.4912193103531287E-2</v>
      </c>
      <c r="S8" s="7">
        <f>$B8 * IFERROR(VLOOKUP("electricity|NOx|Asthma symptoms wheeze", US_national_yearly!$D:$AM, 27, FALSE) / VLOOKUP("electricity|NOx|Asthma symptoms wheeze", US_national_yearly!$D:$AM, 10, FALSE), 1)</f>
        <v>2.503966423442475E-2</v>
      </c>
      <c r="T8" s="7">
        <f>$B8 * IFERROR(VLOOKUP("electricity|NOx|Asthma symptoms wheeze", US_national_yearly!$D:$AM, 28, FALSE) / VLOOKUP("electricity|NOx|Asthma symptoms wheeze", US_national_yearly!$D:$AM, 10, FALSE), 1)</f>
        <v>2.5167135365318213E-2</v>
      </c>
      <c r="U8" s="7">
        <f>$B8 * IFERROR(VLOOKUP("electricity|NOx|Asthma symptoms wheeze", US_national_yearly!$D:$AM, 29, FALSE) / VLOOKUP("electricity|NOx|Asthma symptoms wheeze", US_national_yearly!$D:$AM, 10, FALSE), 1)</f>
        <v>2.529460649621167E-2</v>
      </c>
      <c r="V8" s="7">
        <f>$B8 * IFERROR(VLOOKUP("electricity|NOx|Asthma symptoms wheeze", US_national_yearly!$D:$AM, 30, FALSE) / VLOOKUP("electricity|NOx|Asthma symptoms wheeze", US_national_yearly!$D:$AM, 10, FALSE), 1)</f>
        <v>2.5422077627105133E-2</v>
      </c>
      <c r="W8" s="7">
        <f>$B8 * IFERROR(VLOOKUP("electricity|NOx|Asthma symptoms wheeze", US_national_yearly!$D:$AM, 31, FALSE) / VLOOKUP("electricity|NOx|Asthma symptoms wheeze", US_national_yearly!$D:$AM, 10, FALSE), 1)</f>
        <v>2.5549548757998593E-2</v>
      </c>
      <c r="X8" s="7">
        <f>$B8 * IFERROR(VLOOKUP("electricity|NOx|Asthma symptoms wheeze", US_national_yearly!$D:$AM, 32, FALSE) / VLOOKUP("electricity|NOx|Asthma symptoms wheeze", US_national_yearly!$D:$AM, 10, FALSE), 1)</f>
        <v>2.5666988761763338E-2</v>
      </c>
      <c r="Y8" s="7">
        <f>$B8 * IFERROR(VLOOKUP("electricity|NOx|Asthma symptoms wheeze", US_national_yearly!$D:$AM, 33, FALSE) / VLOOKUP("electricity|NOx|Asthma symptoms wheeze", US_national_yearly!$D:$AM, 10, FALSE), 1)</f>
        <v>2.5784428765528087E-2</v>
      </c>
      <c r="Z8" s="7">
        <f>$B8 * IFERROR(VLOOKUP("electricity|NOx|Asthma symptoms wheeze", US_national_yearly!$D:$AM, 34, FALSE) / VLOOKUP("electricity|NOx|Asthma symptoms wheeze", US_national_yearly!$D:$AM, 10, FALSE), 1)</f>
        <v>2.5901868769292825E-2</v>
      </c>
      <c r="AA8" s="7">
        <f>$B8 * IFERROR(VLOOKUP("electricity|NOx|Asthma symptoms wheeze", US_national_yearly!$D:$AM, 35, FALSE) / VLOOKUP("electricity|NOx|Asthma symptoms wheeze", US_national_yearly!$D:$AM, 10, FALSE), 1)</f>
        <v>2.6019308773057571E-2</v>
      </c>
      <c r="AB8" s="7">
        <f>$B8 * IFERROR(VLOOKUP("electricity|NOx|Asthma symptoms wheeze", US_national_yearly!$D:$AM, 36, FALSE) / VLOOKUP("electricity|NOx|Asthma symptoms wheeze", US_national_yearly!$D:$AM, 10, FALSE), 1)</f>
        <v>2.6136748776822316E-2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2.596539209768616E-4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2.6630409157670925E-4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2.7295426217655694E-4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2.7960443277640459E-4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2.8625460337625217E-4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2.9265641859943953E-4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2.9905823382262689E-4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3.0456326824760343E-4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3.1006830267257997E-4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3.1557333709755661E-4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3.2107837152253315E-4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3.2658340594750979E-4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3.3035607516616807E-4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3.3412874438482634E-4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3.3790141360348468E-4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3.4167408282214295E-4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3.4544675204080123E-4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3.4759540752101267E-4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3.4974406300122411E-4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3.518927184814355E-4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3.5404137396164689E-4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3.5619002944185828E-4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3.5775284453545066E-4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3.5931565962904293E-4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3.608784747226353E-4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3.6244128981622762E-4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3.6400410490981989E-4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8.9616205304920179E-4</v>
      </c>
      <c r="C13" s="7">
        <f>$B13 * IFERROR(VLOOKUP("electricity|NOx|Non-fatal heart attacks", US_national_yearly!$D:$AM, 11, FALSE) / VLOOKUP("electricity|NOx|Non-fatal heart attacks", US_national_yearly!$D:$AM, 10, FALSE), 1)</f>
        <v>9.2187943509054705E-4</v>
      </c>
      <c r="D13" s="7">
        <f>$B13 * IFERROR(VLOOKUP("electricity|NOx|Non-fatal heart attacks", US_national_yearly!$D:$AM, 12, FALSE) / VLOOKUP("electricity|NOx|Non-fatal heart attacks", US_national_yearly!$D:$AM, 10, FALSE), 1)</f>
        <v>9.475968171318923E-4</v>
      </c>
      <c r="E13" s="7">
        <f>$B13 * IFERROR(VLOOKUP("electricity|NOx|Non-fatal heart attacks", US_national_yearly!$D:$AM, 13, FALSE) / VLOOKUP("electricity|NOx|Non-fatal heart attacks", US_national_yearly!$D:$AM, 10, FALSE), 1)</f>
        <v>9.7331419917323744E-4</v>
      </c>
      <c r="F13" s="7">
        <f>$B13 * IFERROR(VLOOKUP("electricity|NOx|Non-fatal heart attacks", US_national_yearly!$D:$AM, 14, FALSE) / VLOOKUP("electricity|NOx|Non-fatal heart attacks", US_national_yearly!$D:$AM, 10, FALSE), 1)</f>
        <v>9.9903158121458302E-4</v>
      </c>
      <c r="G13" s="7">
        <f>$B13 * IFERROR(VLOOKUP("electricity|NOx|Non-fatal heart attacks", US_national_yearly!$D:$AM, 15, FALSE) / VLOOKUP("electricity|NOx|Non-fatal heart attacks", US_national_yearly!$D:$AM, 10, FALSE), 1)</f>
        <v>1.0232583418309357E-3</v>
      </c>
      <c r="H13" s="7">
        <f>$B13 * IFERROR(VLOOKUP("electricity|NOx|Non-fatal heart attacks", US_national_yearly!$D:$AM, 16, FALSE) / VLOOKUP("electricity|NOx|Non-fatal heart attacks", US_national_yearly!$D:$AM, 10, FALSE), 1)</f>
        <v>1.0474851024472884E-3</v>
      </c>
      <c r="I13" s="7">
        <f>$B13 * IFERROR(VLOOKUP("electricity|NOx|Non-fatal heart attacks", US_national_yearly!$D:$AM, 17, FALSE) / VLOOKUP("electricity|NOx|Non-fatal heart attacks", US_national_yearly!$D:$AM, 10, FALSE), 1)</f>
        <v>1.0669125134568258E-3</v>
      </c>
      <c r="J13" s="7">
        <f>$B13 * IFERROR(VLOOKUP("electricity|NOx|Non-fatal heart attacks", US_national_yearly!$D:$AM, 18, FALSE) / VLOOKUP("electricity|NOx|Non-fatal heart attacks", US_national_yearly!$D:$AM, 10, FALSE), 1)</f>
        <v>1.0863399244663635E-3</v>
      </c>
      <c r="K13" s="7">
        <f>$B13 * IFERROR(VLOOKUP("electricity|NOx|Non-fatal heart attacks", US_national_yearly!$D:$AM, 19, FALSE) / VLOOKUP("electricity|NOx|Non-fatal heart attacks", US_national_yearly!$D:$AM, 10, FALSE), 1)</f>
        <v>1.1057673354759E-3</v>
      </c>
      <c r="L13" s="7">
        <f>$B13 * IFERROR(VLOOKUP("electricity|NOx|Non-fatal heart attacks", US_national_yearly!$D:$AM, 20, FALSE) / VLOOKUP("electricity|NOx|Non-fatal heart attacks", US_national_yearly!$D:$AM, 10, FALSE), 1)</f>
        <v>1.1251947464854374E-3</v>
      </c>
      <c r="M13" s="7">
        <f>$B13 * IFERROR(VLOOKUP("electricity|NOx|Non-fatal heart attacks", US_national_yearly!$D:$AM, 21, FALSE) / VLOOKUP("electricity|NOx|Non-fatal heart attacks", US_national_yearly!$D:$AM, 10, FALSE), 1)</f>
        <v>1.1446221574949753E-3</v>
      </c>
      <c r="N13" s="7">
        <f>$B13 * IFERROR(VLOOKUP("electricity|NOx|Non-fatal heart attacks", US_national_yearly!$D:$AM, 22, FALSE) / VLOOKUP("electricity|NOx|Non-fatal heart attacks", US_national_yearly!$D:$AM, 10, FALSE), 1)</f>
        <v>1.156603445516591E-3</v>
      </c>
      <c r="O13" s="7">
        <f>$B13 * IFERROR(VLOOKUP("electricity|NOx|Non-fatal heart attacks", US_national_yearly!$D:$AM, 23, FALSE) / VLOOKUP("electricity|NOx|Non-fatal heart attacks", US_national_yearly!$D:$AM, 10, FALSE), 1)</f>
        <v>1.1685847335382075E-3</v>
      </c>
      <c r="P13" s="7">
        <f>$B13 * IFERROR(VLOOKUP("electricity|NOx|Non-fatal heart attacks", US_national_yearly!$D:$AM, 24, FALSE) / VLOOKUP("electricity|NOx|Non-fatal heart attacks", US_national_yearly!$D:$AM, 10, FALSE), 1)</f>
        <v>1.1805660215598235E-3</v>
      </c>
      <c r="Q13" s="7">
        <f>$B13 * IFERROR(VLOOKUP("electricity|NOx|Non-fatal heart attacks", US_national_yearly!$D:$AM, 25, FALSE) / VLOOKUP("electricity|NOx|Non-fatal heart attacks", US_national_yearly!$D:$AM, 10, FALSE), 1)</f>
        <v>1.1925473095814397E-3</v>
      </c>
      <c r="R13" s="7">
        <f>$B13 * IFERROR(VLOOKUP("electricity|NOx|Non-fatal heart attacks", US_national_yearly!$D:$AM, 26, FALSE) / VLOOKUP("electricity|NOx|Non-fatal heart attacks", US_national_yearly!$D:$AM, 10, FALSE), 1)</f>
        <v>1.2045285976030556E-3</v>
      </c>
      <c r="S13" s="7">
        <f>$B13 * IFERROR(VLOOKUP("electricity|NOx|Non-fatal heart attacks", US_national_yearly!$D:$AM, 27, FALSE) / VLOOKUP("electricity|NOx|Non-fatal heart attacks", US_national_yearly!$D:$AM, 10, FALSE), 1)</f>
        <v>1.2103826150145515E-3</v>
      </c>
      <c r="T13" s="7">
        <f>$B13 * IFERROR(VLOOKUP("electricity|NOx|Non-fatal heart attacks", US_national_yearly!$D:$AM, 28, FALSE) / VLOOKUP("electricity|NOx|Non-fatal heart attacks", US_national_yearly!$D:$AM, 10, FALSE), 1)</f>
        <v>1.216236632426047E-3</v>
      </c>
      <c r="U13" s="7">
        <f>$B13 * IFERROR(VLOOKUP("electricity|NOx|Non-fatal heart attacks", US_national_yearly!$D:$AM, 29, FALSE) / VLOOKUP("electricity|NOx|Non-fatal heart attacks", US_national_yearly!$D:$AM, 10, FALSE), 1)</f>
        <v>1.222090649837543E-3</v>
      </c>
      <c r="V13" s="7">
        <f>$B13 * IFERROR(VLOOKUP("electricity|NOx|Non-fatal heart attacks", US_national_yearly!$D:$AM, 30, FALSE) / VLOOKUP("electricity|NOx|Non-fatal heart attacks", US_national_yearly!$D:$AM, 10, FALSE), 1)</f>
        <v>1.2279446672490387E-3</v>
      </c>
      <c r="W13" s="7">
        <f>$B13 * IFERROR(VLOOKUP("electricity|NOx|Non-fatal heart attacks", US_national_yearly!$D:$AM, 31, FALSE) / VLOOKUP("electricity|NOx|Non-fatal heart attacks", US_national_yearly!$D:$AM, 10, FALSE), 1)</f>
        <v>1.2337986846605346E-3</v>
      </c>
      <c r="X13" s="7">
        <f>$B13 * IFERROR(VLOOKUP("electricity|NOx|Non-fatal heart attacks", US_national_yearly!$D:$AM, 32, FALSE) / VLOOKUP("electricity|NOx|Non-fatal heart attacks", US_national_yearly!$D:$AM, 10, FALSE), 1)</f>
        <v>1.2378846332425032E-3</v>
      </c>
      <c r="Y13" s="7">
        <f>$B13 * IFERROR(VLOOKUP("electricity|NOx|Non-fatal heart attacks", US_national_yearly!$D:$AM, 33, FALSE) / VLOOKUP("electricity|NOx|Non-fatal heart attacks", US_national_yearly!$D:$AM, 10, FALSE), 1)</f>
        <v>1.2419705818244723E-3</v>
      </c>
      <c r="Z13" s="7">
        <f>$B13 * IFERROR(VLOOKUP("electricity|NOx|Non-fatal heart attacks", US_national_yearly!$D:$AM, 34, FALSE) / VLOOKUP("electricity|NOx|Non-fatal heart attacks", US_national_yearly!$D:$AM, 10, FALSE), 1)</f>
        <v>1.2460565304064409E-3</v>
      </c>
      <c r="AA13" s="7">
        <f>$B13 * IFERROR(VLOOKUP("electricity|NOx|Non-fatal heart attacks", US_national_yearly!$D:$AM, 35, FALSE) / VLOOKUP("electricity|NOx|Non-fatal heart attacks", US_national_yearly!$D:$AM, 10, FALSE), 1)</f>
        <v>1.2501424789884096E-3</v>
      </c>
      <c r="AB13" s="7">
        <f>$B13 * IFERROR(VLOOKUP("electricity|NOx|Non-fatal heart attacks", US_national_yearly!$D:$AM, 36, FALSE) / VLOOKUP("electricity|NOx|Non-fatal heart attacks", US_national_yearly!$D:$AM, 10, FALSE), 1)</f>
        <v>1.2542284275703787E-3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1.3404999331476746</v>
      </c>
      <c r="C14" s="7">
        <f>$B14 * IFERROR(VLOOKUP("electricity|NOx|Minor restricted activity days", US_national_yearly!$D:$AM, 11, FALSE) / VLOOKUP("electricity|NOx|Minor restricted activity days", US_national_yearly!$D:$AM, 10, FALSE), 1)</f>
        <v>1.342555212230423</v>
      </c>
      <c r="D14" s="7">
        <f>$B14 * IFERROR(VLOOKUP("electricity|NOx|Minor restricted activity days", US_national_yearly!$D:$AM, 12, FALSE) / VLOOKUP("electricity|NOx|Minor restricted activity days", US_national_yearly!$D:$AM, 10, FALSE), 1)</f>
        <v>1.3446104913131713</v>
      </c>
      <c r="E14" s="7">
        <f>$B14 * IFERROR(VLOOKUP("electricity|NOx|Minor restricted activity days", US_national_yearly!$D:$AM, 13, FALSE) / VLOOKUP("electricity|NOx|Minor restricted activity days", US_national_yearly!$D:$AM, 10, FALSE), 1)</f>
        <v>1.3466657703959195</v>
      </c>
      <c r="F14" s="7">
        <f>$B14 * IFERROR(VLOOKUP("electricity|NOx|Minor restricted activity days", US_national_yearly!$D:$AM, 14, FALSE) / VLOOKUP("electricity|NOx|Minor restricted activity days", US_national_yearly!$D:$AM, 10, FALSE), 1)</f>
        <v>1.3487210494786681</v>
      </c>
      <c r="G14" s="7">
        <f>$B14 * IFERROR(VLOOKUP("electricity|NOx|Minor restricted activity days", US_national_yearly!$D:$AM, 15, FALSE) / VLOOKUP("electricity|NOx|Minor restricted activity days", US_national_yearly!$D:$AM, 10, FALSE), 1)</f>
        <v>1.3523061744319931</v>
      </c>
      <c r="H14" s="7">
        <f>$B14 * IFERROR(VLOOKUP("electricity|NOx|Minor restricted activity days", US_national_yearly!$D:$AM, 16, FALSE) / VLOOKUP("electricity|NOx|Minor restricted activity days", US_national_yearly!$D:$AM, 10, FALSE), 1)</f>
        <v>1.3558912993853174</v>
      </c>
      <c r="I14" s="7">
        <f>$B14 * IFERROR(VLOOKUP("electricity|NOx|Minor restricted activity days", US_national_yearly!$D:$AM, 17, FALSE) / VLOOKUP("electricity|NOx|Minor restricted activity days", US_national_yearly!$D:$AM, 10, FALSE), 1)</f>
        <v>1.3629844448264699</v>
      </c>
      <c r="J14" s="7">
        <f>$B14 * IFERROR(VLOOKUP("electricity|NOx|Minor restricted activity days", US_national_yearly!$D:$AM, 18, FALSE) / VLOOKUP("electricity|NOx|Minor restricted activity days", US_national_yearly!$D:$AM, 10, FALSE), 1)</f>
        <v>1.3700775902676214</v>
      </c>
      <c r="K14" s="7">
        <f>$B14 * IFERROR(VLOOKUP("electricity|NOx|Minor restricted activity days", US_national_yearly!$D:$AM, 19, FALSE) / VLOOKUP("electricity|NOx|Minor restricted activity days", US_national_yearly!$D:$AM, 10, FALSE), 1)</f>
        <v>1.3771707357087737</v>
      </c>
      <c r="L14" s="7">
        <f>$B14 * IFERROR(VLOOKUP("electricity|NOx|Minor restricted activity days", US_national_yearly!$D:$AM, 20, FALSE) / VLOOKUP("electricity|NOx|Minor restricted activity days", US_national_yearly!$D:$AM, 10, FALSE), 1)</f>
        <v>1.3842638811499255</v>
      </c>
      <c r="M14" s="7">
        <f>$B14 * IFERROR(VLOOKUP("electricity|NOx|Minor restricted activity days", US_national_yearly!$D:$AM, 21, FALSE) / VLOOKUP("electricity|NOx|Minor restricted activity days", US_national_yearly!$D:$AM, 10, FALSE), 1)</f>
        <v>1.3913570265910777</v>
      </c>
      <c r="N14" s="7">
        <f>$B14 * IFERROR(VLOOKUP("electricity|NOx|Minor restricted activity days", US_national_yearly!$D:$AM, 22, FALSE) / VLOOKUP("electricity|NOx|Minor restricted activity days", US_national_yearly!$D:$AM, 10, FALSE), 1)</f>
        <v>1.4016143108675696</v>
      </c>
      <c r="O14" s="7">
        <f>$B14 * IFERROR(VLOOKUP("electricity|NOx|Minor restricted activity days", US_national_yearly!$D:$AM, 23, FALSE) / VLOOKUP("electricity|NOx|Minor restricted activity days", US_national_yearly!$D:$AM, 10, FALSE), 1)</f>
        <v>1.4118715951440612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1.4221288794205527</v>
      </c>
      <c r="Q14" s="7">
        <f>$B14 * IFERROR(VLOOKUP("electricity|NOx|Minor restricted activity days", US_national_yearly!$D:$AM, 25, FALSE) / VLOOKUP("electricity|NOx|Minor restricted activity days", US_national_yearly!$D:$AM, 10, FALSE), 1)</f>
        <v>1.4323861636970445</v>
      </c>
      <c r="R14" s="7">
        <f>$B14 * IFERROR(VLOOKUP("electricity|NOx|Minor restricted activity days", US_national_yearly!$D:$AM, 26, FALSE) / VLOOKUP("electricity|NOx|Minor restricted activity days", US_national_yearly!$D:$AM, 10, FALSE), 1)</f>
        <v>1.4426434479735364</v>
      </c>
      <c r="S14" s="7">
        <f>$B14 * IFERROR(VLOOKUP("electricity|NOx|Minor restricted activity days", US_national_yearly!$D:$AM, 27, FALSE) / VLOOKUP("electricity|NOx|Minor restricted activity days", US_national_yearly!$D:$AM, 10, FALSE), 1)</f>
        <v>1.4529783011407891</v>
      </c>
      <c r="T14" s="7">
        <f>$B14 * IFERROR(VLOOKUP("electricity|NOx|Minor restricted activity days", US_national_yearly!$D:$AM, 28, FALSE) / VLOOKUP("electricity|NOx|Minor restricted activity days", US_national_yearly!$D:$AM, 10, FALSE), 1)</f>
        <v>1.4633131543080415</v>
      </c>
      <c r="U14" s="7">
        <f>$B14 * IFERROR(VLOOKUP("electricity|NOx|Minor restricted activity days", US_national_yearly!$D:$AM, 29, FALSE) / VLOOKUP("electricity|NOx|Minor restricted activity days", US_national_yearly!$D:$AM, 10, FALSE), 1)</f>
        <v>1.4736480074752945</v>
      </c>
      <c r="V14" s="7">
        <f>$B14 * IFERROR(VLOOKUP("electricity|NOx|Minor restricted activity days", US_national_yearly!$D:$AM, 30, FALSE) / VLOOKUP("electricity|NOx|Minor restricted activity days", US_national_yearly!$D:$AM, 10, FALSE), 1)</f>
        <v>1.4839828606425471</v>
      </c>
      <c r="W14" s="7">
        <f>$B14 * IFERROR(VLOOKUP("electricity|NOx|Minor restricted activity days", US_national_yearly!$D:$AM, 31, FALSE) / VLOOKUP("electricity|NOx|Minor restricted activity days", US_national_yearly!$D:$AM, 10, FALSE), 1)</f>
        <v>1.4943177138097996</v>
      </c>
      <c r="X14" s="7">
        <f>$B14 * IFERROR(VLOOKUP("electricity|NOx|Minor restricted activity days", US_national_yearly!$D:$AM, 32, FALSE) / VLOOKUP("electricity|NOx|Minor restricted activity days", US_national_yearly!$D:$AM, 10, FALSE), 1)</f>
        <v>1.5030579368336785</v>
      </c>
      <c r="Y14" s="7">
        <f>$B14 * IFERROR(VLOOKUP("electricity|NOx|Minor restricted activity days", US_national_yearly!$D:$AM, 33, FALSE) / VLOOKUP("electricity|NOx|Minor restricted activity days", US_national_yearly!$D:$AM, 10, FALSE), 1)</f>
        <v>1.5117981598575565</v>
      </c>
      <c r="Z14" s="7">
        <f>$B14 * IFERROR(VLOOKUP("electricity|NOx|Minor restricted activity days", US_national_yearly!$D:$AM, 34, FALSE) / VLOOKUP("electricity|NOx|Minor restricted activity days", US_national_yearly!$D:$AM, 10, FALSE), 1)</f>
        <v>1.5205383828814367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1.5292786059053152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1.5380188289291938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0.22761192778406936</v>
      </c>
      <c r="C15" s="7">
        <f>$B15 * IFERROR(VLOOKUP("electricity|NOx|Work loss days", US_national_yearly!$D:$AM, 11, FALSE) / VLOOKUP("electricity|NOx|Work loss days", US_national_yearly!$D:$AM, 10, FALSE), 1)</f>
        <v>0.22811958373161326</v>
      </c>
      <c r="D15" s="7">
        <f>$B15 * IFERROR(VLOOKUP("electricity|NOx|Work loss days", US_national_yearly!$D:$AM, 12, FALSE) / VLOOKUP("electricity|NOx|Work loss days", US_national_yearly!$D:$AM, 10, FALSE), 1)</f>
        <v>0.22862723967915716</v>
      </c>
      <c r="E15" s="7">
        <f>$B15 * IFERROR(VLOOKUP("electricity|NOx|Work loss days", US_national_yearly!$D:$AM, 13, FALSE) / VLOOKUP("electricity|NOx|Work loss days", US_national_yearly!$D:$AM, 10, FALSE), 1)</f>
        <v>0.22913489562670103</v>
      </c>
      <c r="F15" s="7">
        <f>$B15 * IFERROR(VLOOKUP("electricity|NOx|Work loss days", US_national_yearly!$D:$AM, 14, FALSE) / VLOOKUP("electricity|NOx|Work loss days", US_national_yearly!$D:$AM, 10, FALSE), 1)</f>
        <v>0.22964255157424493</v>
      </c>
      <c r="G15" s="7">
        <f>$B15 * IFERROR(VLOOKUP("electricity|NOx|Work loss days", US_national_yearly!$D:$AM, 15, FALSE) / VLOOKUP("electricity|NOx|Work loss days", US_national_yearly!$D:$AM, 10, FALSE), 1)</f>
        <v>0.23035823008430317</v>
      </c>
      <c r="H15" s="7">
        <f>$B15 * IFERROR(VLOOKUP("electricity|NOx|Work loss days", US_national_yearly!$D:$AM, 16, FALSE) / VLOOKUP("electricity|NOx|Work loss days", US_national_yearly!$D:$AM, 10, FALSE), 1)</f>
        <v>0.23107390859436136</v>
      </c>
      <c r="I15" s="7">
        <f>$B15 * IFERROR(VLOOKUP("electricity|NOx|Work loss days", US_national_yearly!$D:$AM, 17, FALSE) / VLOOKUP("electricity|NOx|Work loss days", US_national_yearly!$D:$AM, 10, FALSE), 1)</f>
        <v>0.23223597837256246</v>
      </c>
      <c r="J15" s="7">
        <f>$B15 * IFERROR(VLOOKUP("electricity|NOx|Work loss days", US_national_yearly!$D:$AM, 18, FALSE) / VLOOKUP("electricity|NOx|Work loss days", US_national_yearly!$D:$AM, 10, FALSE), 1)</f>
        <v>0.23339804815076354</v>
      </c>
      <c r="K15" s="7">
        <f>$B15 * IFERROR(VLOOKUP("electricity|NOx|Work loss days", US_national_yearly!$D:$AM, 19, FALSE) / VLOOKUP("electricity|NOx|Work loss days", US_national_yearly!$D:$AM, 10, FALSE), 1)</f>
        <v>0.23456011792896458</v>
      </c>
      <c r="L15" s="7">
        <f>$B15 * IFERROR(VLOOKUP("electricity|NOx|Work loss days", US_national_yearly!$D:$AM, 20, FALSE) / VLOOKUP("electricity|NOx|Work loss days", US_national_yearly!$D:$AM, 10, FALSE), 1)</f>
        <v>0.23572218770716563</v>
      </c>
      <c r="M15" s="7">
        <f>$B15 * IFERROR(VLOOKUP("electricity|NOx|Work loss days", US_national_yearly!$D:$AM, 21, FALSE) / VLOOKUP("electricity|NOx|Work loss days", US_national_yearly!$D:$AM, 10, FALSE), 1)</f>
        <v>0.23688425748536665</v>
      </c>
      <c r="N15" s="7">
        <f>$B15 * IFERROR(VLOOKUP("electricity|NOx|Work loss days", US_national_yearly!$D:$AM, 22, FALSE) / VLOOKUP("electricity|NOx|Work loss days", US_national_yearly!$D:$AM, 10, FALSE), 1)</f>
        <v>0.23841745639927844</v>
      </c>
      <c r="O15" s="7">
        <f>$B15 * IFERROR(VLOOKUP("electricity|NOx|Work loss days", US_national_yearly!$D:$AM, 23, FALSE) / VLOOKUP("electricity|NOx|Work loss days", US_national_yearly!$D:$AM, 10, FALSE), 1)</f>
        <v>0.23995065531319015</v>
      </c>
      <c r="P15" s="7">
        <f>$B15 * IFERROR(VLOOKUP("electricity|NOx|Work loss days", US_national_yearly!$D:$AM, 24, FALSE) / VLOOKUP("electricity|NOx|Work loss days", US_national_yearly!$D:$AM, 10, FALSE), 1)</f>
        <v>0.24148385422710192</v>
      </c>
      <c r="Q15" s="7">
        <f>$B15 * IFERROR(VLOOKUP("electricity|NOx|Work loss days", US_national_yearly!$D:$AM, 25, FALSE) / VLOOKUP("electricity|NOx|Work loss days", US_national_yearly!$D:$AM, 10, FALSE), 1)</f>
        <v>0.24301705314101368</v>
      </c>
      <c r="R15" s="7">
        <f>$B15 * IFERROR(VLOOKUP("electricity|NOx|Work loss days", US_national_yearly!$D:$AM, 26, FALSE) / VLOOKUP("electricity|NOx|Work loss days", US_national_yearly!$D:$AM, 10, FALSE), 1)</f>
        <v>0.24455025205492534</v>
      </c>
      <c r="S15" s="7">
        <f>$B15 * IFERROR(VLOOKUP("electricity|NOx|Work loss days", US_national_yearly!$D:$AM, 27, FALSE) / VLOOKUP("electricity|NOx|Work loss days", US_national_yearly!$D:$AM, 10, FALSE), 1)</f>
        <v>0.24626839667572825</v>
      </c>
      <c r="T15" s="7">
        <f>$B15 * IFERROR(VLOOKUP("electricity|NOx|Work loss days", US_national_yearly!$D:$AM, 28, FALSE) / VLOOKUP("electricity|NOx|Work loss days", US_national_yearly!$D:$AM, 10, FALSE), 1)</f>
        <v>0.24798654129653111</v>
      </c>
      <c r="U15" s="7">
        <f>$B15 * IFERROR(VLOOKUP("electricity|NOx|Work loss days", US_national_yearly!$D:$AM, 29, FALSE) / VLOOKUP("electricity|NOx|Work loss days", US_national_yearly!$D:$AM, 10, FALSE), 1)</f>
        <v>0.249704685917334</v>
      </c>
      <c r="V15" s="7">
        <f>$B15 * IFERROR(VLOOKUP("electricity|NOx|Work loss days", US_national_yearly!$D:$AM, 30, FALSE) / VLOOKUP("electricity|NOx|Work loss days", US_national_yearly!$D:$AM, 10, FALSE), 1)</f>
        <v>0.25142283053813685</v>
      </c>
      <c r="W15" s="7">
        <f>$B15 * IFERROR(VLOOKUP("electricity|NOx|Work loss days", US_national_yearly!$D:$AM, 31, FALSE) / VLOOKUP("electricity|NOx|Work loss days", US_national_yearly!$D:$AM, 10, FALSE), 1)</f>
        <v>0.25314097515893974</v>
      </c>
      <c r="X15" s="7">
        <f>$B15 * IFERROR(VLOOKUP("electricity|NOx|Work loss days", US_national_yearly!$D:$AM, 32, FALSE) / VLOOKUP("electricity|NOx|Work loss days", US_national_yearly!$D:$AM, 10, FALSE), 1)</f>
        <v>0.25463868926385702</v>
      </c>
      <c r="Y15" s="7">
        <f>$B15 * IFERROR(VLOOKUP("electricity|NOx|Work loss days", US_national_yearly!$D:$AM, 33, FALSE) / VLOOKUP("electricity|NOx|Work loss days", US_national_yearly!$D:$AM, 10, FALSE), 1)</f>
        <v>0.2561364033687743</v>
      </c>
      <c r="Z15" s="7">
        <f>$B15 * IFERROR(VLOOKUP("electricity|NOx|Work loss days", US_national_yearly!$D:$AM, 34, FALSE) / VLOOKUP("electricity|NOx|Work loss days", US_national_yearly!$D:$AM, 10, FALSE), 1)</f>
        <v>0.25763411747369158</v>
      </c>
      <c r="AA15" s="7">
        <f>$B15 * IFERROR(VLOOKUP("electricity|NOx|Work loss days", US_national_yearly!$D:$AM, 35, FALSE) / VLOOKUP("electricity|NOx|Work loss days", US_national_yearly!$D:$AM, 10, FALSE), 1)</f>
        <v>0.25913183157860892</v>
      </c>
      <c r="AB15" s="7">
        <f>$B15 * IFERROR(VLOOKUP("electricity|NOx|Work loss days", US_national_yearly!$D:$AM, 36, FALSE) / VLOOKUP("electricity|NOx|Work loss days", US_national_yearly!$D:$AM, 10, FALSE), 1)</f>
        <v>0.26062954568352614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2.638952413789709E-4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2.7166870676219605E-4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2.7944217214542126E-4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2.8721563752864642E-4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2.9498910291187168E-4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3.0243279957448669E-4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3.0987649623710176E-4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3.1623007345892007E-4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3.2258365068073839E-4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3.2893722790255676E-4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3.3529080512437513E-4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3.4164438234619339E-4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3.4572193109351355E-4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3.4979947984083371E-4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3.5387702858815387E-4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3.5795457733547403E-4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3.6203212608279419E-4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3.6403875968078639E-4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3.6604539327877859E-4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3.6805202687677078E-4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3.7005866047476308E-4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3.7206529407275528E-4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3.7326794580726133E-4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3.7447059754176743E-4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3.7567324927627348E-4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3.7687590101077959E-4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3.7807855274528564E-4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5.1501980355775495E-2</v>
      </c>
      <c r="C2" s="7">
        <f>$B2 * IFERROR(VLOOKUP("electricity|SO2|Premature mortality", US_national_yearly!$D:$AM, 11, FALSE) / VLOOKUP("electricity|SO2|Premature mortality", US_national_yearly!$D:$AM, 10, FALSE), 1)</f>
        <v>5.2162247625778785E-2</v>
      </c>
      <c r="D2" s="7">
        <f>$B2 * IFERROR(VLOOKUP("electricity|SO2|Premature mortality", US_national_yearly!$D:$AM, 12, FALSE) / VLOOKUP("electricity|SO2|Premature mortality", US_national_yearly!$D:$AM, 10, FALSE), 1)</f>
        <v>5.2822514895782061E-2</v>
      </c>
      <c r="E2" s="7">
        <f>$B2 * IFERROR(VLOOKUP("electricity|SO2|Premature mortality", US_national_yearly!$D:$AM, 13, FALSE) / VLOOKUP("electricity|SO2|Premature mortality", US_national_yearly!$D:$AM, 10, FALSE), 1)</f>
        <v>5.348278216578535E-2</v>
      </c>
      <c r="F2" s="7">
        <f>$B2 * IFERROR(VLOOKUP("electricity|SO2|Premature mortality", US_national_yearly!$D:$AM, 14, FALSE) / VLOOKUP("electricity|SO2|Premature mortality", US_national_yearly!$D:$AM, 10, FALSE), 1)</f>
        <v>5.4143049435788626E-2</v>
      </c>
      <c r="G2" s="7">
        <f>$B2 * IFERROR(VLOOKUP("electricity|SO2|Premature mortality", US_national_yearly!$D:$AM, 15, FALSE) / VLOOKUP("electricity|SO2|Premature mortality", US_national_yearly!$D:$AM, 10, FALSE), 1)</f>
        <v>5.541498902812135E-2</v>
      </c>
      <c r="H2" s="7">
        <f>$B2 * IFERROR(VLOOKUP("electricity|SO2|Premature mortality", US_national_yearly!$D:$AM, 16, FALSE) / VLOOKUP("electricity|SO2|Premature mortality", US_national_yearly!$D:$AM, 10, FALSE), 1)</f>
        <v>5.6686928620454068E-2</v>
      </c>
      <c r="I2" s="7">
        <f>$B2 * IFERROR(VLOOKUP("electricity|SO2|Premature mortality", US_national_yearly!$D:$AM, 17, FALSE) / VLOOKUP("electricity|SO2|Premature mortality", US_national_yearly!$D:$AM, 10, FALSE), 1)</f>
        <v>5.7543119641857404E-2</v>
      </c>
      <c r="J2" s="7">
        <f>$B2 * IFERROR(VLOOKUP("electricity|SO2|Premature mortality", US_national_yearly!$D:$AM, 18, FALSE) / VLOOKUP("electricity|SO2|Premature mortality", US_national_yearly!$D:$AM, 10, FALSE), 1)</f>
        <v>5.8399310663260748E-2</v>
      </c>
      <c r="K2" s="7">
        <f>$B2 * IFERROR(VLOOKUP("electricity|SO2|Premature mortality", US_national_yearly!$D:$AM, 19, FALSE) / VLOOKUP("electricity|SO2|Premature mortality", US_national_yearly!$D:$AM, 10, FALSE), 1)</f>
        <v>5.9255501684664078E-2</v>
      </c>
      <c r="L2" s="7">
        <f>$B2 * IFERROR(VLOOKUP("electricity|SO2|Premature mortality", US_national_yearly!$D:$AM, 20, FALSE) / VLOOKUP("electricity|SO2|Premature mortality", US_national_yearly!$D:$AM, 10, FALSE), 1)</f>
        <v>6.0111692706067435E-2</v>
      </c>
      <c r="M2" s="7">
        <f>$B2 * IFERROR(VLOOKUP("electricity|SO2|Premature mortality", US_national_yearly!$D:$AM, 21, FALSE) / VLOOKUP("electricity|SO2|Premature mortality", US_national_yearly!$D:$AM, 10, FALSE), 1)</f>
        <v>6.0967883727470765E-2</v>
      </c>
      <c r="N2" s="7">
        <f>$B2 * IFERROR(VLOOKUP("electricity|SO2|Premature mortality", US_national_yearly!$D:$AM, 22, FALSE) / VLOOKUP("electricity|SO2|Premature mortality", US_national_yearly!$D:$AM, 10, FALSE), 1)</f>
        <v>6.1654052588968326E-2</v>
      </c>
      <c r="O2" s="7">
        <f>$B2 * IFERROR(VLOOKUP("electricity|SO2|Premature mortality", US_national_yearly!$D:$AM, 23, FALSE) / VLOOKUP("electricity|SO2|Premature mortality", US_national_yearly!$D:$AM, 10, FALSE), 1)</f>
        <v>6.2340221450465895E-2</v>
      </c>
      <c r="P2" s="7">
        <f>$B2 * IFERROR(VLOOKUP("electricity|SO2|Premature mortality", US_national_yearly!$D:$AM, 24, FALSE) / VLOOKUP("electricity|SO2|Premature mortality", US_national_yearly!$D:$AM, 10, FALSE), 1)</f>
        <v>6.3026390311963443E-2</v>
      </c>
      <c r="Q2" s="7">
        <f>$B2 * IFERROR(VLOOKUP("electricity|SO2|Premature mortality", US_national_yearly!$D:$AM, 25, FALSE) / VLOOKUP("electricity|SO2|Premature mortality", US_national_yearly!$D:$AM, 10, FALSE), 1)</f>
        <v>6.3712559173461011E-2</v>
      </c>
      <c r="R2" s="7">
        <f>$B2 * IFERROR(VLOOKUP("electricity|SO2|Premature mortality", US_national_yearly!$D:$AM, 26, FALSE) / VLOOKUP("electricity|SO2|Premature mortality", US_national_yearly!$D:$AM, 10, FALSE), 1)</f>
        <v>6.4398728034958566E-2</v>
      </c>
      <c r="S2" s="7">
        <f>$B2 * IFERROR(VLOOKUP("electricity|SO2|Premature mortality", US_national_yearly!$D:$AM, 27, FALSE) / VLOOKUP("electricity|SO2|Premature mortality", US_national_yearly!$D:$AM, 10, FALSE), 1)</f>
        <v>6.4792128685935729E-2</v>
      </c>
      <c r="T2" s="7">
        <f>$B2 * IFERROR(VLOOKUP("electricity|SO2|Premature mortality", US_national_yearly!$D:$AM, 28, FALSE) / VLOOKUP("electricity|SO2|Premature mortality", US_national_yearly!$D:$AM, 10, FALSE), 1)</f>
        <v>6.5185529336912906E-2</v>
      </c>
      <c r="U2" s="7">
        <f>$B2 * IFERROR(VLOOKUP("electricity|SO2|Premature mortality", US_national_yearly!$D:$AM, 29, FALSE) / VLOOKUP("electricity|SO2|Premature mortality", US_national_yearly!$D:$AM, 10, FALSE), 1)</f>
        <v>6.5578929987890069E-2</v>
      </c>
      <c r="V2" s="7">
        <f>$B2 * IFERROR(VLOOKUP("electricity|SO2|Premature mortality", US_national_yearly!$D:$AM, 30, FALSE) / VLOOKUP("electricity|SO2|Premature mortality", US_national_yearly!$D:$AM, 10, FALSE), 1)</f>
        <v>6.5972330638867246E-2</v>
      </c>
      <c r="W2" s="7">
        <f>$B2 * IFERROR(VLOOKUP("electricity|SO2|Premature mortality", US_national_yearly!$D:$AM, 31, FALSE) / VLOOKUP("electricity|SO2|Premature mortality", US_national_yearly!$D:$AM, 10, FALSE), 1)</f>
        <v>6.636573128984441E-2</v>
      </c>
      <c r="X2" s="7">
        <f>$B2 * IFERROR(VLOOKUP("electricity|SO2|Premature mortality", US_national_yearly!$D:$AM, 32, FALSE) / VLOOKUP("electricity|SO2|Premature mortality", US_national_yearly!$D:$AM, 10, FALSE), 1)</f>
        <v>6.6481645087583974E-2</v>
      </c>
      <c r="Y2" s="7">
        <f>$B2 * IFERROR(VLOOKUP("electricity|SO2|Premature mortality", US_national_yearly!$D:$AM, 33, FALSE) / VLOOKUP("electricity|SO2|Premature mortality", US_national_yearly!$D:$AM, 10, FALSE), 1)</f>
        <v>6.6597558885323538E-2</v>
      </c>
      <c r="Z2" s="7">
        <f>$B2 * IFERROR(VLOOKUP("electricity|SO2|Premature mortality", US_national_yearly!$D:$AM, 34, FALSE) / VLOOKUP("electricity|SO2|Premature mortality", US_national_yearly!$D:$AM, 10, FALSE), 1)</f>
        <v>6.6713472683063088E-2</v>
      </c>
      <c r="AA2" s="7">
        <f>$B2 * IFERROR(VLOOKUP("electricity|SO2|Premature mortality", US_national_yearly!$D:$AM, 35, FALSE) / VLOOKUP("electricity|SO2|Premature mortality", US_national_yearly!$D:$AM, 10, FALSE), 1)</f>
        <v>6.6829386480802652E-2</v>
      </c>
      <c r="AB2" s="7">
        <f>$B2 * IFERROR(VLOOKUP("electricity|SO2|Premature mortality", US_national_yearly!$D:$AM, 36, FALSE) / VLOOKUP("electricity|SO2|Premature mortality", US_national_yearly!$D:$AM, 10, FALSE), 1)</f>
        <v>6.6945300278542202E-2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1.1815411636027842E-4</v>
      </c>
      <c r="C3" s="7">
        <f>$B3 * IFERROR(VLOOKUP("electricity|SO2|Infant mortality", US_national_yearly!$D:$AM, 11, FALSE) / VLOOKUP("electricity|SO2|Infant mortality", US_national_yearly!$D:$AM, 10, FALSE), 1)</f>
        <v>1.1715593873117447E-4</v>
      </c>
      <c r="D3" s="7">
        <f>$B3 * IFERROR(VLOOKUP("electricity|SO2|Infant mortality", US_national_yearly!$D:$AM, 12, FALSE) / VLOOKUP("electricity|SO2|Infant mortality", US_national_yearly!$D:$AM, 10, FALSE), 1)</f>
        <v>1.1615776110207051E-4</v>
      </c>
      <c r="E3" s="7">
        <f>$B3 * IFERROR(VLOOKUP("electricity|SO2|Infant mortality", US_national_yearly!$D:$AM, 13, FALSE) / VLOOKUP("electricity|SO2|Infant mortality", US_national_yearly!$D:$AM, 10, FALSE), 1)</f>
        <v>1.1515958347296656E-4</v>
      </c>
      <c r="F3" s="7">
        <f>$B3 * IFERROR(VLOOKUP("electricity|SO2|Infant mortality", US_national_yearly!$D:$AM, 14, FALSE) / VLOOKUP("electricity|SO2|Infant mortality", US_national_yearly!$D:$AM, 10, FALSE), 1)</f>
        <v>1.1416140584386262E-4</v>
      </c>
      <c r="G3" s="7">
        <f>$B3 * IFERROR(VLOOKUP("electricity|SO2|Infant mortality", US_national_yearly!$D:$AM, 15, FALSE) / VLOOKUP("electricity|SO2|Infant mortality", US_national_yearly!$D:$AM, 10, FALSE), 1)</f>
        <v>7.5923248591607339E-5</v>
      </c>
      <c r="H3" s="7">
        <f>$B3 * IFERROR(VLOOKUP("electricity|SO2|Infant mortality", US_national_yearly!$D:$AM, 16, FALSE) / VLOOKUP("electricity|SO2|Infant mortality", US_national_yearly!$D:$AM, 10, FALSE), 1)</f>
        <v>3.7685091339352073E-5</v>
      </c>
      <c r="I3" s="7">
        <f>$B3 * IFERROR(VLOOKUP("electricity|SO2|Infant mortality", US_national_yearly!$D:$AM, 17, FALSE) / VLOOKUP("electricity|SO2|Infant mortality", US_national_yearly!$D:$AM, 10, FALSE), 1)</f>
        <v>3.7444001697108561E-5</v>
      </c>
      <c r="J3" s="7">
        <f>$B3 * IFERROR(VLOOKUP("electricity|SO2|Infant mortality", US_national_yearly!$D:$AM, 18, FALSE) / VLOOKUP("electricity|SO2|Infant mortality", US_national_yearly!$D:$AM, 10, FALSE), 1)</f>
        <v>3.7202912054865037E-5</v>
      </c>
      <c r="K3" s="7">
        <f>$B3 * IFERROR(VLOOKUP("electricity|SO2|Infant mortality", US_national_yearly!$D:$AM, 19, FALSE) / VLOOKUP("electricity|SO2|Infant mortality", US_national_yearly!$D:$AM, 10, FALSE), 1)</f>
        <v>3.6961822412621525E-5</v>
      </c>
      <c r="L3" s="7">
        <f>$B3 * IFERROR(VLOOKUP("electricity|SO2|Infant mortality", US_national_yearly!$D:$AM, 20, FALSE) / VLOOKUP("electricity|SO2|Infant mortality", US_national_yearly!$D:$AM, 10, FALSE), 1)</f>
        <v>3.6720732770378007E-5</v>
      </c>
      <c r="M3" s="7">
        <f>$B3 * IFERROR(VLOOKUP("electricity|SO2|Infant mortality", US_national_yearly!$D:$AM, 21, FALSE) / VLOOKUP("electricity|SO2|Infant mortality", US_national_yearly!$D:$AM, 10, FALSE), 1)</f>
        <v>3.6479643128134489E-5</v>
      </c>
      <c r="N3" s="7">
        <f>$B3 * IFERROR(VLOOKUP("electricity|SO2|Infant mortality", US_national_yearly!$D:$AM, 22, FALSE) / VLOOKUP("electricity|SO2|Infant mortality", US_national_yearly!$D:$AM, 10, FALSE), 1)</f>
        <v>3.6326878047396548E-5</v>
      </c>
      <c r="O3" s="7">
        <f>$B3 * IFERROR(VLOOKUP("electricity|SO2|Infant mortality", US_national_yearly!$D:$AM, 23, FALSE) / VLOOKUP("electricity|SO2|Infant mortality", US_national_yearly!$D:$AM, 10, FALSE), 1)</f>
        <v>3.6174112966658593E-5</v>
      </c>
      <c r="P3" s="7">
        <f>$B3 * IFERROR(VLOOKUP("electricity|SO2|Infant mortality", US_national_yearly!$D:$AM, 24, FALSE) / VLOOKUP("electricity|SO2|Infant mortality", US_national_yearly!$D:$AM, 10, FALSE), 1)</f>
        <v>3.6021347885920645E-5</v>
      </c>
      <c r="Q3" s="7">
        <f>$B3 * IFERROR(VLOOKUP("electricity|SO2|Infant mortality", US_national_yearly!$D:$AM, 25, FALSE) / VLOOKUP("electricity|SO2|Infant mortality", US_national_yearly!$D:$AM, 10, FALSE), 1)</f>
        <v>3.5868582805182698E-5</v>
      </c>
      <c r="R3" s="7">
        <f>$B3 * IFERROR(VLOOKUP("electricity|SO2|Infant mortality", US_national_yearly!$D:$AM, 26, FALSE) / VLOOKUP("electricity|SO2|Infant mortality", US_national_yearly!$D:$AM, 10, FALSE), 1)</f>
        <v>3.5715817724444756E-5</v>
      </c>
      <c r="S3" s="7">
        <f>$B3 * IFERROR(VLOOKUP("electricity|SO2|Infant mortality", US_national_yearly!$D:$AM, 27, FALSE) / VLOOKUP("electricity|SO2|Infant mortality", US_national_yearly!$D:$AM, 10, FALSE), 1)</f>
        <v>3.5525415408293148E-5</v>
      </c>
      <c r="T3" s="7">
        <f>$B3 * IFERROR(VLOOKUP("electricity|SO2|Infant mortality", US_national_yearly!$D:$AM, 28, FALSE) / VLOOKUP("electricity|SO2|Infant mortality", US_national_yearly!$D:$AM, 10, FALSE), 1)</f>
        <v>3.5335013092141547E-5</v>
      </c>
      <c r="U3" s="7">
        <f>$B3 * IFERROR(VLOOKUP("electricity|SO2|Infant mortality", US_national_yearly!$D:$AM, 29, FALSE) / VLOOKUP("electricity|SO2|Infant mortality", US_national_yearly!$D:$AM, 10, FALSE), 1)</f>
        <v>3.5144610775989946E-5</v>
      </c>
      <c r="V3" s="7">
        <f>$B3 * IFERROR(VLOOKUP("electricity|SO2|Infant mortality", US_national_yearly!$D:$AM, 30, FALSE) / VLOOKUP("electricity|SO2|Infant mortality", US_national_yearly!$D:$AM, 10, FALSE), 1)</f>
        <v>3.4954208459838344E-5</v>
      </c>
      <c r="W3" s="7">
        <f>$B3 * IFERROR(VLOOKUP("electricity|SO2|Infant mortality", US_national_yearly!$D:$AM, 31, FALSE) / VLOOKUP("electricity|SO2|Infant mortality", US_national_yearly!$D:$AM, 10, FALSE), 1)</f>
        <v>3.4763806143686736E-5</v>
      </c>
      <c r="X3" s="7">
        <f>$B3 * IFERROR(VLOOKUP("electricity|SO2|Infant mortality", US_national_yearly!$D:$AM, 32, FALSE) / VLOOKUP("electricity|SO2|Infant mortality", US_national_yearly!$D:$AM, 10, FALSE), 1)</f>
        <v>3.4560652448078584E-5</v>
      </c>
      <c r="Y3" s="7">
        <f>$B3 * IFERROR(VLOOKUP("electricity|SO2|Infant mortality", US_national_yearly!$D:$AM, 33, FALSE) / VLOOKUP("electricity|SO2|Infant mortality", US_national_yearly!$D:$AM, 10, FALSE), 1)</f>
        <v>3.4357498752470418E-5</v>
      </c>
      <c r="Z3" s="7">
        <f>$B3 * IFERROR(VLOOKUP("electricity|SO2|Infant mortality", US_national_yearly!$D:$AM, 34, FALSE) / VLOOKUP("electricity|SO2|Infant mortality", US_national_yearly!$D:$AM, 10, FALSE), 1)</f>
        <v>3.4154345056862266E-5</v>
      </c>
      <c r="AA3" s="7">
        <f>$B3 * IFERROR(VLOOKUP("electricity|SO2|Infant mortality", US_national_yearly!$D:$AM, 35, FALSE) / VLOOKUP("electricity|SO2|Infant mortality", US_national_yearly!$D:$AM, 10, FALSE), 1)</f>
        <v>3.3951191361254107E-5</v>
      </c>
      <c r="AB3" s="7">
        <f>$B3 * IFERROR(VLOOKUP("electricity|SO2|Infant mortality", US_national_yearly!$D:$AM, 36, FALSE) / VLOOKUP("electricity|SO2|Infant mortality", US_national_yearly!$D:$AM, 10, FALSE), 1)</f>
        <v>3.3748037665645948E-5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0.16811321182300096</v>
      </c>
      <c r="C6" s="7">
        <f>$B6 * IFERROR(VLOOKUP("electricity|SO2|Asthma symptoms cough", US_national_yearly!$D:$AM, 11, FALSE) / VLOOKUP("electricity|SO2|Asthma symptoms cough", US_national_yearly!$D:$AM, 10, FALSE), 1)</f>
        <v>0.16811321182300096</v>
      </c>
      <c r="D6" s="7">
        <f>$B6 * IFERROR(VLOOKUP("electricity|SO2|Asthma symptoms cough", US_national_yearly!$D:$AM, 12, FALSE) / VLOOKUP("electricity|SO2|Asthma symptoms cough", US_national_yearly!$D:$AM, 10, FALSE), 1)</f>
        <v>0.16811321182300096</v>
      </c>
      <c r="E6" s="7">
        <f>$B6 * IFERROR(VLOOKUP("electricity|SO2|Asthma symptoms cough", US_national_yearly!$D:$AM, 13, FALSE) / VLOOKUP("electricity|SO2|Asthma symptoms cough", US_national_yearly!$D:$AM, 10, FALSE), 1)</f>
        <v>0.16811321182300096</v>
      </c>
      <c r="F6" s="7">
        <f>$B6 * IFERROR(VLOOKUP("electricity|SO2|Asthma symptoms cough", US_national_yearly!$D:$AM, 14, FALSE) / VLOOKUP("electricity|SO2|Asthma symptoms cough", US_national_yearly!$D:$AM, 10, FALSE), 1)</f>
        <v>0.16811321182300096</v>
      </c>
      <c r="G6" s="7">
        <f>$B6 * IFERROR(VLOOKUP("electricity|SO2|Asthma symptoms cough", US_national_yearly!$D:$AM, 15, FALSE) / VLOOKUP("electricity|SO2|Asthma symptoms cough", US_national_yearly!$D:$AM, 10, FALSE), 1)</f>
        <v>0.16811321182300096</v>
      </c>
      <c r="H6" s="7">
        <f>$B6 * IFERROR(VLOOKUP("electricity|SO2|Asthma symptoms cough", US_national_yearly!$D:$AM, 16, FALSE) / VLOOKUP("electricity|SO2|Asthma symptoms cough", US_national_yearly!$D:$AM, 10, FALSE), 1)</f>
        <v>0.16811321182300096</v>
      </c>
      <c r="I6" s="7">
        <f>$B6 * IFERROR(VLOOKUP("electricity|SO2|Asthma symptoms cough", US_national_yearly!$D:$AM, 17, FALSE) / VLOOKUP("electricity|SO2|Asthma symptoms cough", US_national_yearly!$D:$AM, 10, FALSE), 1)</f>
        <v>0.16811321182300096</v>
      </c>
      <c r="J6" s="7">
        <f>$B6 * IFERROR(VLOOKUP("electricity|SO2|Asthma symptoms cough", US_national_yearly!$D:$AM, 18, FALSE) / VLOOKUP("electricity|SO2|Asthma symptoms cough", US_national_yearly!$D:$AM, 10, FALSE), 1)</f>
        <v>0.16811321182300096</v>
      </c>
      <c r="K6" s="7">
        <f>$B6 * IFERROR(VLOOKUP("electricity|SO2|Asthma symptoms cough", US_national_yearly!$D:$AM, 19, FALSE) / VLOOKUP("electricity|SO2|Asthma symptoms cough", US_national_yearly!$D:$AM, 10, FALSE), 1)</f>
        <v>0.16811321182300096</v>
      </c>
      <c r="L6" s="7">
        <f>$B6 * IFERROR(VLOOKUP("electricity|SO2|Asthma symptoms cough", US_national_yearly!$D:$AM, 20, FALSE) / VLOOKUP("electricity|SO2|Asthma symptoms cough", US_national_yearly!$D:$AM, 10, FALSE), 1)</f>
        <v>0.16811321182300096</v>
      </c>
      <c r="M6" s="7">
        <f>$B6 * IFERROR(VLOOKUP("electricity|SO2|Asthma symptoms cough", US_national_yearly!$D:$AM, 21, FALSE) / VLOOKUP("electricity|SO2|Asthma symptoms cough", US_national_yearly!$D:$AM, 10, FALSE), 1)</f>
        <v>0.16811321182300096</v>
      </c>
      <c r="N6" s="7">
        <f>$B6 * IFERROR(VLOOKUP("electricity|SO2|Asthma symptoms cough", US_national_yearly!$D:$AM, 22, FALSE) / VLOOKUP("electricity|SO2|Asthma symptoms cough", US_national_yearly!$D:$AM, 10, FALSE), 1)</f>
        <v>0.16811321182300096</v>
      </c>
      <c r="O6" s="7">
        <f>$B6 * IFERROR(VLOOKUP("electricity|SO2|Asthma symptoms cough", US_national_yearly!$D:$AM, 23, FALSE) / VLOOKUP("electricity|SO2|Asthma symptoms cough", US_national_yearly!$D:$AM, 10, FALSE), 1)</f>
        <v>0.16811321182300096</v>
      </c>
      <c r="P6" s="7">
        <f>$B6 * IFERROR(VLOOKUP("electricity|SO2|Asthma symptoms cough", US_national_yearly!$D:$AM, 24, FALSE) / VLOOKUP("electricity|SO2|Asthma symptoms cough", US_national_yearly!$D:$AM, 10, FALSE), 1)</f>
        <v>0.16811321182300096</v>
      </c>
      <c r="Q6" s="7">
        <f>$B6 * IFERROR(VLOOKUP("electricity|SO2|Asthma symptoms cough", US_national_yearly!$D:$AM, 25, FALSE) / VLOOKUP("electricity|SO2|Asthma symptoms cough", US_national_yearly!$D:$AM, 10, FALSE), 1)</f>
        <v>0.16811321182300096</v>
      </c>
      <c r="R6" s="7">
        <f>$B6 * IFERROR(VLOOKUP("electricity|SO2|Asthma symptoms cough", US_national_yearly!$D:$AM, 26, FALSE) / VLOOKUP("electricity|SO2|Asthma symptoms cough", US_national_yearly!$D:$AM, 10, FALSE), 1)</f>
        <v>0.16811321182300096</v>
      </c>
      <c r="S6" s="7">
        <f>$B6 * IFERROR(VLOOKUP("electricity|SO2|Asthma symptoms cough", US_national_yearly!$D:$AM, 27, FALSE) / VLOOKUP("electricity|SO2|Asthma symptoms cough", US_national_yearly!$D:$AM, 10, FALSE), 1)</f>
        <v>0.16811321182300096</v>
      </c>
      <c r="T6" s="7">
        <f>$B6 * IFERROR(VLOOKUP("electricity|SO2|Asthma symptoms cough", US_national_yearly!$D:$AM, 28, FALSE) / VLOOKUP("electricity|SO2|Asthma symptoms cough", US_national_yearly!$D:$AM, 10, FALSE), 1)</f>
        <v>0.16811321182300096</v>
      </c>
      <c r="U6" s="7">
        <f>$B6 * IFERROR(VLOOKUP("electricity|SO2|Asthma symptoms cough", US_national_yearly!$D:$AM, 29, FALSE) / VLOOKUP("electricity|SO2|Asthma symptoms cough", US_national_yearly!$D:$AM, 10, FALSE), 1)</f>
        <v>0.16811321182300096</v>
      </c>
      <c r="V6" s="7">
        <f>$B6 * IFERROR(VLOOKUP("electricity|SO2|Asthma symptoms cough", US_national_yearly!$D:$AM, 30, FALSE) / VLOOKUP("electricity|SO2|Asthma symptoms cough", US_national_yearly!$D:$AM, 10, FALSE), 1)</f>
        <v>0.16811321182300096</v>
      </c>
      <c r="W6" s="7">
        <f>$B6 * IFERROR(VLOOKUP("electricity|SO2|Asthma symptoms cough", US_national_yearly!$D:$AM, 31, FALSE) / VLOOKUP("electricity|SO2|Asthma symptoms cough", US_national_yearly!$D:$AM, 10, FALSE), 1)</f>
        <v>0.16811321182300096</v>
      </c>
      <c r="X6" s="7">
        <f>$B6 * IFERROR(VLOOKUP("electricity|SO2|Asthma symptoms cough", US_national_yearly!$D:$AM, 32, FALSE) / VLOOKUP("electricity|SO2|Asthma symptoms cough", US_national_yearly!$D:$AM, 10, FALSE), 1)</f>
        <v>0.16811321182300096</v>
      </c>
      <c r="Y6" s="7">
        <f>$B6 * IFERROR(VLOOKUP("electricity|SO2|Asthma symptoms cough", US_national_yearly!$D:$AM, 33, FALSE) / VLOOKUP("electricity|SO2|Asthma symptoms cough", US_national_yearly!$D:$AM, 10, FALSE), 1)</f>
        <v>0.16811321182300096</v>
      </c>
      <c r="Z6" s="7">
        <f>$B6 * IFERROR(VLOOKUP("electricity|SO2|Asthma symptoms cough", US_national_yearly!$D:$AM, 34, FALSE) / VLOOKUP("electricity|SO2|Asthma symptoms cough", US_national_yearly!$D:$AM, 10, FALSE), 1)</f>
        <v>0.16811321182300096</v>
      </c>
      <c r="AA6" s="7">
        <f>$B6 * IFERROR(VLOOKUP("electricity|SO2|Asthma symptoms cough", US_national_yearly!$D:$AM, 35, FALSE) / VLOOKUP("electricity|SO2|Asthma symptoms cough", US_national_yearly!$D:$AM, 10, FALSE), 1)</f>
        <v>0.16811321182300096</v>
      </c>
      <c r="AB6" s="7">
        <f>$B6 * IFERROR(VLOOKUP("electricity|SO2|Asthma symptoms cough", US_national_yearly!$D:$AM, 36, FALSE) / VLOOKUP("electricity|SO2|Asthma symptoms cough", US_national_yearly!$D:$AM, 10, FALSE), 1)</f>
        <v>0.16811321182300096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0.22638798843304084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0.22638798843304084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0.22638798843304084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0.22638798843304084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0.22638798843304084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0.22638798843304084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0.22638798843304084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0.22638798843304084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0.22638798843304084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0.22638798843304084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0.22638798843304084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0.22638798843304084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0.22638798843304084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0.22638798843304084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0.22638798843304084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0.22638798843304084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0.22638798843304084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0.22638798843304084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0.22638798843304084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0.22638798843304084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0.22638798843304084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0.22638798843304084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0.22638798843304084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0.22638798843304084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0.22638798843304084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0.22638798843304084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0.22638798843304084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0.34588549388433032</v>
      </c>
      <c r="C8" s="7">
        <f>$B8 * IFERROR(VLOOKUP("electricity|SO2|Asthma symptoms wheeze", US_national_yearly!$D:$AM, 11, FALSE) / VLOOKUP("electricity|SO2|Asthma symptoms wheeze", US_national_yearly!$D:$AM, 10, FALSE), 1)</f>
        <v>0.34588549388433032</v>
      </c>
      <c r="D8" s="7">
        <f>$B8 * IFERROR(VLOOKUP("electricity|SO2|Asthma symptoms wheeze", US_national_yearly!$D:$AM, 12, FALSE) / VLOOKUP("electricity|SO2|Asthma symptoms wheeze", US_national_yearly!$D:$AM, 10, FALSE), 1)</f>
        <v>0.34588549388433032</v>
      </c>
      <c r="E8" s="7">
        <f>$B8 * IFERROR(VLOOKUP("electricity|SO2|Asthma symptoms wheeze", US_national_yearly!$D:$AM, 13, FALSE) / VLOOKUP("electricity|SO2|Asthma symptoms wheeze", US_national_yearly!$D:$AM, 10, FALSE), 1)</f>
        <v>0.34588549388433032</v>
      </c>
      <c r="F8" s="7">
        <f>$B8 * IFERROR(VLOOKUP("electricity|SO2|Asthma symptoms wheeze", US_national_yearly!$D:$AM, 14, FALSE) / VLOOKUP("electricity|SO2|Asthma symptoms wheeze", US_national_yearly!$D:$AM, 10, FALSE), 1)</f>
        <v>0.34588549388433032</v>
      </c>
      <c r="G8" s="7">
        <f>$B8 * IFERROR(VLOOKUP("electricity|SO2|Asthma symptoms wheeze", US_national_yearly!$D:$AM, 15, FALSE) / VLOOKUP("electricity|SO2|Asthma symptoms wheeze", US_national_yearly!$D:$AM, 10, FALSE), 1)</f>
        <v>0.34588549388433032</v>
      </c>
      <c r="H8" s="7">
        <f>$B8 * IFERROR(VLOOKUP("electricity|SO2|Asthma symptoms wheeze", US_national_yearly!$D:$AM, 16, FALSE) / VLOOKUP("electricity|SO2|Asthma symptoms wheeze", US_national_yearly!$D:$AM, 10, FALSE), 1)</f>
        <v>0.34588549388433032</v>
      </c>
      <c r="I8" s="7">
        <f>$B8 * IFERROR(VLOOKUP("electricity|SO2|Asthma symptoms wheeze", US_national_yearly!$D:$AM, 17, FALSE) / VLOOKUP("electricity|SO2|Asthma symptoms wheeze", US_national_yearly!$D:$AM, 10, FALSE), 1)</f>
        <v>0.34588549388433032</v>
      </c>
      <c r="J8" s="7">
        <f>$B8 * IFERROR(VLOOKUP("electricity|SO2|Asthma symptoms wheeze", US_national_yearly!$D:$AM, 18, FALSE) / VLOOKUP("electricity|SO2|Asthma symptoms wheeze", US_national_yearly!$D:$AM, 10, FALSE), 1)</f>
        <v>0.34588549388433032</v>
      </c>
      <c r="K8" s="7">
        <f>$B8 * IFERROR(VLOOKUP("electricity|SO2|Asthma symptoms wheeze", US_national_yearly!$D:$AM, 19, FALSE) / VLOOKUP("electricity|SO2|Asthma symptoms wheeze", US_national_yearly!$D:$AM, 10, FALSE), 1)</f>
        <v>0.34588549388433032</v>
      </c>
      <c r="L8" s="7">
        <f>$B8 * IFERROR(VLOOKUP("electricity|SO2|Asthma symptoms wheeze", US_national_yearly!$D:$AM, 20, FALSE) / VLOOKUP("electricity|SO2|Asthma symptoms wheeze", US_national_yearly!$D:$AM, 10, FALSE), 1)</f>
        <v>0.34588549388433032</v>
      </c>
      <c r="M8" s="7">
        <f>$B8 * IFERROR(VLOOKUP("electricity|SO2|Asthma symptoms wheeze", US_national_yearly!$D:$AM, 21, FALSE) / VLOOKUP("electricity|SO2|Asthma symptoms wheeze", US_national_yearly!$D:$AM, 10, FALSE), 1)</f>
        <v>0.34588549388433032</v>
      </c>
      <c r="N8" s="7">
        <f>$B8 * IFERROR(VLOOKUP("electricity|SO2|Asthma symptoms wheeze", US_national_yearly!$D:$AM, 22, FALSE) / VLOOKUP("electricity|SO2|Asthma symptoms wheeze", US_national_yearly!$D:$AM, 10, FALSE), 1)</f>
        <v>0.34588549388433032</v>
      </c>
      <c r="O8" s="7">
        <f>$B8 * IFERROR(VLOOKUP("electricity|SO2|Asthma symptoms wheeze", US_national_yearly!$D:$AM, 23, FALSE) / VLOOKUP("electricity|SO2|Asthma symptoms wheeze", US_national_yearly!$D:$AM, 10, FALSE), 1)</f>
        <v>0.34588549388433032</v>
      </c>
      <c r="P8" s="7">
        <f>$B8 * IFERROR(VLOOKUP("electricity|SO2|Asthma symptoms wheeze", US_national_yearly!$D:$AM, 24, FALSE) / VLOOKUP("electricity|SO2|Asthma symptoms wheeze", US_national_yearly!$D:$AM, 10, FALSE), 1)</f>
        <v>0.34588549388433032</v>
      </c>
      <c r="Q8" s="7">
        <f>$B8 * IFERROR(VLOOKUP("electricity|SO2|Asthma symptoms wheeze", US_national_yearly!$D:$AM, 25, FALSE) / VLOOKUP("electricity|SO2|Asthma symptoms wheeze", US_national_yearly!$D:$AM, 10, FALSE), 1)</f>
        <v>0.34588549388433032</v>
      </c>
      <c r="R8" s="7">
        <f>$B8 * IFERROR(VLOOKUP("electricity|SO2|Asthma symptoms wheeze", US_national_yearly!$D:$AM, 26, FALSE) / VLOOKUP("electricity|SO2|Asthma symptoms wheeze", US_national_yearly!$D:$AM, 10, FALSE), 1)</f>
        <v>0.34588549388433032</v>
      </c>
      <c r="S8" s="7">
        <f>$B8 * IFERROR(VLOOKUP("electricity|SO2|Asthma symptoms wheeze", US_national_yearly!$D:$AM, 27, FALSE) / VLOOKUP("electricity|SO2|Asthma symptoms wheeze", US_national_yearly!$D:$AM, 10, FALSE), 1)</f>
        <v>0.34588549388433032</v>
      </c>
      <c r="T8" s="7">
        <f>$B8 * IFERROR(VLOOKUP("electricity|SO2|Asthma symptoms wheeze", US_national_yearly!$D:$AM, 28, FALSE) / VLOOKUP("electricity|SO2|Asthma symptoms wheeze", US_national_yearly!$D:$AM, 10, FALSE), 1)</f>
        <v>0.34588549388433032</v>
      </c>
      <c r="U8" s="7">
        <f>$B8 * IFERROR(VLOOKUP("electricity|SO2|Asthma symptoms wheeze", US_national_yearly!$D:$AM, 29, FALSE) / VLOOKUP("electricity|SO2|Asthma symptoms wheeze", US_national_yearly!$D:$AM, 10, FALSE), 1)</f>
        <v>0.34588549388433032</v>
      </c>
      <c r="V8" s="7">
        <f>$B8 * IFERROR(VLOOKUP("electricity|SO2|Asthma symptoms wheeze", US_national_yearly!$D:$AM, 30, FALSE) / VLOOKUP("electricity|SO2|Asthma symptoms wheeze", US_national_yearly!$D:$AM, 10, FALSE), 1)</f>
        <v>0.34588549388433032</v>
      </c>
      <c r="W8" s="7">
        <f>$B8 * IFERROR(VLOOKUP("electricity|SO2|Asthma symptoms wheeze", US_national_yearly!$D:$AM, 31, FALSE) / VLOOKUP("electricity|SO2|Asthma symptoms wheeze", US_national_yearly!$D:$AM, 10, FALSE), 1)</f>
        <v>0.34588549388433032</v>
      </c>
      <c r="X8" s="7">
        <f>$B8 * IFERROR(VLOOKUP("electricity|SO2|Asthma symptoms wheeze", US_national_yearly!$D:$AM, 32, FALSE) / VLOOKUP("electricity|SO2|Asthma symptoms wheeze", US_national_yearly!$D:$AM, 10, FALSE), 1)</f>
        <v>0.34588549388433032</v>
      </c>
      <c r="Y8" s="7">
        <f>$B8 * IFERROR(VLOOKUP("electricity|SO2|Asthma symptoms wheeze", US_national_yearly!$D:$AM, 33, FALSE) / VLOOKUP("electricity|SO2|Asthma symptoms wheeze", US_national_yearly!$D:$AM, 10, FALSE), 1)</f>
        <v>0.34588549388433032</v>
      </c>
      <c r="Z8" s="7">
        <f>$B8 * IFERROR(VLOOKUP("electricity|SO2|Asthma symptoms wheeze", US_national_yearly!$D:$AM, 34, FALSE) / VLOOKUP("electricity|SO2|Asthma symptoms wheeze", US_national_yearly!$D:$AM, 10, FALSE), 1)</f>
        <v>0.34588549388433032</v>
      </c>
      <c r="AA8" s="7">
        <f>$B8 * IFERROR(VLOOKUP("electricity|SO2|Asthma symptoms wheeze", US_national_yearly!$D:$AM, 35, FALSE) / VLOOKUP("electricity|SO2|Asthma symptoms wheeze", US_national_yearly!$D:$AM, 10, FALSE), 1)</f>
        <v>0.34588549388433032</v>
      </c>
      <c r="AB8" s="7">
        <f>$B8 * IFERROR(VLOOKUP("electricity|SO2|Asthma symptoms wheeze", US_national_yearly!$D:$AM, 36, FALSE) / VLOOKUP("electricity|SO2|Asthma symptoms wheeze", US_national_yearly!$D:$AM, 10, FALSE), 1)</f>
        <v>0.34588549388433032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4.1724363190617916E-3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4.1970104290070228E-3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4.2215845389522548E-3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4.246158648897486E-3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4.270732758842718E-3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4.2975110574231994E-3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4.3242893560036817E-3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4.3500504705819062E-3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4.3758115851601324E-3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4.4015726997383578E-3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4.4273338143165832E-3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4.4530949288948086E-3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4.4715723562963041E-3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4.4900497836977997E-3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4.5085272110992952E-3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4.5270046385007898E-3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4.5454820659022862E-3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4.5629220375073753E-3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4.5803620091124661E-3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4.5978019807175561E-3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4.6152419523226461E-3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4.6326819239277369E-3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4.6494125585364275E-3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4.6661431931451199E-3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4.6828738277538123E-3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4.6996044623625029E-3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4.7163350969711953E-3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1.3495788956191905E-2</v>
      </c>
      <c r="C13" s="7">
        <f>$B13 * IFERROR(VLOOKUP("electricity|SO2|Non-fatal heart attacks", US_national_yearly!$D:$AM, 11, FALSE) / VLOOKUP("electricity|SO2|Non-fatal heart attacks", US_national_yearly!$D:$AM, 10, FALSE), 1)</f>
        <v>1.3893315105982188E-2</v>
      </c>
      <c r="D13" s="7">
        <f>$B13 * IFERROR(VLOOKUP("electricity|SO2|Non-fatal heart attacks", US_national_yearly!$D:$AM, 12, FALSE) / VLOOKUP("electricity|SO2|Non-fatal heart attacks", US_national_yearly!$D:$AM, 10, FALSE), 1)</f>
        <v>1.4290841255772464E-2</v>
      </c>
      <c r="E13" s="7">
        <f>$B13 * IFERROR(VLOOKUP("electricity|SO2|Non-fatal heart attacks", US_national_yearly!$D:$AM, 13, FALSE) / VLOOKUP("electricity|SO2|Non-fatal heart attacks", US_national_yearly!$D:$AM, 10, FALSE), 1)</f>
        <v>1.4688367405562747E-2</v>
      </c>
      <c r="F13" s="7">
        <f>$B13 * IFERROR(VLOOKUP("electricity|SO2|Non-fatal heart attacks", US_national_yearly!$D:$AM, 14, FALSE) / VLOOKUP("electricity|SO2|Non-fatal heart attacks", US_national_yearly!$D:$AM, 10, FALSE), 1)</f>
        <v>1.5085893555353027E-2</v>
      </c>
      <c r="G13" s="7">
        <f>$B13 * IFERROR(VLOOKUP("electricity|SO2|Non-fatal heart attacks", US_national_yearly!$D:$AM, 15, FALSE) / VLOOKUP("electricity|SO2|Non-fatal heart attacks", US_national_yearly!$D:$AM, 10, FALSE), 1)</f>
        <v>1.5463157798506389E-2</v>
      </c>
      <c r="H13" s="7">
        <f>$B13 * IFERROR(VLOOKUP("electricity|SO2|Non-fatal heart attacks", US_national_yearly!$D:$AM, 16, FALSE) / VLOOKUP("electricity|SO2|Non-fatal heart attacks", US_national_yearly!$D:$AM, 10, FALSE), 1)</f>
        <v>1.5840422041659755E-2</v>
      </c>
      <c r="I13" s="7">
        <f>$B13 * IFERROR(VLOOKUP("electricity|SO2|Non-fatal heart attacks", US_national_yearly!$D:$AM, 17, FALSE) / VLOOKUP("electricity|SO2|Non-fatal heart attacks", US_national_yearly!$D:$AM, 10, FALSE), 1)</f>
        <v>1.6147660585374288E-2</v>
      </c>
      <c r="J13" s="7">
        <f>$B13 * IFERROR(VLOOKUP("electricity|SO2|Non-fatal heart attacks", US_national_yearly!$D:$AM, 18, FALSE) / VLOOKUP("electricity|SO2|Non-fatal heart attacks", US_national_yearly!$D:$AM, 10, FALSE), 1)</f>
        <v>1.6454899129088818E-2</v>
      </c>
      <c r="K13" s="7">
        <f>$B13 * IFERROR(VLOOKUP("electricity|SO2|Non-fatal heart attacks", US_national_yearly!$D:$AM, 19, FALSE) / VLOOKUP("electricity|SO2|Non-fatal heart attacks", US_national_yearly!$D:$AM, 10, FALSE), 1)</f>
        <v>1.6762137672803351E-2</v>
      </c>
      <c r="L13" s="7">
        <f>$B13 * IFERROR(VLOOKUP("electricity|SO2|Non-fatal heart attacks", US_national_yearly!$D:$AM, 20, FALSE) / VLOOKUP("electricity|SO2|Non-fatal heart attacks", US_national_yearly!$D:$AM, 10, FALSE), 1)</f>
        <v>1.7069376216517881E-2</v>
      </c>
      <c r="M13" s="7">
        <f>$B13 * IFERROR(VLOOKUP("electricity|SO2|Non-fatal heart attacks", US_national_yearly!$D:$AM, 21, FALSE) / VLOOKUP("electricity|SO2|Non-fatal heart attacks", US_national_yearly!$D:$AM, 10, FALSE), 1)</f>
        <v>1.737661476023241E-2</v>
      </c>
      <c r="N13" s="7">
        <f>$B13 * IFERROR(VLOOKUP("electricity|SO2|Non-fatal heart attacks", US_national_yearly!$D:$AM, 22, FALSE) / VLOOKUP("electricity|SO2|Non-fatal heart attacks", US_national_yearly!$D:$AM, 10, FALSE), 1)</f>
        <v>1.7579224115498802E-2</v>
      </c>
      <c r="O13" s="7">
        <f>$B13 * IFERROR(VLOOKUP("electricity|SO2|Non-fatal heart attacks", US_national_yearly!$D:$AM, 23, FALSE) / VLOOKUP("electricity|SO2|Non-fatal heart attacks", US_national_yearly!$D:$AM, 10, FALSE), 1)</f>
        <v>1.7781833470765191E-2</v>
      </c>
      <c r="P13" s="7">
        <f>$B13 * IFERROR(VLOOKUP("electricity|SO2|Non-fatal heart attacks", US_national_yearly!$D:$AM, 24, FALSE) / VLOOKUP("electricity|SO2|Non-fatal heart attacks", US_national_yearly!$D:$AM, 10, FALSE), 1)</f>
        <v>1.7984442826031583E-2</v>
      </c>
      <c r="Q13" s="7">
        <f>$B13 * IFERROR(VLOOKUP("electricity|SO2|Non-fatal heart attacks", US_national_yearly!$D:$AM, 25, FALSE) / VLOOKUP("electricity|SO2|Non-fatal heart attacks", US_national_yearly!$D:$AM, 10, FALSE), 1)</f>
        <v>1.8187052181297975E-2</v>
      </c>
      <c r="R13" s="7">
        <f>$B13 * IFERROR(VLOOKUP("electricity|SO2|Non-fatal heart attacks", US_national_yearly!$D:$AM, 26, FALSE) / VLOOKUP("electricity|SO2|Non-fatal heart attacks", US_national_yearly!$D:$AM, 10, FALSE), 1)</f>
        <v>1.8389661536564367E-2</v>
      </c>
      <c r="S13" s="7">
        <f>$B13 * IFERROR(VLOOKUP("electricity|SO2|Non-fatal heart attacks", US_national_yearly!$D:$AM, 27, FALSE) / VLOOKUP("electricity|SO2|Non-fatal heart attacks", US_national_yearly!$D:$AM, 10, FALSE), 1)</f>
        <v>1.8499916726200428E-2</v>
      </c>
      <c r="T13" s="7">
        <f>$B13 * IFERROR(VLOOKUP("electricity|SO2|Non-fatal heart attacks", US_national_yearly!$D:$AM, 28, FALSE) / VLOOKUP("electricity|SO2|Non-fatal heart attacks", US_national_yearly!$D:$AM, 10, FALSE), 1)</f>
        <v>1.8610171915836492E-2</v>
      </c>
      <c r="U13" s="7">
        <f>$B13 * IFERROR(VLOOKUP("electricity|SO2|Non-fatal heart attacks", US_national_yearly!$D:$AM, 29, FALSE) / VLOOKUP("electricity|SO2|Non-fatal heart attacks", US_national_yearly!$D:$AM, 10, FALSE), 1)</f>
        <v>1.8720427105472559E-2</v>
      </c>
      <c r="V13" s="7">
        <f>$B13 * IFERROR(VLOOKUP("electricity|SO2|Non-fatal heart attacks", US_national_yearly!$D:$AM, 30, FALSE) / VLOOKUP("electricity|SO2|Non-fatal heart attacks", US_national_yearly!$D:$AM, 10, FALSE), 1)</f>
        <v>1.8830682295108616E-2</v>
      </c>
      <c r="W13" s="7">
        <f>$B13 * IFERROR(VLOOKUP("electricity|SO2|Non-fatal heart attacks", US_national_yearly!$D:$AM, 31, FALSE) / VLOOKUP("electricity|SO2|Non-fatal heart attacks", US_national_yearly!$D:$AM, 10, FALSE), 1)</f>
        <v>1.894093748474468E-2</v>
      </c>
      <c r="X13" s="7">
        <f>$B13 * IFERROR(VLOOKUP("electricity|SO2|Non-fatal heart attacks", US_national_yearly!$D:$AM, 32, FALSE) / VLOOKUP("electricity|SO2|Non-fatal heart attacks", US_national_yearly!$D:$AM, 10, FALSE), 1)</f>
        <v>1.9025631877039154E-2</v>
      </c>
      <c r="Y13" s="7">
        <f>$B13 * IFERROR(VLOOKUP("electricity|SO2|Non-fatal heart attacks", US_national_yearly!$D:$AM, 33, FALSE) / VLOOKUP("electricity|SO2|Non-fatal heart attacks", US_national_yearly!$D:$AM, 10, FALSE), 1)</f>
        <v>1.9110326269333629E-2</v>
      </c>
      <c r="Z13" s="7">
        <f>$B13 * IFERROR(VLOOKUP("electricity|SO2|Non-fatal heart attacks", US_national_yearly!$D:$AM, 34, FALSE) / VLOOKUP("electricity|SO2|Non-fatal heart attacks", US_national_yearly!$D:$AM, 10, FALSE), 1)</f>
        <v>1.91950206616281E-2</v>
      </c>
      <c r="AA13" s="7">
        <f>$B13 * IFERROR(VLOOKUP("electricity|SO2|Non-fatal heart attacks", US_national_yearly!$D:$AM, 35, FALSE) / VLOOKUP("electricity|SO2|Non-fatal heart attacks", US_national_yearly!$D:$AM, 10, FALSE), 1)</f>
        <v>1.9279715053922574E-2</v>
      </c>
      <c r="AB13" s="7">
        <f>$B13 * IFERROR(VLOOKUP("electricity|SO2|Non-fatal heart attacks", US_national_yearly!$D:$AM, 36, FALSE) / VLOOKUP("electricity|SO2|Non-fatal heart attacks", US_national_yearly!$D:$AM, 10, FALSE), 1)</f>
        <v>1.9364409446217045E-2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21.452650379829429</v>
      </c>
      <c r="C14" s="7">
        <f>$B14 * IFERROR(VLOOKUP("electricity|SO2|Minor restricted activity days", US_national_yearly!$D:$AM, 11, FALSE) / VLOOKUP("electricity|SO2|Minor restricted activity days", US_national_yearly!$D:$AM, 10, FALSE), 1)</f>
        <v>21.506559863993584</v>
      </c>
      <c r="D14" s="7">
        <f>$B14 * IFERROR(VLOOKUP("electricity|SO2|Minor restricted activity days", US_national_yearly!$D:$AM, 12, FALSE) / VLOOKUP("electricity|SO2|Minor restricted activity days", US_national_yearly!$D:$AM, 10, FALSE), 1)</f>
        <v>21.560469348157739</v>
      </c>
      <c r="E14" s="7">
        <f>$B14 * IFERROR(VLOOKUP("electricity|SO2|Minor restricted activity days", US_national_yearly!$D:$AM, 13, FALSE) / VLOOKUP("electricity|SO2|Minor restricted activity days", US_national_yearly!$D:$AM, 10, FALSE), 1)</f>
        <v>21.614378832321897</v>
      </c>
      <c r="F14" s="7">
        <f>$B14 * IFERROR(VLOOKUP("electricity|SO2|Minor restricted activity days", US_national_yearly!$D:$AM, 14, FALSE) / VLOOKUP("electricity|SO2|Minor restricted activity days", US_national_yearly!$D:$AM, 10, FALSE), 1)</f>
        <v>21.668288316486045</v>
      </c>
      <c r="G14" s="7">
        <f>$B14 * IFERROR(VLOOKUP("electricity|SO2|Minor restricted activity days", US_national_yearly!$D:$AM, 15, FALSE) / VLOOKUP("electricity|SO2|Minor restricted activity days", US_national_yearly!$D:$AM, 10, FALSE), 1)</f>
        <v>21.746175866224998</v>
      </c>
      <c r="H14" s="7">
        <f>$B14 * IFERROR(VLOOKUP("electricity|SO2|Minor restricted activity days", US_national_yearly!$D:$AM, 16, FALSE) / VLOOKUP("electricity|SO2|Minor restricted activity days", US_national_yearly!$D:$AM, 10, FALSE), 1)</f>
        <v>21.824063415963952</v>
      </c>
      <c r="I14" s="7">
        <f>$B14 * IFERROR(VLOOKUP("electricity|SO2|Minor restricted activity days", US_national_yearly!$D:$AM, 17, FALSE) / VLOOKUP("electricity|SO2|Minor restricted activity days", US_national_yearly!$D:$AM, 10, FALSE), 1)</f>
        <v>21.957646560421061</v>
      </c>
      <c r="J14" s="7">
        <f>$B14 * IFERROR(VLOOKUP("electricity|SO2|Minor restricted activity days", US_national_yearly!$D:$AM, 18, FALSE) / VLOOKUP("electricity|SO2|Minor restricted activity days", US_national_yearly!$D:$AM, 10, FALSE), 1)</f>
        <v>22.091229704878177</v>
      </c>
      <c r="K14" s="7">
        <f>$B14 * IFERROR(VLOOKUP("electricity|SO2|Minor restricted activity days", US_national_yearly!$D:$AM, 19, FALSE) / VLOOKUP("electricity|SO2|Minor restricted activity days", US_national_yearly!$D:$AM, 10, FALSE), 1)</f>
        <v>22.224812849335287</v>
      </c>
      <c r="L14" s="7">
        <f>$B14 * IFERROR(VLOOKUP("electricity|SO2|Minor restricted activity days", US_national_yearly!$D:$AM, 20, FALSE) / VLOOKUP("electricity|SO2|Minor restricted activity days", US_national_yearly!$D:$AM, 10, FALSE), 1)</f>
        <v>22.358395993792406</v>
      </c>
      <c r="M14" s="7">
        <f>$B14 * IFERROR(VLOOKUP("electricity|SO2|Minor restricted activity days", US_national_yearly!$D:$AM, 21, FALSE) / VLOOKUP("electricity|SO2|Minor restricted activity days", US_national_yearly!$D:$AM, 10, FALSE), 1)</f>
        <v>22.491979138249519</v>
      </c>
      <c r="N14" s="7">
        <f>$B14 * IFERROR(VLOOKUP("electricity|SO2|Minor restricted activity days", US_national_yearly!$D:$AM, 22, FALSE) / VLOOKUP("electricity|SO2|Minor restricted activity days", US_national_yearly!$D:$AM, 10, FALSE), 1)</f>
        <v>22.675942423910708</v>
      </c>
      <c r="O14" s="7">
        <f>$B14 * IFERROR(VLOOKUP("electricity|SO2|Minor restricted activity days", US_national_yearly!$D:$AM, 23, FALSE) / VLOOKUP("electricity|SO2|Minor restricted activity days", US_national_yearly!$D:$AM, 10, FALSE), 1)</f>
        <v>22.859905709571898</v>
      </c>
      <c r="P14" s="7">
        <f>$B14 * IFERROR(VLOOKUP("electricity|SO2|Minor restricted activity days", US_national_yearly!$D:$AM, 24, FALSE) / VLOOKUP("electricity|SO2|Minor restricted activity days", US_national_yearly!$D:$AM, 10, FALSE), 1)</f>
        <v>23.043868995233083</v>
      </c>
      <c r="Q14" s="7">
        <f>$B14 * IFERROR(VLOOKUP("electricity|SO2|Minor restricted activity days", US_national_yearly!$D:$AM, 25, FALSE) / VLOOKUP("electricity|SO2|Minor restricted activity days", US_national_yearly!$D:$AM, 10, FALSE), 1)</f>
        <v>23.227832280894273</v>
      </c>
      <c r="R14" s="7">
        <f>$B14 * IFERROR(VLOOKUP("electricity|SO2|Minor restricted activity days", US_national_yearly!$D:$AM, 26, FALSE) / VLOOKUP("electricity|SO2|Minor restricted activity days", US_national_yearly!$D:$AM, 10, FALSE), 1)</f>
        <v>23.411795566555462</v>
      </c>
      <c r="S14" s="7">
        <f>$B14 * IFERROR(VLOOKUP("electricity|SO2|Minor restricted activity days", US_national_yearly!$D:$AM, 27, FALSE) / VLOOKUP("electricity|SO2|Minor restricted activity days", US_national_yearly!$D:$AM, 10, FALSE), 1)</f>
        <v>23.600386937752639</v>
      </c>
      <c r="T14" s="7">
        <f>$B14 * IFERROR(VLOOKUP("electricity|SO2|Minor restricted activity days", US_national_yearly!$D:$AM, 28, FALSE) / VLOOKUP("electricity|SO2|Minor restricted activity days", US_national_yearly!$D:$AM, 10, FALSE), 1)</f>
        <v>23.788978308949819</v>
      </c>
      <c r="U14" s="7">
        <f>$B14 * IFERROR(VLOOKUP("electricity|SO2|Minor restricted activity days", US_national_yearly!$D:$AM, 29, FALSE) / VLOOKUP("electricity|SO2|Minor restricted activity days", US_national_yearly!$D:$AM, 10, FALSE), 1)</f>
        <v>23.977569680146992</v>
      </c>
      <c r="V14" s="7">
        <f>$B14 * IFERROR(VLOOKUP("electricity|SO2|Minor restricted activity days", US_national_yearly!$D:$AM, 30, FALSE) / VLOOKUP("electricity|SO2|Minor restricted activity days", US_national_yearly!$D:$AM, 10, FALSE), 1)</f>
        <v>24.166161051344169</v>
      </c>
      <c r="W14" s="7">
        <f>$B14 * IFERROR(VLOOKUP("electricity|SO2|Minor restricted activity days", US_national_yearly!$D:$AM, 31, FALSE) / VLOOKUP("electricity|SO2|Minor restricted activity days", US_national_yearly!$D:$AM, 10, FALSE), 1)</f>
        <v>24.354752422541349</v>
      </c>
      <c r="X14" s="7">
        <f>$B14 * IFERROR(VLOOKUP("electricity|SO2|Minor restricted activity days", US_national_yearly!$D:$AM, 32, FALSE) / VLOOKUP("electricity|SO2|Minor restricted activity days", US_national_yearly!$D:$AM, 10, FALSE), 1)</f>
        <v>24.520692160063216</v>
      </c>
      <c r="Y14" s="7">
        <f>$B14 * IFERROR(VLOOKUP("electricity|SO2|Minor restricted activity days", US_national_yearly!$D:$AM, 33, FALSE) / VLOOKUP("electricity|SO2|Minor restricted activity days", US_national_yearly!$D:$AM, 10, FALSE), 1)</f>
        <v>24.686631897585084</v>
      </c>
      <c r="Z14" s="7">
        <f>$B14 * IFERROR(VLOOKUP("electricity|SO2|Minor restricted activity days", US_national_yearly!$D:$AM, 34, FALSE) / VLOOKUP("electricity|SO2|Minor restricted activity days", US_national_yearly!$D:$AM, 10, FALSE), 1)</f>
        <v>24.852571635106948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25.018511372628819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25.184451110150686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3.6475566633915895</v>
      </c>
      <c r="C15" s="7">
        <f>$B15 * IFERROR(VLOOKUP("electricity|SO2|Work loss days", US_national_yearly!$D:$AM, 11, FALSE) / VLOOKUP("electricity|SO2|Work loss days", US_national_yearly!$D:$AM, 10, FALSE), 1)</f>
        <v>3.6593675621813353</v>
      </c>
      <c r="D15" s="7">
        <f>$B15 * IFERROR(VLOOKUP("electricity|SO2|Work loss days", US_national_yearly!$D:$AM, 12, FALSE) / VLOOKUP("electricity|SO2|Work loss days", US_national_yearly!$D:$AM, 10, FALSE), 1)</f>
        <v>3.6711784609710807</v>
      </c>
      <c r="E15" s="7">
        <f>$B15 * IFERROR(VLOOKUP("electricity|SO2|Work loss days", US_national_yearly!$D:$AM, 13, FALSE) / VLOOKUP("electricity|SO2|Work loss days", US_national_yearly!$D:$AM, 10, FALSE), 1)</f>
        <v>3.6829893597608274</v>
      </c>
      <c r="F15" s="7">
        <f>$B15 * IFERROR(VLOOKUP("electricity|SO2|Work loss days", US_national_yearly!$D:$AM, 14, FALSE) / VLOOKUP("electricity|SO2|Work loss days", US_national_yearly!$D:$AM, 10, FALSE), 1)</f>
        <v>3.6948002585505728</v>
      </c>
      <c r="G15" s="7">
        <f>$B15 * IFERROR(VLOOKUP("electricity|SO2|Work loss days", US_national_yearly!$D:$AM, 15, FALSE) / VLOOKUP("electricity|SO2|Work loss days", US_national_yearly!$D:$AM, 10, FALSE), 1)</f>
        <v>3.7099307517501612</v>
      </c>
      <c r="H15" s="7">
        <f>$B15 * IFERROR(VLOOKUP("electricity|SO2|Work loss days", US_national_yearly!$D:$AM, 16, FALSE) / VLOOKUP("electricity|SO2|Work loss days", US_national_yearly!$D:$AM, 10, FALSE), 1)</f>
        <v>3.7250612449497496</v>
      </c>
      <c r="I15" s="7">
        <f>$B15 * IFERROR(VLOOKUP("electricity|SO2|Work loss days", US_national_yearly!$D:$AM, 17, FALSE) / VLOOKUP("electricity|SO2|Work loss days", US_national_yearly!$D:$AM, 10, FALSE), 1)</f>
        <v>3.7471989362864222</v>
      </c>
      <c r="J15" s="7">
        <f>$B15 * IFERROR(VLOOKUP("electricity|SO2|Work loss days", US_national_yearly!$D:$AM, 18, FALSE) / VLOOKUP("electricity|SO2|Work loss days", US_national_yearly!$D:$AM, 10, FALSE), 1)</f>
        <v>3.7693366276230944</v>
      </c>
      <c r="K15" s="7">
        <f>$B15 * IFERROR(VLOOKUP("electricity|SO2|Work loss days", US_national_yearly!$D:$AM, 19, FALSE) / VLOOKUP("electricity|SO2|Work loss days", US_national_yearly!$D:$AM, 10, FALSE), 1)</f>
        <v>3.7914743189597679</v>
      </c>
      <c r="L15" s="7">
        <f>$B15 * IFERROR(VLOOKUP("electricity|SO2|Work loss days", US_national_yearly!$D:$AM, 20, FALSE) / VLOOKUP("electricity|SO2|Work loss days", US_national_yearly!$D:$AM, 10, FALSE), 1)</f>
        <v>3.8136120102964397</v>
      </c>
      <c r="M15" s="7">
        <f>$B15 * IFERROR(VLOOKUP("electricity|SO2|Work loss days", US_national_yearly!$D:$AM, 21, FALSE) / VLOOKUP("electricity|SO2|Work loss days", US_national_yearly!$D:$AM, 10, FALSE), 1)</f>
        <v>3.8357497016331132</v>
      </c>
      <c r="N15" s="7">
        <f>$B15 * IFERROR(VLOOKUP("electricity|SO2|Work loss days", US_national_yearly!$D:$AM, 22, FALSE) / VLOOKUP("electricity|SO2|Work loss days", US_national_yearly!$D:$AM, 10, FALSE), 1)</f>
        <v>3.8637593866903481</v>
      </c>
      <c r="O15" s="7">
        <f>$B15 * IFERROR(VLOOKUP("electricity|SO2|Work loss days", US_national_yearly!$D:$AM, 23, FALSE) / VLOOKUP("electricity|SO2|Work loss days", US_national_yearly!$D:$AM, 10, FALSE), 1)</f>
        <v>3.8917690717475835</v>
      </c>
      <c r="P15" s="7">
        <f>$B15 * IFERROR(VLOOKUP("electricity|SO2|Work loss days", US_national_yearly!$D:$AM, 24, FALSE) / VLOOKUP("electricity|SO2|Work loss days", US_national_yearly!$D:$AM, 10, FALSE), 1)</f>
        <v>3.9197787568048188</v>
      </c>
      <c r="Q15" s="7">
        <f>$B15 * IFERROR(VLOOKUP("electricity|SO2|Work loss days", US_national_yearly!$D:$AM, 25, FALSE) / VLOOKUP("electricity|SO2|Work loss days", US_national_yearly!$D:$AM, 10, FALSE), 1)</f>
        <v>3.9477884418620532</v>
      </c>
      <c r="R15" s="7">
        <f>$B15 * IFERROR(VLOOKUP("electricity|SO2|Work loss days", US_national_yearly!$D:$AM, 26, FALSE) / VLOOKUP("electricity|SO2|Work loss days", US_national_yearly!$D:$AM, 10, FALSE), 1)</f>
        <v>3.9757981269192886</v>
      </c>
      <c r="S15" s="7">
        <f>$B15 * IFERROR(VLOOKUP("electricity|SO2|Work loss days", US_national_yearly!$D:$AM, 27, FALSE) / VLOOKUP("electricity|SO2|Work loss days", US_national_yearly!$D:$AM, 10, FALSE), 1)</f>
        <v>4.0071995976500023</v>
      </c>
      <c r="T15" s="7">
        <f>$B15 * IFERROR(VLOOKUP("electricity|SO2|Work loss days", US_national_yearly!$D:$AM, 28, FALSE) / VLOOKUP("electricity|SO2|Work loss days", US_national_yearly!$D:$AM, 10, FALSE), 1)</f>
        <v>4.038601068380717</v>
      </c>
      <c r="U15" s="7">
        <f>$B15 * IFERROR(VLOOKUP("electricity|SO2|Work loss days", US_national_yearly!$D:$AM, 29, FALSE) / VLOOKUP("electricity|SO2|Work loss days", US_national_yearly!$D:$AM, 10, FALSE), 1)</f>
        <v>4.0700025391114316</v>
      </c>
      <c r="V15" s="7">
        <f>$B15 * IFERROR(VLOOKUP("electricity|SO2|Work loss days", US_national_yearly!$D:$AM, 30, FALSE) / VLOOKUP("electricity|SO2|Work loss days", US_national_yearly!$D:$AM, 10, FALSE), 1)</f>
        <v>4.1014040098421463</v>
      </c>
      <c r="W15" s="7">
        <f>$B15 * IFERROR(VLOOKUP("electricity|SO2|Work loss days", US_national_yearly!$D:$AM, 31, FALSE) / VLOOKUP("electricity|SO2|Work loss days", US_national_yearly!$D:$AM, 10, FALSE), 1)</f>
        <v>4.1328054805728609</v>
      </c>
      <c r="X15" s="7">
        <f>$B15 * IFERROR(VLOOKUP("electricity|SO2|Work loss days", US_national_yearly!$D:$AM, 32, FALSE) / VLOOKUP("electricity|SO2|Work loss days", US_national_yearly!$D:$AM, 10, FALSE), 1)</f>
        <v>4.1610950999113374</v>
      </c>
      <c r="Y15" s="7">
        <f>$B15 * IFERROR(VLOOKUP("electricity|SO2|Work loss days", US_national_yearly!$D:$AM, 33, FALSE) / VLOOKUP("electricity|SO2|Work loss days", US_national_yearly!$D:$AM, 10, FALSE), 1)</f>
        <v>4.1893847192498148</v>
      </c>
      <c r="Z15" s="7">
        <f>$B15 * IFERROR(VLOOKUP("electricity|SO2|Work loss days", US_national_yearly!$D:$AM, 34, FALSE) / VLOOKUP("electricity|SO2|Work loss days", US_national_yearly!$D:$AM, 10, FALSE), 1)</f>
        <v>4.2176743385882904</v>
      </c>
      <c r="AA15" s="7">
        <f>$B15 * IFERROR(VLOOKUP("electricity|SO2|Work loss days", US_national_yearly!$D:$AM, 35, FALSE) / VLOOKUP("electricity|SO2|Work loss days", US_national_yearly!$D:$AM, 10, FALSE), 1)</f>
        <v>4.245963957926767</v>
      </c>
      <c r="AB15" s="7">
        <f>$B15 * IFERROR(VLOOKUP("electricity|SO2|Work loss days", US_national_yearly!$D:$AM, 36, FALSE) / VLOOKUP("electricity|SO2|Work loss days", US_national_yearly!$D:$AM, 10, FALSE), 1)</f>
        <v>4.2742535772652435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4.6468856121078938E-3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4.7876991636696415E-3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4.9285127152313892E-3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5.0693262667931369E-3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5.2101398183548846E-3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5.3458751092026876E-3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5.4816104000504906E-3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5.5991219440452693E-3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5.7166334880400472E-3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5.834145032034826E-3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5.951656576029603E-3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6.0691681200243817E-3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6.1493694355013668E-3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6.2295707509783501E-3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6.3097720664553368E-3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6.3899733819323202E-3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6.4701746974093052E-3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6.5141425277911785E-3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6.5581103581730518E-3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6.6020781885549251E-3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6.6460460189367975E-3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6.6900138493186708E-3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6.7203643071475066E-3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6.7507147649763406E-3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6.7810652228051755E-3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6.8114156806340104E-3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6.8417661384628453E-3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0.11045630437051566</v>
      </c>
      <c r="C2" s="7">
        <f>$B2 * IFERROR(VLOOKUP("buildings|PM25|Premature mortality", US_national_yearly!$D:$AM, 11, FALSE) / VLOOKUP("buildings|PM25|Premature mortality", US_national_yearly!$D:$AM, 10, FALSE), 1)</f>
        <v>0.11182671236799972</v>
      </c>
      <c r="D2" s="7">
        <f>$B2 * IFERROR(VLOOKUP("buildings|PM25|Premature mortality", US_national_yearly!$D:$AM, 12, FALSE) / VLOOKUP("buildings|PM25|Premature mortality", US_national_yearly!$D:$AM, 10, FALSE), 1)</f>
        <v>0.11319712036548377</v>
      </c>
      <c r="E2" s="7">
        <f>$B2 * IFERROR(VLOOKUP("buildings|PM25|Premature mortality", US_national_yearly!$D:$AM, 13, FALSE) / VLOOKUP("buildings|PM25|Premature mortality", US_national_yearly!$D:$AM, 10, FALSE), 1)</f>
        <v>0.11456752836296782</v>
      </c>
      <c r="F2" s="7">
        <f>$B2 * IFERROR(VLOOKUP("buildings|PM25|Premature mortality", US_national_yearly!$D:$AM, 14, FALSE) / VLOOKUP("buildings|PM25|Premature mortality", US_national_yearly!$D:$AM, 10, FALSE), 1)</f>
        <v>0.11593793636045187</v>
      </c>
      <c r="G2" s="7">
        <f>$B2 * IFERROR(VLOOKUP("buildings|PM25|Premature mortality", US_national_yearly!$D:$AM, 15, FALSE) / VLOOKUP("buildings|PM25|Premature mortality", US_national_yearly!$D:$AM, 10, FALSE), 1)</f>
        <v>0.11860640176259714</v>
      </c>
      <c r="H2" s="7">
        <f>$B2 * IFERROR(VLOOKUP("buildings|PM25|Premature mortality", US_national_yearly!$D:$AM, 16, FALSE) / VLOOKUP("buildings|PM25|Premature mortality", US_national_yearly!$D:$AM, 10, FALSE), 1)</f>
        <v>0.12127486716474242</v>
      </c>
      <c r="I2" s="7">
        <f>$B2 * IFERROR(VLOOKUP("buildings|PM25|Premature mortality", US_national_yearly!$D:$AM, 17, FALSE) / VLOOKUP("buildings|PM25|Premature mortality", US_national_yearly!$D:$AM, 10, FALSE), 1)</f>
        <v>0.12302987089799045</v>
      </c>
      <c r="J2" s="7">
        <f>$B2 * IFERROR(VLOOKUP("buildings|PM25|Premature mortality", US_national_yearly!$D:$AM, 18, FALSE) / VLOOKUP("buildings|PM25|Premature mortality", US_national_yearly!$D:$AM, 10, FALSE), 1)</f>
        <v>0.12478487463123847</v>
      </c>
      <c r="K2" s="7">
        <f>$B2 * IFERROR(VLOOKUP("buildings|PM25|Premature mortality", US_national_yearly!$D:$AM, 19, FALSE) / VLOOKUP("buildings|PM25|Premature mortality", US_national_yearly!$D:$AM, 10, FALSE), 1)</f>
        <v>0.12653987836448649</v>
      </c>
      <c r="L2" s="7">
        <f>$B2 * IFERROR(VLOOKUP("buildings|PM25|Premature mortality", US_national_yearly!$D:$AM, 20, FALSE) / VLOOKUP("buildings|PM25|Premature mortality", US_national_yearly!$D:$AM, 10, FALSE), 1)</f>
        <v>0.12829488209773451</v>
      </c>
      <c r="M2" s="7">
        <f>$B2 * IFERROR(VLOOKUP("buildings|PM25|Premature mortality", US_national_yearly!$D:$AM, 21, FALSE) / VLOOKUP("buildings|PM25|Premature mortality", US_national_yearly!$D:$AM, 10, FALSE), 1)</f>
        <v>0.13004988583098256</v>
      </c>
      <c r="N2" s="7">
        <f>$B2 * IFERROR(VLOOKUP("buildings|PM25|Premature mortality", US_national_yearly!$D:$AM, 22, FALSE) / VLOOKUP("buildings|PM25|Premature mortality", US_national_yearly!$D:$AM, 10, FALSE), 1)</f>
        <v>0.13141459628787819</v>
      </c>
      <c r="O2" s="7">
        <f>$B2 * IFERROR(VLOOKUP("buildings|PM25|Premature mortality", US_national_yearly!$D:$AM, 23, FALSE) / VLOOKUP("buildings|PM25|Premature mortality", US_national_yearly!$D:$AM, 10, FALSE), 1)</f>
        <v>0.13277930674477384</v>
      </c>
      <c r="P2" s="7">
        <f>$B2 * IFERROR(VLOOKUP("buildings|PM25|Premature mortality", US_national_yearly!$D:$AM, 24, FALSE) / VLOOKUP("buildings|PM25|Premature mortality", US_national_yearly!$D:$AM, 10, FALSE), 1)</f>
        <v>0.13414401720166949</v>
      </c>
      <c r="Q2" s="7">
        <f>$B2 * IFERROR(VLOOKUP("buildings|PM25|Premature mortality", US_national_yearly!$D:$AM, 25, FALSE) / VLOOKUP("buildings|PM25|Premature mortality", US_national_yearly!$D:$AM, 10, FALSE), 1)</f>
        <v>0.13550872765856517</v>
      </c>
      <c r="R2" s="7">
        <f>$B2 * IFERROR(VLOOKUP("buildings|PM25|Premature mortality", US_national_yearly!$D:$AM, 26, FALSE) / VLOOKUP("buildings|PM25|Premature mortality", US_national_yearly!$D:$AM, 10, FALSE), 1)</f>
        <v>0.13687343811546082</v>
      </c>
      <c r="S2" s="7">
        <f>$B2 * IFERROR(VLOOKUP("buildings|PM25|Premature mortality", US_national_yearly!$D:$AM, 27, FALSE) / VLOOKUP("buildings|PM25|Premature mortality", US_national_yearly!$D:$AM, 10, FALSE), 1)</f>
        <v>0.137598795278803</v>
      </c>
      <c r="T2" s="7">
        <f>$B2 * IFERROR(VLOOKUP("buildings|PM25|Premature mortality", US_national_yearly!$D:$AM, 28, FALSE) / VLOOKUP("buildings|PM25|Premature mortality", US_national_yearly!$D:$AM, 10, FALSE), 1)</f>
        <v>0.13832415244214519</v>
      </c>
      <c r="U2" s="7">
        <f>$B2 * IFERROR(VLOOKUP("buildings|PM25|Premature mortality", US_national_yearly!$D:$AM, 29, FALSE) / VLOOKUP("buildings|PM25|Premature mortality", US_national_yearly!$D:$AM, 10, FALSE), 1)</f>
        <v>0.1390495096054874</v>
      </c>
      <c r="V2" s="7">
        <f>$B2 * IFERROR(VLOOKUP("buildings|PM25|Premature mortality", US_national_yearly!$D:$AM, 30, FALSE) / VLOOKUP("buildings|PM25|Premature mortality", US_national_yearly!$D:$AM, 10, FALSE), 1)</f>
        <v>0.13977486676882961</v>
      </c>
      <c r="W2" s="7">
        <f>$B2 * IFERROR(VLOOKUP("buildings|PM25|Premature mortality", US_national_yearly!$D:$AM, 31, FALSE) / VLOOKUP("buildings|PM25|Premature mortality", US_national_yearly!$D:$AM, 10, FALSE), 1)</f>
        <v>0.14050022393217179</v>
      </c>
      <c r="X2" s="7">
        <f>$B2 * IFERROR(VLOOKUP("buildings|PM25|Premature mortality", US_national_yearly!$D:$AM, 32, FALSE) / VLOOKUP("buildings|PM25|Premature mortality", US_national_yearly!$D:$AM, 10, FALSE), 1)</f>
        <v>0.1406304197197045</v>
      </c>
      <c r="Y2" s="7">
        <f>$B2 * IFERROR(VLOOKUP("buildings|PM25|Premature mortality", US_national_yearly!$D:$AM, 33, FALSE) / VLOOKUP("buildings|PM25|Premature mortality", US_national_yearly!$D:$AM, 10, FALSE), 1)</f>
        <v>0.1407606155072372</v>
      </c>
      <c r="Z2" s="7">
        <f>$B2 * IFERROR(VLOOKUP("buildings|PM25|Premature mortality", US_national_yearly!$D:$AM, 34, FALSE) / VLOOKUP("buildings|PM25|Premature mortality", US_national_yearly!$D:$AM, 10, FALSE), 1)</f>
        <v>0.14089081129476991</v>
      </c>
      <c r="AA2" s="7">
        <f>$B2 * IFERROR(VLOOKUP("buildings|PM25|Premature mortality", US_national_yearly!$D:$AM, 35, FALSE) / VLOOKUP("buildings|PM25|Premature mortality", US_national_yearly!$D:$AM, 10, FALSE), 1)</f>
        <v>0.14102100708230261</v>
      </c>
      <c r="AB2" s="7">
        <f>$B2 * IFERROR(VLOOKUP("buildings|PM25|Premature mortality", US_national_yearly!$D:$AM, 36, FALSE) / VLOOKUP("buildings|PM25|Premature mortality", US_national_yearly!$D:$AM, 10, FALSE), 1)</f>
        <v>0.14115120286983532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2.4049382866286995E-4</v>
      </c>
      <c r="C3" s="7">
        <f>$B3 * IFERROR(VLOOKUP("buildings|PM25|Infant mortality", US_national_yearly!$D:$AM, 11, FALSE) / VLOOKUP("buildings|PM25|Infant mortality", US_national_yearly!$D:$AM, 10, FALSE), 1)</f>
        <v>2.3841076307138133E-4</v>
      </c>
      <c r="D3" s="7">
        <f>$B3 * IFERROR(VLOOKUP("buildings|PM25|Infant mortality", US_national_yearly!$D:$AM, 12, FALSE) / VLOOKUP("buildings|PM25|Infant mortality", US_national_yearly!$D:$AM, 10, FALSE), 1)</f>
        <v>2.3632769747989271E-4</v>
      </c>
      <c r="E3" s="7">
        <f>$B3 * IFERROR(VLOOKUP("buildings|PM25|Infant mortality", US_national_yearly!$D:$AM, 13, FALSE) / VLOOKUP("buildings|PM25|Infant mortality", US_national_yearly!$D:$AM, 10, FALSE), 1)</f>
        <v>2.3424463188840408E-4</v>
      </c>
      <c r="F3" s="7">
        <f>$B3 * IFERROR(VLOOKUP("buildings|PM25|Infant mortality", US_national_yearly!$D:$AM, 14, FALSE) / VLOOKUP("buildings|PM25|Infant mortality", US_national_yearly!$D:$AM, 10, FALSE), 1)</f>
        <v>2.3216156629691549E-4</v>
      </c>
      <c r="G3" s="7">
        <f>$B3 * IFERROR(VLOOKUP("buildings|PM25|Infant mortality", US_national_yearly!$D:$AM, 15, FALSE) / VLOOKUP("buildings|PM25|Infant mortality", US_national_yearly!$D:$AM, 10, FALSE), 1)</f>
        <v>1.5437901895730527E-4</v>
      </c>
      <c r="H3" s="7">
        <f>$B3 * IFERROR(VLOOKUP("buildings|PM25|Infant mortality", US_national_yearly!$D:$AM, 16, FALSE) / VLOOKUP("buildings|PM25|Infant mortality", US_national_yearly!$D:$AM, 10, FALSE), 1)</f>
        <v>7.6596471617695062E-5</v>
      </c>
      <c r="I3" s="7">
        <f>$B3 * IFERROR(VLOOKUP("buildings|PM25|Infant mortality", US_national_yearly!$D:$AM, 17, FALSE) / VLOOKUP("buildings|PM25|Infant mortality", US_national_yearly!$D:$AM, 10, FALSE), 1)</f>
        <v>7.6097337938743314E-5</v>
      </c>
      <c r="J3" s="7">
        <f>$B3 * IFERROR(VLOOKUP("buildings|PM25|Infant mortality", US_national_yearly!$D:$AM, 18, FALSE) / VLOOKUP("buildings|PM25|Infant mortality", US_national_yearly!$D:$AM, 10, FALSE), 1)</f>
        <v>7.5598204259791566E-5</v>
      </c>
      <c r="K3" s="7">
        <f>$B3 * IFERROR(VLOOKUP("buildings|PM25|Infant mortality", US_national_yearly!$D:$AM, 19, FALSE) / VLOOKUP("buildings|PM25|Infant mortality", US_national_yearly!$D:$AM, 10, FALSE), 1)</f>
        <v>7.5099070580839818E-5</v>
      </c>
      <c r="L3" s="7">
        <f>$B3 * IFERROR(VLOOKUP("buildings|PM25|Infant mortality", US_national_yearly!$D:$AM, 20, FALSE) / VLOOKUP("buildings|PM25|Infant mortality", US_national_yearly!$D:$AM, 10, FALSE), 1)</f>
        <v>7.459993690188807E-5</v>
      </c>
      <c r="M3" s="7">
        <f>$B3 * IFERROR(VLOOKUP("buildings|PM25|Infant mortality", US_national_yearly!$D:$AM, 21, FALSE) / VLOOKUP("buildings|PM25|Infant mortality", US_national_yearly!$D:$AM, 10, FALSE), 1)</f>
        <v>7.4100803222936323E-5</v>
      </c>
      <c r="N3" s="7">
        <f>$B3 * IFERROR(VLOOKUP("buildings|PM25|Infant mortality", US_national_yearly!$D:$AM, 22, FALSE) / VLOOKUP("buildings|PM25|Infant mortality", US_national_yearly!$D:$AM, 10, FALSE), 1)</f>
        <v>7.3788497422112349E-5</v>
      </c>
      <c r="O3" s="7">
        <f>$B3 * IFERROR(VLOOKUP("buildings|PM25|Infant mortality", US_national_yearly!$D:$AM, 23, FALSE) / VLOOKUP("buildings|PM25|Infant mortality", US_national_yearly!$D:$AM, 10, FALSE), 1)</f>
        <v>7.3476191621288362E-5</v>
      </c>
      <c r="P3" s="7">
        <f>$B3 * IFERROR(VLOOKUP("buildings|PM25|Infant mortality", US_national_yearly!$D:$AM, 24, FALSE) / VLOOKUP("buildings|PM25|Infant mortality", US_national_yearly!$D:$AM, 10, FALSE), 1)</f>
        <v>7.3163885820464375E-5</v>
      </c>
      <c r="Q3" s="7">
        <f>$B3 * IFERROR(VLOOKUP("buildings|PM25|Infant mortality", US_national_yearly!$D:$AM, 25, FALSE) / VLOOKUP("buildings|PM25|Infant mortality", US_national_yearly!$D:$AM, 10, FALSE), 1)</f>
        <v>7.2851580019640401E-5</v>
      </c>
      <c r="R3" s="7">
        <f>$B3 * IFERROR(VLOOKUP("buildings|PM25|Infant mortality", US_national_yearly!$D:$AM, 26, FALSE) / VLOOKUP("buildings|PM25|Infant mortality", US_national_yearly!$D:$AM, 10, FALSE), 1)</f>
        <v>7.2539274218816414E-5</v>
      </c>
      <c r="S3" s="7">
        <f>$B3 * IFERROR(VLOOKUP("buildings|PM25|Infant mortality", US_national_yearly!$D:$AM, 27, FALSE) / VLOOKUP("buildings|PM25|Infant mortality", US_national_yearly!$D:$AM, 10, FALSE), 1)</f>
        <v>7.2149338951534486E-5</v>
      </c>
      <c r="T3" s="7">
        <f>$B3 * IFERROR(VLOOKUP("buildings|PM25|Infant mortality", US_national_yearly!$D:$AM, 28, FALSE) / VLOOKUP("buildings|PM25|Infant mortality", US_national_yearly!$D:$AM, 10, FALSE), 1)</f>
        <v>7.1759403684252559E-5</v>
      </c>
      <c r="U3" s="7">
        <f>$B3 * IFERROR(VLOOKUP("buildings|PM25|Infant mortality", US_national_yearly!$D:$AM, 29, FALSE) / VLOOKUP("buildings|PM25|Infant mortality", US_national_yearly!$D:$AM, 10, FALSE), 1)</f>
        <v>7.1369468416970617E-5</v>
      </c>
      <c r="V3" s="7">
        <f>$B3 * IFERROR(VLOOKUP("buildings|PM25|Infant mortality", US_national_yearly!$D:$AM, 30, FALSE) / VLOOKUP("buildings|PM25|Infant mortality", US_national_yearly!$D:$AM, 10, FALSE), 1)</f>
        <v>7.0979533149688703E-5</v>
      </c>
      <c r="W3" s="7">
        <f>$B3 * IFERROR(VLOOKUP("buildings|PM25|Infant mortality", US_national_yearly!$D:$AM, 31, FALSE) / VLOOKUP("buildings|PM25|Infant mortality", US_national_yearly!$D:$AM, 10, FALSE), 1)</f>
        <v>7.0589597882406762E-5</v>
      </c>
      <c r="X3" s="7">
        <f>$B3 * IFERROR(VLOOKUP("buildings|PM25|Infant mortality", US_national_yearly!$D:$AM, 32, FALSE) / VLOOKUP("buildings|PM25|Infant mortality", US_national_yearly!$D:$AM, 10, FALSE), 1)</f>
        <v>7.0169782361517447E-5</v>
      </c>
      <c r="Y3" s="7">
        <f>$B3 * IFERROR(VLOOKUP("buildings|PM25|Infant mortality", US_national_yearly!$D:$AM, 33, FALSE) / VLOOKUP("buildings|PM25|Infant mortality", US_national_yearly!$D:$AM, 10, FALSE), 1)</f>
        <v>6.9749966840628133E-5</v>
      </c>
      <c r="Z3" s="7">
        <f>$B3 * IFERROR(VLOOKUP("buildings|PM25|Infant mortality", US_national_yearly!$D:$AM, 34, FALSE) / VLOOKUP("buildings|PM25|Infant mortality", US_national_yearly!$D:$AM, 10, FALSE), 1)</f>
        <v>6.9330151319738819E-5</v>
      </c>
      <c r="AA3" s="7">
        <f>$B3 * IFERROR(VLOOKUP("buildings|PM25|Infant mortality", US_national_yearly!$D:$AM, 35, FALSE) / VLOOKUP("buildings|PM25|Infant mortality", US_national_yearly!$D:$AM, 10, FALSE), 1)</f>
        <v>6.8910335798849491E-5</v>
      </c>
      <c r="AB3" s="7">
        <f>$B3 * IFERROR(VLOOKUP("buildings|PM25|Infant mortality", US_national_yearly!$D:$AM, 36, FALSE) / VLOOKUP("buildings|PM25|Infant mortality", US_national_yearly!$D:$AM, 10, FALSE), 1)</f>
        <v>6.8490520277960176E-5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0.35699097028497795</v>
      </c>
      <c r="C6" s="7">
        <f>$B6 * IFERROR(VLOOKUP("buildings|PM25|Asthma symptoms cough", US_national_yearly!$D:$AM, 11, FALSE) / VLOOKUP("buildings|PM25|Asthma symptoms cough", US_national_yearly!$D:$AM, 10, FALSE), 1)</f>
        <v>0.35699097028497795</v>
      </c>
      <c r="D6" s="7">
        <f>$B6 * IFERROR(VLOOKUP("buildings|PM25|Asthma symptoms cough", US_national_yearly!$D:$AM, 12, FALSE) / VLOOKUP("buildings|PM25|Asthma symptoms cough", US_national_yearly!$D:$AM, 10, FALSE), 1)</f>
        <v>0.35699097028497795</v>
      </c>
      <c r="E6" s="7">
        <f>$B6 * IFERROR(VLOOKUP("buildings|PM25|Asthma symptoms cough", US_national_yearly!$D:$AM, 13, FALSE) / VLOOKUP("buildings|PM25|Asthma symptoms cough", US_national_yearly!$D:$AM, 10, FALSE), 1)</f>
        <v>0.35699097028497795</v>
      </c>
      <c r="F6" s="7">
        <f>$B6 * IFERROR(VLOOKUP("buildings|PM25|Asthma symptoms cough", US_national_yearly!$D:$AM, 14, FALSE) / VLOOKUP("buildings|PM25|Asthma symptoms cough", US_national_yearly!$D:$AM, 10, FALSE), 1)</f>
        <v>0.35699097028497795</v>
      </c>
      <c r="G6" s="7">
        <f>$B6 * IFERROR(VLOOKUP("buildings|PM25|Asthma symptoms cough", US_national_yearly!$D:$AM, 15, FALSE) / VLOOKUP("buildings|PM25|Asthma symptoms cough", US_national_yearly!$D:$AM, 10, FALSE), 1)</f>
        <v>0.35699097028497795</v>
      </c>
      <c r="H6" s="7">
        <f>$B6 * IFERROR(VLOOKUP("buildings|PM25|Asthma symptoms cough", US_national_yearly!$D:$AM, 16, FALSE) / VLOOKUP("buildings|PM25|Asthma symptoms cough", US_national_yearly!$D:$AM, 10, FALSE), 1)</f>
        <v>0.35699097028497795</v>
      </c>
      <c r="I6" s="7">
        <f>$B6 * IFERROR(VLOOKUP("buildings|PM25|Asthma symptoms cough", US_national_yearly!$D:$AM, 17, FALSE) / VLOOKUP("buildings|PM25|Asthma symptoms cough", US_national_yearly!$D:$AM, 10, FALSE), 1)</f>
        <v>0.35699097028497795</v>
      </c>
      <c r="J6" s="7">
        <f>$B6 * IFERROR(VLOOKUP("buildings|PM25|Asthma symptoms cough", US_national_yearly!$D:$AM, 18, FALSE) / VLOOKUP("buildings|PM25|Asthma symptoms cough", US_national_yearly!$D:$AM, 10, FALSE), 1)</f>
        <v>0.35699097028497795</v>
      </c>
      <c r="K6" s="7">
        <f>$B6 * IFERROR(VLOOKUP("buildings|PM25|Asthma symptoms cough", US_national_yearly!$D:$AM, 19, FALSE) / VLOOKUP("buildings|PM25|Asthma symptoms cough", US_national_yearly!$D:$AM, 10, FALSE), 1)</f>
        <v>0.35699097028497795</v>
      </c>
      <c r="L6" s="7">
        <f>$B6 * IFERROR(VLOOKUP("buildings|PM25|Asthma symptoms cough", US_national_yearly!$D:$AM, 20, FALSE) / VLOOKUP("buildings|PM25|Asthma symptoms cough", US_national_yearly!$D:$AM, 10, FALSE), 1)</f>
        <v>0.35699097028497795</v>
      </c>
      <c r="M6" s="7">
        <f>$B6 * IFERROR(VLOOKUP("buildings|PM25|Asthma symptoms cough", US_national_yearly!$D:$AM, 21, FALSE) / VLOOKUP("buildings|PM25|Asthma symptoms cough", US_national_yearly!$D:$AM, 10, FALSE), 1)</f>
        <v>0.35699097028497795</v>
      </c>
      <c r="N6" s="7">
        <f>$B6 * IFERROR(VLOOKUP("buildings|PM25|Asthma symptoms cough", US_national_yearly!$D:$AM, 22, FALSE) / VLOOKUP("buildings|PM25|Asthma symptoms cough", US_national_yearly!$D:$AM, 10, FALSE), 1)</f>
        <v>0.35699097028497795</v>
      </c>
      <c r="O6" s="7">
        <f>$B6 * IFERROR(VLOOKUP("buildings|PM25|Asthma symptoms cough", US_national_yearly!$D:$AM, 23, FALSE) / VLOOKUP("buildings|PM25|Asthma symptoms cough", US_national_yearly!$D:$AM, 10, FALSE), 1)</f>
        <v>0.35699097028497795</v>
      </c>
      <c r="P6" s="7">
        <f>$B6 * IFERROR(VLOOKUP("buildings|PM25|Asthma symptoms cough", US_national_yearly!$D:$AM, 24, FALSE) / VLOOKUP("buildings|PM25|Asthma symptoms cough", US_national_yearly!$D:$AM, 10, FALSE), 1)</f>
        <v>0.35699097028497795</v>
      </c>
      <c r="Q6" s="7">
        <f>$B6 * IFERROR(VLOOKUP("buildings|PM25|Asthma symptoms cough", US_national_yearly!$D:$AM, 25, FALSE) / VLOOKUP("buildings|PM25|Asthma symptoms cough", US_national_yearly!$D:$AM, 10, FALSE), 1)</f>
        <v>0.35699097028497795</v>
      </c>
      <c r="R6" s="7">
        <f>$B6 * IFERROR(VLOOKUP("buildings|PM25|Asthma symptoms cough", US_national_yearly!$D:$AM, 26, FALSE) / VLOOKUP("buildings|PM25|Asthma symptoms cough", US_national_yearly!$D:$AM, 10, FALSE), 1)</f>
        <v>0.35699097028497795</v>
      </c>
      <c r="S6" s="7">
        <f>$B6 * IFERROR(VLOOKUP("buildings|PM25|Asthma symptoms cough", US_national_yearly!$D:$AM, 27, FALSE) / VLOOKUP("buildings|PM25|Asthma symptoms cough", US_national_yearly!$D:$AM, 10, FALSE), 1)</f>
        <v>0.35699097028497795</v>
      </c>
      <c r="T6" s="7">
        <f>$B6 * IFERROR(VLOOKUP("buildings|PM25|Asthma symptoms cough", US_national_yearly!$D:$AM, 28, FALSE) / VLOOKUP("buildings|PM25|Asthma symptoms cough", US_national_yearly!$D:$AM, 10, FALSE), 1)</f>
        <v>0.35699097028497795</v>
      </c>
      <c r="U6" s="7">
        <f>$B6 * IFERROR(VLOOKUP("buildings|PM25|Asthma symptoms cough", US_national_yearly!$D:$AM, 29, FALSE) / VLOOKUP("buildings|PM25|Asthma symptoms cough", US_national_yearly!$D:$AM, 10, FALSE), 1)</f>
        <v>0.35699097028497795</v>
      </c>
      <c r="V6" s="7">
        <f>$B6 * IFERROR(VLOOKUP("buildings|PM25|Asthma symptoms cough", US_national_yearly!$D:$AM, 30, FALSE) / VLOOKUP("buildings|PM25|Asthma symptoms cough", US_national_yearly!$D:$AM, 10, FALSE), 1)</f>
        <v>0.35699097028497795</v>
      </c>
      <c r="W6" s="7">
        <f>$B6 * IFERROR(VLOOKUP("buildings|PM25|Asthma symptoms cough", US_national_yearly!$D:$AM, 31, FALSE) / VLOOKUP("buildings|PM25|Asthma symptoms cough", US_national_yearly!$D:$AM, 10, FALSE), 1)</f>
        <v>0.35699097028497795</v>
      </c>
      <c r="X6" s="7">
        <f>$B6 * IFERROR(VLOOKUP("buildings|PM25|Asthma symptoms cough", US_national_yearly!$D:$AM, 32, FALSE) / VLOOKUP("buildings|PM25|Asthma symptoms cough", US_national_yearly!$D:$AM, 10, FALSE), 1)</f>
        <v>0.35699097028497795</v>
      </c>
      <c r="Y6" s="7">
        <f>$B6 * IFERROR(VLOOKUP("buildings|PM25|Asthma symptoms cough", US_national_yearly!$D:$AM, 33, FALSE) / VLOOKUP("buildings|PM25|Asthma symptoms cough", US_national_yearly!$D:$AM, 10, FALSE), 1)</f>
        <v>0.35699097028497795</v>
      </c>
      <c r="Z6" s="7">
        <f>$B6 * IFERROR(VLOOKUP("buildings|PM25|Asthma symptoms cough", US_national_yearly!$D:$AM, 34, FALSE) / VLOOKUP("buildings|PM25|Asthma symptoms cough", US_national_yearly!$D:$AM, 10, FALSE), 1)</f>
        <v>0.35699097028497795</v>
      </c>
      <c r="AA6" s="7">
        <f>$B6 * IFERROR(VLOOKUP("buildings|PM25|Asthma symptoms cough", US_national_yearly!$D:$AM, 35, FALSE) / VLOOKUP("buildings|PM25|Asthma symptoms cough", US_national_yearly!$D:$AM, 10, FALSE), 1)</f>
        <v>0.35699097028497795</v>
      </c>
      <c r="AB6" s="7">
        <f>$B6 * IFERROR(VLOOKUP("buildings|PM25|Asthma symptoms cough", US_national_yearly!$D:$AM, 36, FALSE) / VLOOKUP("buildings|PM25|Asthma symptoms cough", US_national_yearly!$D:$AM, 10, FALSE), 1)</f>
        <v>0.35699097028497795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0.4807332429213273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0.4807332429213273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0.4807332429213273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0.4807332429213273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0.4807332429213273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0.4807332429213273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0.4807332429213273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0.4807332429213273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0.4807332429213273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0.4807332429213273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0.4807332429213273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0.4807332429213273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0.4807332429213273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0.4807332429213273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0.4807332429213273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0.4807332429213273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0.4807332429213273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0.4807332429213273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0.4807332429213273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0.4807332429213273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0.4807332429213273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0.4807332429213273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0.4807332429213273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0.4807332429213273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0.4807332429213273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0.4807332429213273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0.4807332429213273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0.73450352839561939</v>
      </c>
      <c r="C8" s="7">
        <f>$B8 * IFERROR(VLOOKUP("buildings|PM25|Asthma symptoms wheeze", US_national_yearly!$D:$AM, 11, FALSE) / VLOOKUP("buildings|PM25|Asthma symptoms wheeze", US_national_yearly!$D:$AM, 10, FALSE), 1)</f>
        <v>0.73450352839561939</v>
      </c>
      <c r="D8" s="7">
        <f>$B8 * IFERROR(VLOOKUP("buildings|PM25|Asthma symptoms wheeze", US_national_yearly!$D:$AM, 12, FALSE) / VLOOKUP("buildings|PM25|Asthma symptoms wheeze", US_national_yearly!$D:$AM, 10, FALSE), 1)</f>
        <v>0.73450352839561939</v>
      </c>
      <c r="E8" s="7">
        <f>$B8 * IFERROR(VLOOKUP("buildings|PM25|Asthma symptoms wheeze", US_national_yearly!$D:$AM, 13, FALSE) / VLOOKUP("buildings|PM25|Asthma symptoms wheeze", US_national_yearly!$D:$AM, 10, FALSE), 1)</f>
        <v>0.73450352839561939</v>
      </c>
      <c r="F8" s="7">
        <f>$B8 * IFERROR(VLOOKUP("buildings|PM25|Asthma symptoms wheeze", US_national_yearly!$D:$AM, 14, FALSE) / VLOOKUP("buildings|PM25|Asthma symptoms wheeze", US_national_yearly!$D:$AM, 10, FALSE), 1)</f>
        <v>0.73450352839561939</v>
      </c>
      <c r="G8" s="7">
        <f>$B8 * IFERROR(VLOOKUP("buildings|PM25|Asthma symptoms wheeze", US_national_yearly!$D:$AM, 15, FALSE) / VLOOKUP("buildings|PM25|Asthma symptoms wheeze", US_national_yearly!$D:$AM, 10, FALSE), 1)</f>
        <v>0.73450352839561939</v>
      </c>
      <c r="H8" s="7">
        <f>$B8 * IFERROR(VLOOKUP("buildings|PM25|Asthma symptoms wheeze", US_national_yearly!$D:$AM, 16, FALSE) / VLOOKUP("buildings|PM25|Asthma symptoms wheeze", US_national_yearly!$D:$AM, 10, FALSE), 1)</f>
        <v>0.73450352839561939</v>
      </c>
      <c r="I8" s="7">
        <f>$B8 * IFERROR(VLOOKUP("buildings|PM25|Asthma symptoms wheeze", US_national_yearly!$D:$AM, 17, FALSE) / VLOOKUP("buildings|PM25|Asthma symptoms wheeze", US_national_yearly!$D:$AM, 10, FALSE), 1)</f>
        <v>0.73450352839561939</v>
      </c>
      <c r="J8" s="7">
        <f>$B8 * IFERROR(VLOOKUP("buildings|PM25|Asthma symptoms wheeze", US_national_yearly!$D:$AM, 18, FALSE) / VLOOKUP("buildings|PM25|Asthma symptoms wheeze", US_national_yearly!$D:$AM, 10, FALSE), 1)</f>
        <v>0.73450352839561939</v>
      </c>
      <c r="K8" s="7">
        <f>$B8 * IFERROR(VLOOKUP("buildings|PM25|Asthma symptoms wheeze", US_national_yearly!$D:$AM, 19, FALSE) / VLOOKUP("buildings|PM25|Asthma symptoms wheeze", US_national_yearly!$D:$AM, 10, FALSE), 1)</f>
        <v>0.73450352839561939</v>
      </c>
      <c r="L8" s="7">
        <f>$B8 * IFERROR(VLOOKUP("buildings|PM25|Asthma symptoms wheeze", US_national_yearly!$D:$AM, 20, FALSE) / VLOOKUP("buildings|PM25|Asthma symptoms wheeze", US_national_yearly!$D:$AM, 10, FALSE), 1)</f>
        <v>0.73450352839561939</v>
      </c>
      <c r="M8" s="7">
        <f>$B8 * IFERROR(VLOOKUP("buildings|PM25|Asthma symptoms wheeze", US_national_yearly!$D:$AM, 21, FALSE) / VLOOKUP("buildings|PM25|Asthma symptoms wheeze", US_national_yearly!$D:$AM, 10, FALSE), 1)</f>
        <v>0.73450352839561939</v>
      </c>
      <c r="N8" s="7">
        <f>$B8 * IFERROR(VLOOKUP("buildings|PM25|Asthma symptoms wheeze", US_national_yearly!$D:$AM, 22, FALSE) / VLOOKUP("buildings|PM25|Asthma symptoms wheeze", US_national_yearly!$D:$AM, 10, FALSE), 1)</f>
        <v>0.73450352839561939</v>
      </c>
      <c r="O8" s="7">
        <f>$B8 * IFERROR(VLOOKUP("buildings|PM25|Asthma symptoms wheeze", US_national_yearly!$D:$AM, 23, FALSE) / VLOOKUP("buildings|PM25|Asthma symptoms wheeze", US_national_yearly!$D:$AM, 10, FALSE), 1)</f>
        <v>0.73450352839561939</v>
      </c>
      <c r="P8" s="7">
        <f>$B8 * IFERROR(VLOOKUP("buildings|PM25|Asthma symptoms wheeze", US_national_yearly!$D:$AM, 24, FALSE) / VLOOKUP("buildings|PM25|Asthma symptoms wheeze", US_national_yearly!$D:$AM, 10, FALSE), 1)</f>
        <v>0.73450352839561939</v>
      </c>
      <c r="Q8" s="7">
        <f>$B8 * IFERROR(VLOOKUP("buildings|PM25|Asthma symptoms wheeze", US_national_yearly!$D:$AM, 25, FALSE) / VLOOKUP("buildings|PM25|Asthma symptoms wheeze", US_national_yearly!$D:$AM, 10, FALSE), 1)</f>
        <v>0.73450352839561939</v>
      </c>
      <c r="R8" s="7">
        <f>$B8 * IFERROR(VLOOKUP("buildings|PM25|Asthma symptoms wheeze", US_national_yearly!$D:$AM, 26, FALSE) / VLOOKUP("buildings|PM25|Asthma symptoms wheeze", US_national_yearly!$D:$AM, 10, FALSE), 1)</f>
        <v>0.73450352839561939</v>
      </c>
      <c r="S8" s="7">
        <f>$B8 * IFERROR(VLOOKUP("buildings|PM25|Asthma symptoms wheeze", US_national_yearly!$D:$AM, 27, FALSE) / VLOOKUP("buildings|PM25|Asthma symptoms wheeze", US_national_yearly!$D:$AM, 10, FALSE), 1)</f>
        <v>0.73450352839561939</v>
      </c>
      <c r="T8" s="7">
        <f>$B8 * IFERROR(VLOOKUP("buildings|PM25|Asthma symptoms wheeze", US_national_yearly!$D:$AM, 28, FALSE) / VLOOKUP("buildings|PM25|Asthma symptoms wheeze", US_national_yearly!$D:$AM, 10, FALSE), 1)</f>
        <v>0.73450352839561939</v>
      </c>
      <c r="U8" s="7">
        <f>$B8 * IFERROR(VLOOKUP("buildings|PM25|Asthma symptoms wheeze", US_national_yearly!$D:$AM, 29, FALSE) / VLOOKUP("buildings|PM25|Asthma symptoms wheeze", US_national_yearly!$D:$AM, 10, FALSE), 1)</f>
        <v>0.73450352839561939</v>
      </c>
      <c r="V8" s="7">
        <f>$B8 * IFERROR(VLOOKUP("buildings|PM25|Asthma symptoms wheeze", US_national_yearly!$D:$AM, 30, FALSE) / VLOOKUP("buildings|PM25|Asthma symptoms wheeze", US_national_yearly!$D:$AM, 10, FALSE), 1)</f>
        <v>0.73450352839561939</v>
      </c>
      <c r="W8" s="7">
        <f>$B8 * IFERROR(VLOOKUP("buildings|PM25|Asthma symptoms wheeze", US_national_yearly!$D:$AM, 31, FALSE) / VLOOKUP("buildings|PM25|Asthma symptoms wheeze", US_national_yearly!$D:$AM, 10, FALSE), 1)</f>
        <v>0.73450352839561939</v>
      </c>
      <c r="X8" s="7">
        <f>$B8 * IFERROR(VLOOKUP("buildings|PM25|Asthma symptoms wheeze", US_national_yearly!$D:$AM, 32, FALSE) / VLOOKUP("buildings|PM25|Asthma symptoms wheeze", US_national_yearly!$D:$AM, 10, FALSE), 1)</f>
        <v>0.73450352839561939</v>
      </c>
      <c r="Y8" s="7">
        <f>$B8 * IFERROR(VLOOKUP("buildings|PM25|Asthma symptoms wheeze", US_national_yearly!$D:$AM, 33, FALSE) / VLOOKUP("buildings|PM25|Asthma symptoms wheeze", US_national_yearly!$D:$AM, 10, FALSE), 1)</f>
        <v>0.73450352839561939</v>
      </c>
      <c r="Z8" s="7">
        <f>$B8 * IFERROR(VLOOKUP("buildings|PM25|Asthma symptoms wheeze", US_national_yearly!$D:$AM, 34, FALSE) / VLOOKUP("buildings|PM25|Asthma symptoms wheeze", US_national_yearly!$D:$AM, 10, FALSE), 1)</f>
        <v>0.73450352839561939</v>
      </c>
      <c r="AA8" s="7">
        <f>$B8 * IFERROR(VLOOKUP("buildings|PM25|Asthma symptoms wheeze", US_national_yearly!$D:$AM, 35, FALSE) / VLOOKUP("buildings|PM25|Asthma symptoms wheeze", US_national_yearly!$D:$AM, 10, FALSE), 1)</f>
        <v>0.73450352839561939</v>
      </c>
      <c r="AB8" s="7">
        <f>$B8 * IFERROR(VLOOKUP("buildings|PM25|Asthma symptoms wheeze", US_national_yearly!$D:$AM, 36, FALSE) / VLOOKUP("buildings|PM25|Asthma symptoms wheeze", US_national_yearly!$D:$AM, 10, FALSE), 1)</f>
        <v>0.73450352839561939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9.2570179355242026E-3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9.3103769260439589E-3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9.3637359165637171E-3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9.4170949070834752E-3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9.470453897603235E-3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9.5280331919954508E-3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9.5856124863876683E-3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9.6403756021510717E-3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9.6951387179144751E-3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9.7499018336778768E-3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9.8046649494412819E-3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9.8594280652046853E-3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9.8988175805006656E-3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9.9382070957966459E-3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9.9775966110926262E-3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1.0016986126388605E-2</v>
      </c>
      <c r="R12" s="7">
        <f>$B12 * IFERROR(VLOOKUP("buildings|PM25|Respiratory hospital admissions", US_national_yearly!$D:$AM, 26, FALSE) / VLOOKUP("buildings|PM25|Respiratory hospital admissions", US_national_yearly!$D:$AM, 10, FALSE), 1)</f>
        <v>1.0056375641684585E-2</v>
      </c>
      <c r="S12" s="7">
        <f>$B12 * IFERROR(VLOOKUP("buildings|PM25|Respiratory hospital admissions", US_national_yearly!$D:$AM, 27, FALSE) / VLOOKUP("buildings|PM25|Respiratory hospital admissions", US_national_yearly!$D:$AM, 10, FALSE), 1)</f>
        <v>1.009390490479932E-2</v>
      </c>
      <c r="T12" s="7">
        <f>$B12 * IFERROR(VLOOKUP("buildings|PM25|Respiratory hospital admissions", US_national_yearly!$D:$AM, 28, FALSE) / VLOOKUP("buildings|PM25|Respiratory hospital admissions", US_national_yearly!$D:$AM, 10, FALSE), 1)</f>
        <v>1.0131434167914056E-2</v>
      </c>
      <c r="U12" s="7">
        <f>$B12 * IFERROR(VLOOKUP("buildings|PM25|Respiratory hospital admissions", US_national_yearly!$D:$AM, 29, FALSE) / VLOOKUP("buildings|PM25|Respiratory hospital admissions", US_national_yearly!$D:$AM, 10, FALSE), 1)</f>
        <v>1.016896343102879E-2</v>
      </c>
      <c r="V12" s="7">
        <f>$B12 * IFERROR(VLOOKUP("buildings|PM25|Respiratory hospital admissions", US_national_yearly!$D:$AM, 30, FALSE) / VLOOKUP("buildings|PM25|Respiratory hospital admissions", US_national_yearly!$D:$AM, 10, FALSE), 1)</f>
        <v>1.0206492694143523E-2</v>
      </c>
      <c r="W12" s="7">
        <f>$B12 * IFERROR(VLOOKUP("buildings|PM25|Respiratory hospital admissions", US_national_yearly!$D:$AM, 31, FALSE) / VLOOKUP("buildings|PM25|Respiratory hospital admissions", US_national_yearly!$D:$AM, 10, FALSE), 1)</f>
        <v>1.0244021957258261E-2</v>
      </c>
      <c r="X12" s="7">
        <f>$B12 * IFERROR(VLOOKUP("buildings|PM25|Respiratory hospital admissions", US_national_yearly!$D:$AM, 32, FALSE) / VLOOKUP("buildings|PM25|Respiratory hospital admissions", US_national_yearly!$D:$AM, 10, FALSE), 1)</f>
        <v>1.0280269276364804E-2</v>
      </c>
      <c r="Y12" s="7">
        <f>$B12 * IFERROR(VLOOKUP("buildings|PM25|Respiratory hospital admissions", US_national_yearly!$D:$AM, 33, FALSE) / VLOOKUP("buildings|PM25|Respiratory hospital admissions", US_national_yearly!$D:$AM, 10, FALSE), 1)</f>
        <v>1.0316516595471351E-2</v>
      </c>
      <c r="Z12" s="7">
        <f>$B12 * IFERROR(VLOOKUP("buildings|PM25|Respiratory hospital admissions", US_national_yearly!$D:$AM, 34, FALSE) / VLOOKUP("buildings|PM25|Respiratory hospital admissions", US_national_yearly!$D:$AM, 10, FALSE), 1)</f>
        <v>1.0352763914577894E-2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1.038901123368444E-2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1.0425258552790983E-2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2.8312826687631066E-2</v>
      </c>
      <c r="C13" s="7">
        <f>$B13 * IFERROR(VLOOKUP("buildings|PM25|Non-fatal heart attacks", US_national_yearly!$D:$AM, 11, FALSE) / VLOOKUP("buildings|PM25|Non-fatal heart attacks", US_national_yearly!$D:$AM, 10, FALSE), 1)</f>
        <v>2.9136345315284404E-2</v>
      </c>
      <c r="D13" s="7">
        <f>$B13 * IFERROR(VLOOKUP("buildings|PM25|Non-fatal heart attacks", US_national_yearly!$D:$AM, 12, FALSE) / VLOOKUP("buildings|PM25|Non-fatal heart attacks", US_national_yearly!$D:$AM, 10, FALSE), 1)</f>
        <v>2.9959863942937735E-2</v>
      </c>
      <c r="E13" s="7">
        <f>$B13 * IFERROR(VLOOKUP("buildings|PM25|Non-fatal heart attacks", US_national_yearly!$D:$AM, 13, FALSE) / VLOOKUP("buildings|PM25|Non-fatal heart attacks", US_national_yearly!$D:$AM, 10, FALSE), 1)</f>
        <v>3.0783382570591069E-2</v>
      </c>
      <c r="F13" s="7">
        <f>$B13 * IFERROR(VLOOKUP("buildings|PM25|Non-fatal heart attacks", US_national_yearly!$D:$AM, 14, FALSE) / VLOOKUP("buildings|PM25|Non-fatal heart attacks", US_national_yearly!$D:$AM, 10, FALSE), 1)</f>
        <v>3.1606901198244407E-2</v>
      </c>
      <c r="G13" s="7">
        <f>$B13 * IFERROR(VLOOKUP("buildings|PM25|Non-fatal heart attacks", US_national_yearly!$D:$AM, 15, FALSE) / VLOOKUP("buildings|PM25|Non-fatal heart attacks", US_national_yearly!$D:$AM, 10, FALSE), 1)</f>
        <v>3.2383938058840114E-2</v>
      </c>
      <c r="H13" s="7">
        <f>$B13 * IFERROR(VLOOKUP("buildings|PM25|Non-fatal heart attacks", US_national_yearly!$D:$AM, 16, FALSE) / VLOOKUP("buildings|PM25|Non-fatal heart attacks", US_national_yearly!$D:$AM, 10, FALSE), 1)</f>
        <v>3.3160974919435808E-2</v>
      </c>
      <c r="I13" s="7">
        <f>$B13 * IFERROR(VLOOKUP("buildings|PM25|Non-fatal heart attacks", US_national_yearly!$D:$AM, 17, FALSE) / VLOOKUP("buildings|PM25|Non-fatal heart attacks", US_national_yearly!$D:$AM, 10, FALSE), 1)</f>
        <v>3.3786161425337871E-2</v>
      </c>
      <c r="J13" s="7">
        <f>$B13 * IFERROR(VLOOKUP("buildings|PM25|Non-fatal heart attacks", US_national_yearly!$D:$AM, 18, FALSE) / VLOOKUP("buildings|PM25|Non-fatal heart attacks", US_national_yearly!$D:$AM, 10, FALSE), 1)</f>
        <v>3.4411347931239941E-2</v>
      </c>
      <c r="K13" s="7">
        <f>$B13 * IFERROR(VLOOKUP("buildings|PM25|Non-fatal heart attacks", US_national_yearly!$D:$AM, 19, FALSE) / VLOOKUP("buildings|PM25|Non-fatal heart attacks", US_national_yearly!$D:$AM, 10, FALSE), 1)</f>
        <v>3.5036534437142004E-2</v>
      </c>
      <c r="L13" s="7">
        <f>$B13 * IFERROR(VLOOKUP("buildings|PM25|Non-fatal heart attacks", US_national_yearly!$D:$AM, 20, FALSE) / VLOOKUP("buildings|PM25|Non-fatal heart attacks", US_national_yearly!$D:$AM, 10, FALSE), 1)</f>
        <v>3.566172094304406E-2</v>
      </c>
      <c r="M13" s="7">
        <f>$B13 * IFERROR(VLOOKUP("buildings|PM25|Non-fatal heart attacks", US_national_yearly!$D:$AM, 21, FALSE) / VLOOKUP("buildings|PM25|Non-fatal heart attacks", US_national_yearly!$D:$AM, 10, FALSE), 1)</f>
        <v>3.6286907448946124E-2</v>
      </c>
      <c r="N13" s="7">
        <f>$B13 * IFERROR(VLOOKUP("buildings|PM25|Non-fatal heart attacks", US_national_yearly!$D:$AM, 22, FALSE) / VLOOKUP("buildings|PM25|Non-fatal heart attacks", US_national_yearly!$D:$AM, 10, FALSE), 1)</f>
        <v>3.6690787699222009E-2</v>
      </c>
      <c r="O13" s="7">
        <f>$B13 * IFERROR(VLOOKUP("buildings|PM25|Non-fatal heart attacks", US_national_yearly!$D:$AM, 23, FALSE) / VLOOKUP("buildings|PM25|Non-fatal heart attacks", US_national_yearly!$D:$AM, 10, FALSE), 1)</f>
        <v>3.7094667949497888E-2</v>
      </c>
      <c r="P13" s="7">
        <f>$B13 * IFERROR(VLOOKUP("buildings|PM25|Non-fatal heart attacks", US_national_yearly!$D:$AM, 24, FALSE) / VLOOKUP("buildings|PM25|Non-fatal heart attacks", US_national_yearly!$D:$AM, 10, FALSE), 1)</f>
        <v>3.7498548199773767E-2</v>
      </c>
      <c r="Q13" s="7">
        <f>$B13 * IFERROR(VLOOKUP("buildings|PM25|Non-fatal heart attacks", US_national_yearly!$D:$AM, 25, FALSE) / VLOOKUP("buildings|PM25|Non-fatal heart attacks", US_national_yearly!$D:$AM, 10, FALSE), 1)</f>
        <v>3.7902428450049652E-2</v>
      </c>
      <c r="R13" s="7">
        <f>$B13 * IFERROR(VLOOKUP("buildings|PM25|Non-fatal heart attacks", US_national_yearly!$D:$AM, 26, FALSE) / VLOOKUP("buildings|PM25|Non-fatal heart attacks", US_national_yearly!$D:$AM, 10, FALSE), 1)</f>
        <v>3.8306308700325524E-2</v>
      </c>
      <c r="S13" s="7">
        <f>$B13 * IFERROR(VLOOKUP("buildings|PM25|Non-fatal heart attacks", US_national_yearly!$D:$AM, 27, FALSE) / VLOOKUP("buildings|PM25|Non-fatal heart attacks", US_national_yearly!$D:$AM, 10, FALSE), 1)</f>
        <v>3.8519924818476957E-2</v>
      </c>
      <c r="T13" s="7">
        <f>$B13 * IFERROR(VLOOKUP("buildings|PM25|Non-fatal heart attacks", US_national_yearly!$D:$AM, 28, FALSE) / VLOOKUP("buildings|PM25|Non-fatal heart attacks", US_national_yearly!$D:$AM, 10, FALSE), 1)</f>
        <v>3.873354093662839E-2</v>
      </c>
      <c r="U13" s="7">
        <f>$B13 * IFERROR(VLOOKUP("buildings|PM25|Non-fatal heart attacks", US_national_yearly!$D:$AM, 29, FALSE) / VLOOKUP("buildings|PM25|Non-fatal heart attacks", US_national_yearly!$D:$AM, 10, FALSE), 1)</f>
        <v>3.8947157054779823E-2</v>
      </c>
      <c r="V13" s="7">
        <f>$B13 * IFERROR(VLOOKUP("buildings|PM25|Non-fatal heart attacks", US_national_yearly!$D:$AM, 30, FALSE) / VLOOKUP("buildings|PM25|Non-fatal heart attacks", US_national_yearly!$D:$AM, 10, FALSE), 1)</f>
        <v>3.9160773172931256E-2</v>
      </c>
      <c r="W13" s="7">
        <f>$B13 * IFERROR(VLOOKUP("buildings|PM25|Non-fatal heart attacks", US_national_yearly!$D:$AM, 31, FALSE) / VLOOKUP("buildings|PM25|Non-fatal heart attacks", US_national_yearly!$D:$AM, 10, FALSE), 1)</f>
        <v>3.9374389291082688E-2</v>
      </c>
      <c r="X13" s="7">
        <f>$B13 * IFERROR(VLOOKUP("buildings|PM25|Non-fatal heart attacks", US_national_yearly!$D:$AM, 32, FALSE) / VLOOKUP("buildings|PM25|Non-fatal heart attacks", US_national_yearly!$D:$AM, 10, FALSE), 1)</f>
        <v>3.9536966759158909E-2</v>
      </c>
      <c r="Y13" s="7">
        <f>$B13 * IFERROR(VLOOKUP("buildings|PM25|Non-fatal heart attacks", US_national_yearly!$D:$AM, 33, FALSE) / VLOOKUP("buildings|PM25|Non-fatal heart attacks", US_national_yearly!$D:$AM, 10, FALSE), 1)</f>
        <v>3.9699544227235137E-2</v>
      </c>
      <c r="Z13" s="7">
        <f>$B13 * IFERROR(VLOOKUP("buildings|PM25|Non-fatal heart attacks", US_national_yearly!$D:$AM, 34, FALSE) / VLOOKUP("buildings|PM25|Non-fatal heart attacks", US_national_yearly!$D:$AM, 10, FALSE), 1)</f>
        <v>3.9862121695311351E-2</v>
      </c>
      <c r="AA13" s="7">
        <f>$B13 * IFERROR(VLOOKUP("buildings|PM25|Non-fatal heart attacks", US_national_yearly!$D:$AM, 35, FALSE) / VLOOKUP("buildings|PM25|Non-fatal heart attacks", US_national_yearly!$D:$AM, 10, FALSE), 1)</f>
        <v>4.0024699163387578E-2</v>
      </c>
      <c r="AB13" s="7">
        <f>$B13 * IFERROR(VLOOKUP("buildings|PM25|Non-fatal heart attacks", US_national_yearly!$D:$AM, 36, FALSE) / VLOOKUP("buildings|PM25|Non-fatal heart attacks", US_national_yearly!$D:$AM, 10, FALSE), 1)</f>
        <v>4.0187276631463806E-2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46.972580448415293</v>
      </c>
      <c r="C14" s="7">
        <f>$B14 * IFERROR(VLOOKUP("buildings|PM25|Minor restricted activity days", US_national_yearly!$D:$AM, 11, FALSE) / VLOOKUP("buildings|PM25|Minor restricted activity days", US_national_yearly!$D:$AM, 10, FALSE), 1)</f>
        <v>47.089403889388741</v>
      </c>
      <c r="D14" s="7">
        <f>$B14 * IFERROR(VLOOKUP("buildings|PM25|Minor restricted activity days", US_national_yearly!$D:$AM, 12, FALSE) / VLOOKUP("buildings|PM25|Minor restricted activity days", US_national_yearly!$D:$AM, 10, FALSE), 1)</f>
        <v>47.206227330362196</v>
      </c>
      <c r="E14" s="7">
        <f>$B14 * IFERROR(VLOOKUP("buildings|PM25|Minor restricted activity days", US_national_yearly!$D:$AM, 13, FALSE) / VLOOKUP("buildings|PM25|Minor restricted activity days", US_national_yearly!$D:$AM, 10, FALSE), 1)</f>
        <v>47.323050771335645</v>
      </c>
      <c r="F14" s="7">
        <f>$B14 * IFERROR(VLOOKUP("buildings|PM25|Minor restricted activity days", US_national_yearly!$D:$AM, 14, FALSE) / VLOOKUP("buildings|PM25|Minor restricted activity days", US_national_yearly!$D:$AM, 10, FALSE), 1)</f>
        <v>47.439874212309086</v>
      </c>
      <c r="G14" s="7">
        <f>$B14 * IFERROR(VLOOKUP("buildings|PM25|Minor restricted activity days", US_national_yearly!$D:$AM, 15, FALSE) / VLOOKUP("buildings|PM25|Minor restricted activity days", US_national_yearly!$D:$AM, 10, FALSE), 1)</f>
        <v>47.611218730084097</v>
      </c>
      <c r="H14" s="7">
        <f>$B14 * IFERROR(VLOOKUP("buildings|PM25|Minor restricted activity days", US_national_yearly!$D:$AM, 16, FALSE) / VLOOKUP("buildings|PM25|Minor restricted activity days", US_national_yearly!$D:$AM, 10, FALSE), 1)</f>
        <v>47.782563247859095</v>
      </c>
      <c r="I14" s="7">
        <f>$B14 * IFERROR(VLOOKUP("buildings|PM25|Minor restricted activity days", US_national_yearly!$D:$AM, 17, FALSE) / VLOOKUP("buildings|PM25|Minor restricted activity days", US_national_yearly!$D:$AM, 10, FALSE), 1)</f>
        <v>48.073925844830683</v>
      </c>
      <c r="J14" s="7">
        <f>$B14 * IFERROR(VLOOKUP("buildings|PM25|Minor restricted activity days", US_national_yearly!$D:$AM, 18, FALSE) / VLOOKUP("buildings|PM25|Minor restricted activity days", US_national_yearly!$D:$AM, 10, FALSE), 1)</f>
        <v>48.365288441802285</v>
      </c>
      <c r="K14" s="7">
        <f>$B14 * IFERROR(VLOOKUP("buildings|PM25|Minor restricted activity days", US_national_yearly!$D:$AM, 19, FALSE) / VLOOKUP("buildings|PM25|Minor restricted activity days", US_national_yearly!$D:$AM, 10, FALSE), 1)</f>
        <v>48.656651038773852</v>
      </c>
      <c r="L14" s="7">
        <f>$B14 * IFERROR(VLOOKUP("buildings|PM25|Minor restricted activity days", US_national_yearly!$D:$AM, 20, FALSE) / VLOOKUP("buildings|PM25|Minor restricted activity days", US_national_yearly!$D:$AM, 10, FALSE), 1)</f>
        <v>48.948013635745433</v>
      </c>
      <c r="M14" s="7">
        <f>$B14 * IFERROR(VLOOKUP("buildings|PM25|Minor restricted activity days", US_national_yearly!$D:$AM, 21, FALSE) / VLOOKUP("buildings|PM25|Minor restricted activity days", US_national_yearly!$D:$AM, 10, FALSE), 1)</f>
        <v>49.239376232717007</v>
      </c>
      <c r="N14" s="7">
        <f>$B14 * IFERROR(VLOOKUP("buildings|PM25|Minor restricted activity days", US_national_yearly!$D:$AM, 22, FALSE) / VLOOKUP("buildings|PM25|Minor restricted activity days", US_national_yearly!$D:$AM, 10, FALSE), 1)</f>
        <v>49.635267706784639</v>
      </c>
      <c r="O14" s="7">
        <f>$B14 * IFERROR(VLOOKUP("buildings|PM25|Minor restricted activity days", US_national_yearly!$D:$AM, 23, FALSE) / VLOOKUP("buildings|PM25|Minor restricted activity days", US_national_yearly!$D:$AM, 10, FALSE), 1)</f>
        <v>50.031159180852256</v>
      </c>
      <c r="P14" s="7">
        <f>$B14 * IFERROR(VLOOKUP("buildings|PM25|Minor restricted activity days", US_national_yearly!$D:$AM, 24, FALSE) / VLOOKUP("buildings|PM25|Minor restricted activity days", US_national_yearly!$D:$AM, 10, FALSE), 1)</f>
        <v>50.427050654919874</v>
      </c>
      <c r="Q14" s="7">
        <f>$B14 * IFERROR(VLOOKUP("buildings|PM25|Minor restricted activity days", US_national_yearly!$D:$AM, 25, FALSE) / VLOOKUP("buildings|PM25|Minor restricted activity days", US_national_yearly!$D:$AM, 10, FALSE), 1)</f>
        <v>50.822942128987492</v>
      </c>
      <c r="R14" s="7">
        <f>$B14 * IFERROR(VLOOKUP("buildings|PM25|Minor restricted activity days", US_national_yearly!$D:$AM, 26, FALSE) / VLOOKUP("buildings|PM25|Minor restricted activity days", US_national_yearly!$D:$AM, 10, FALSE), 1)</f>
        <v>51.21883360305511</v>
      </c>
      <c r="S14" s="7">
        <f>$B14 * IFERROR(VLOOKUP("buildings|PM25|Minor restricted activity days", US_national_yearly!$D:$AM, 27, FALSE) / VLOOKUP("buildings|PM25|Minor restricted activity days", US_national_yearly!$D:$AM, 10, FALSE), 1)</f>
        <v>51.617178438003357</v>
      </c>
      <c r="T14" s="7">
        <f>$B14 * IFERROR(VLOOKUP("buildings|PM25|Minor restricted activity days", US_national_yearly!$D:$AM, 28, FALSE) / VLOOKUP("buildings|PM25|Minor restricted activity days", US_national_yearly!$D:$AM, 10, FALSE), 1)</f>
        <v>52.015523272951597</v>
      </c>
      <c r="U14" s="7">
        <f>$B14 * IFERROR(VLOOKUP("buildings|PM25|Minor restricted activity days", US_national_yearly!$D:$AM, 29, FALSE) / VLOOKUP("buildings|PM25|Minor restricted activity days", US_national_yearly!$D:$AM, 10, FALSE), 1)</f>
        <v>52.413868107899837</v>
      </c>
      <c r="V14" s="7">
        <f>$B14 * IFERROR(VLOOKUP("buildings|PM25|Minor restricted activity days", US_national_yearly!$D:$AM, 30, FALSE) / VLOOKUP("buildings|PM25|Minor restricted activity days", US_national_yearly!$D:$AM, 10, FALSE), 1)</f>
        <v>52.812212942848078</v>
      </c>
      <c r="W14" s="7">
        <f>$B14 * IFERROR(VLOOKUP("buildings|PM25|Minor restricted activity days", US_national_yearly!$D:$AM, 31, FALSE) / VLOOKUP("buildings|PM25|Minor restricted activity days", US_national_yearly!$D:$AM, 10, FALSE), 1)</f>
        <v>53.210557777796318</v>
      </c>
      <c r="X14" s="7">
        <f>$B14 * IFERROR(VLOOKUP("buildings|PM25|Minor restricted activity days", US_national_yearly!$D:$AM, 32, FALSE) / VLOOKUP("buildings|PM25|Minor restricted activity days", US_national_yearly!$D:$AM, 10, FALSE), 1)</f>
        <v>53.556442824872605</v>
      </c>
      <c r="Y14" s="7">
        <f>$B14 * IFERROR(VLOOKUP("buildings|PM25|Minor restricted activity days", US_national_yearly!$D:$AM, 33, FALSE) / VLOOKUP("buildings|PM25|Minor restricted activity days", US_national_yearly!$D:$AM, 10, FALSE), 1)</f>
        <v>53.902327871948877</v>
      </c>
      <c r="Z14" s="7">
        <f>$B14 * IFERROR(VLOOKUP("buildings|PM25|Minor restricted activity days", US_national_yearly!$D:$AM, 34, FALSE) / VLOOKUP("buildings|PM25|Minor restricted activity days", US_national_yearly!$D:$AM, 10, FALSE), 1)</f>
        <v>54.248212919025136</v>
      </c>
      <c r="AA14" s="7">
        <f>$B14 * IFERROR(VLOOKUP("buildings|PM25|Minor restricted activity days", US_national_yearly!$D:$AM, 35, FALSE) / VLOOKUP("buildings|PM25|Minor restricted activity days", US_national_yearly!$D:$AM, 10, FALSE), 1)</f>
        <v>54.594097966101408</v>
      </c>
      <c r="AB14" s="7">
        <f>$B14 * IFERROR(VLOOKUP("buildings|PM25|Minor restricted activity days", US_national_yearly!$D:$AM, 36, FALSE) / VLOOKUP("buildings|PM25|Minor restricted activity days", US_national_yearly!$D:$AM, 10, FALSE), 1)</f>
        <v>54.939983013177681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7.9870295759560763</v>
      </c>
      <c r="C15" s="7">
        <f>$B15 * IFERROR(VLOOKUP("buildings|PM25|Work loss days", US_national_yearly!$D:$AM, 11, FALSE) / VLOOKUP("buildings|PM25|Work loss days", US_national_yearly!$D:$AM, 10, FALSE), 1)</f>
        <v>8.0120945972491739</v>
      </c>
      <c r="D15" s="7">
        <f>$B15 * IFERROR(VLOOKUP("buildings|PM25|Work loss days", US_national_yearly!$D:$AM, 12, FALSE) / VLOOKUP("buildings|PM25|Work loss days", US_national_yearly!$D:$AM, 10, FALSE), 1)</f>
        <v>8.0371596185422689</v>
      </c>
      <c r="E15" s="7">
        <f>$B15 * IFERROR(VLOOKUP("buildings|PM25|Work loss days", US_national_yearly!$D:$AM, 13, FALSE) / VLOOKUP("buildings|PM25|Work loss days", US_national_yearly!$D:$AM, 10, FALSE), 1)</f>
        <v>8.0622246398353639</v>
      </c>
      <c r="F15" s="7">
        <f>$B15 * IFERROR(VLOOKUP("buildings|PM25|Work loss days", US_national_yearly!$D:$AM, 14, FALSE) / VLOOKUP("buildings|PM25|Work loss days", US_national_yearly!$D:$AM, 10, FALSE), 1)</f>
        <v>8.0872896611284588</v>
      </c>
      <c r="G15" s="7">
        <f>$B15 * IFERROR(VLOOKUP("buildings|PM25|Work loss days", US_national_yearly!$D:$AM, 15, FALSE) / VLOOKUP("buildings|PM25|Work loss days", US_national_yearly!$D:$AM, 10, FALSE), 1)</f>
        <v>8.1200518901388019</v>
      </c>
      <c r="H15" s="7">
        <f>$B15 * IFERROR(VLOOKUP("buildings|PM25|Work loss days", US_national_yearly!$D:$AM, 16, FALSE) / VLOOKUP("buildings|PM25|Work loss days", US_national_yearly!$D:$AM, 10, FALSE), 1)</f>
        <v>8.152814119149145</v>
      </c>
      <c r="I15" s="7">
        <f>$B15 * IFERROR(VLOOKUP("buildings|PM25|Work loss days", US_national_yearly!$D:$AM, 17, FALSE) / VLOOKUP("buildings|PM25|Work loss days", US_national_yearly!$D:$AM, 10, FALSE), 1)</f>
        <v>8.2009309009810707</v>
      </c>
      <c r="J15" s="7">
        <f>$B15 * IFERROR(VLOOKUP("buildings|PM25|Work loss days", US_national_yearly!$D:$AM, 18, FALSE) / VLOOKUP("buildings|PM25|Work loss days", US_national_yearly!$D:$AM, 10, FALSE), 1)</f>
        <v>8.2490476828129982</v>
      </c>
      <c r="K15" s="7">
        <f>$B15 * IFERROR(VLOOKUP("buildings|PM25|Work loss days", US_national_yearly!$D:$AM, 19, FALSE) / VLOOKUP("buildings|PM25|Work loss days", US_national_yearly!$D:$AM, 10, FALSE), 1)</f>
        <v>8.2971644646449239</v>
      </c>
      <c r="L15" s="7">
        <f>$B15 * IFERROR(VLOOKUP("buildings|PM25|Work loss days", US_national_yearly!$D:$AM, 20, FALSE) / VLOOKUP("buildings|PM25|Work loss days", US_national_yearly!$D:$AM, 10, FALSE), 1)</f>
        <v>8.3452812464768513</v>
      </c>
      <c r="M15" s="7">
        <f>$B15 * IFERROR(VLOOKUP("buildings|PM25|Work loss days", US_national_yearly!$D:$AM, 21, FALSE) / VLOOKUP("buildings|PM25|Work loss days", US_national_yearly!$D:$AM, 10, FALSE), 1)</f>
        <v>8.3933980283087788</v>
      </c>
      <c r="N15" s="7">
        <f>$B15 * IFERROR(VLOOKUP("buildings|PM25|Work loss days", US_national_yearly!$D:$AM, 22, FALSE) / VLOOKUP("buildings|PM25|Work loss days", US_national_yearly!$D:$AM, 10, FALSE), 1)</f>
        <v>8.4538935946336533</v>
      </c>
      <c r="O15" s="7">
        <f>$B15 * IFERROR(VLOOKUP("buildings|PM25|Work loss days", US_national_yearly!$D:$AM, 23, FALSE) / VLOOKUP("buildings|PM25|Work loss days", US_national_yearly!$D:$AM, 10, FALSE), 1)</f>
        <v>8.5143891609585296</v>
      </c>
      <c r="P15" s="7">
        <f>$B15 * IFERROR(VLOOKUP("buildings|PM25|Work loss days", US_national_yearly!$D:$AM, 24, FALSE) / VLOOKUP("buildings|PM25|Work loss days", US_national_yearly!$D:$AM, 10, FALSE), 1)</f>
        <v>8.5748847272834041</v>
      </c>
      <c r="Q15" s="7">
        <f>$B15 * IFERROR(VLOOKUP("buildings|PM25|Work loss days", US_national_yearly!$D:$AM, 25, FALSE) / VLOOKUP("buildings|PM25|Work loss days", US_national_yearly!$D:$AM, 10, FALSE), 1)</f>
        <v>8.6353802936082769</v>
      </c>
      <c r="R15" s="7">
        <f>$B15 * IFERROR(VLOOKUP("buildings|PM25|Work loss days", US_national_yearly!$D:$AM, 26, FALSE) / VLOOKUP("buildings|PM25|Work loss days", US_national_yearly!$D:$AM, 10, FALSE), 1)</f>
        <v>8.6958758599331532</v>
      </c>
      <c r="S15" s="7">
        <f>$B15 * IFERROR(VLOOKUP("buildings|PM25|Work loss days", US_national_yearly!$D:$AM, 27, FALSE) / VLOOKUP("buildings|PM25|Work loss days", US_national_yearly!$D:$AM, 10, FALSE), 1)</f>
        <v>8.7627007315342631</v>
      </c>
      <c r="T15" s="7">
        <f>$B15 * IFERROR(VLOOKUP("buildings|PM25|Work loss days", US_national_yearly!$D:$AM, 28, FALSE) / VLOOKUP("buildings|PM25|Work loss days", US_national_yearly!$D:$AM, 10, FALSE), 1)</f>
        <v>8.829525603135373</v>
      </c>
      <c r="U15" s="7">
        <f>$B15 * IFERROR(VLOOKUP("buildings|PM25|Work loss days", US_national_yearly!$D:$AM, 29, FALSE) / VLOOKUP("buildings|PM25|Work loss days", US_national_yearly!$D:$AM, 10, FALSE), 1)</f>
        <v>8.8963504747364848</v>
      </c>
      <c r="V15" s="7">
        <f>$B15 * IFERROR(VLOOKUP("buildings|PM25|Work loss days", US_national_yearly!$D:$AM, 30, FALSE) / VLOOKUP("buildings|PM25|Work loss days", US_national_yearly!$D:$AM, 10, FALSE), 1)</f>
        <v>8.9631753463375929</v>
      </c>
      <c r="W15" s="7">
        <f>$B15 * IFERROR(VLOOKUP("buildings|PM25|Work loss days", US_national_yearly!$D:$AM, 31, FALSE) / VLOOKUP("buildings|PM25|Work loss days", US_national_yearly!$D:$AM, 10, FALSE), 1)</f>
        <v>9.0300002179387047</v>
      </c>
      <c r="X15" s="7">
        <f>$B15 * IFERROR(VLOOKUP("buildings|PM25|Work loss days", US_national_yearly!$D:$AM, 32, FALSE) / VLOOKUP("buildings|PM25|Work loss days", US_national_yearly!$D:$AM, 10, FALSE), 1)</f>
        <v>9.0893009224455668</v>
      </c>
      <c r="Y15" s="7">
        <f>$B15 * IFERROR(VLOOKUP("buildings|PM25|Work loss days", US_national_yearly!$D:$AM, 33, FALSE) / VLOOKUP("buildings|PM25|Work loss days", US_national_yearly!$D:$AM, 10, FALSE), 1)</f>
        <v>9.1486016269524324</v>
      </c>
      <c r="Z15" s="7">
        <f>$B15 * IFERROR(VLOOKUP("buildings|PM25|Work loss days", US_national_yearly!$D:$AM, 34, FALSE) / VLOOKUP("buildings|PM25|Work loss days", US_national_yearly!$D:$AM, 10, FALSE), 1)</f>
        <v>9.2079023314592963</v>
      </c>
      <c r="AA15" s="7">
        <f>$B15 * IFERROR(VLOOKUP("buildings|PM25|Work loss days", US_national_yearly!$D:$AM, 35, FALSE) / VLOOKUP("buildings|PM25|Work loss days", US_national_yearly!$D:$AM, 10, FALSE), 1)</f>
        <v>9.2672030359661619</v>
      </c>
      <c r="AB15" s="7">
        <f>$B15 * IFERROR(VLOOKUP("buildings|PM25|Work loss days", US_national_yearly!$D:$AM, 36, FALSE) / VLOOKUP("buildings|PM25|Work loss days", US_national_yearly!$D:$AM, 10, FALSE), 1)</f>
        <v>9.3265037404730258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1.0237623621072549E-2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1.0543588790041459E-2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1.0849553959010369E-2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1.1155519127979277E-2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1.1461484296948187E-2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1.1754645243154463E-2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1.2047806189360738E-2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1.2298778932497458E-2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1.2549751675634175E-2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1.2800724418770898E-2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1.3051697161907619E-2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1.3302669905044339E-2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1.3470257154929074E-2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1.3637844404813812E-2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1.3805431654698549E-2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1.3973018904583285E-2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1.4140606154468022E-2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1.4229656394849223E-2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1.4318706635230421E-2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1.4407756875611622E-2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1.449680711599282E-2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1.4585857356374023E-2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1.4646069254827577E-2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1.4706281153281129E-2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1.4766493051734681E-2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1.4826704950188233E-2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1.4886916848641787E-2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7.5825890545568554E-3</v>
      </c>
      <c r="C2" s="7">
        <f>$B2 * IFERROR(VLOOKUP("buildings|NOx|Premature mortality", US_national_yearly!$D:$AM, 11, FALSE) / VLOOKUP("buildings|NOx|Premature mortality", US_national_yearly!$D:$AM, 10, FALSE), 1)</f>
        <v>7.6941189603900026E-3</v>
      </c>
      <c r="D2" s="7">
        <f>$B2 * IFERROR(VLOOKUP("buildings|NOx|Premature mortality", US_national_yearly!$D:$AM, 12, FALSE) / VLOOKUP("buildings|NOx|Premature mortality", US_national_yearly!$D:$AM, 10, FALSE), 1)</f>
        <v>7.805648866223148E-3</v>
      </c>
      <c r="E2" s="7">
        <f>$B2 * IFERROR(VLOOKUP("buildings|NOx|Premature mortality", US_national_yearly!$D:$AM, 13, FALSE) / VLOOKUP("buildings|NOx|Premature mortality", US_national_yearly!$D:$AM, 10, FALSE), 1)</f>
        <v>7.9171787720562943E-3</v>
      </c>
      <c r="F2" s="7">
        <f>$B2 * IFERROR(VLOOKUP("buildings|NOx|Premature mortality", US_national_yearly!$D:$AM, 14, FALSE) / VLOOKUP("buildings|NOx|Premature mortality", US_national_yearly!$D:$AM, 10, FALSE), 1)</f>
        <v>8.0287086778894397E-3</v>
      </c>
      <c r="G2" s="7">
        <f>$B2 * IFERROR(VLOOKUP("buildings|NOx|Premature mortality", US_national_yearly!$D:$AM, 15, FALSE) / VLOOKUP("buildings|NOx|Premature mortality", US_national_yearly!$D:$AM, 10, FALSE), 1)</f>
        <v>8.2289452739871295E-3</v>
      </c>
      <c r="H2" s="7">
        <f>$B2 * IFERROR(VLOOKUP("buildings|NOx|Premature mortality", US_national_yearly!$D:$AM, 16, FALSE) / VLOOKUP("buildings|NOx|Premature mortality", US_national_yearly!$D:$AM, 10, FALSE), 1)</f>
        <v>8.4291818700848193E-3</v>
      </c>
      <c r="I2" s="7">
        <f>$B2 * IFERROR(VLOOKUP("buildings|NOx|Premature mortality", US_national_yearly!$D:$AM, 17, FALSE) / VLOOKUP("buildings|NOx|Premature mortality", US_national_yearly!$D:$AM, 10, FALSE), 1)</f>
        <v>8.5585855448002644E-3</v>
      </c>
      <c r="J2" s="7">
        <f>$B2 * IFERROR(VLOOKUP("buildings|NOx|Premature mortality", US_national_yearly!$D:$AM, 18, FALSE) / VLOOKUP("buildings|NOx|Premature mortality", US_national_yearly!$D:$AM, 10, FALSE), 1)</f>
        <v>8.6879892195157096E-3</v>
      </c>
      <c r="K2" s="7">
        <f>$B2 * IFERROR(VLOOKUP("buildings|NOx|Premature mortality", US_national_yearly!$D:$AM, 19, FALSE) / VLOOKUP("buildings|NOx|Premature mortality", US_national_yearly!$D:$AM, 10, FALSE), 1)</f>
        <v>8.8173928942311564E-3</v>
      </c>
      <c r="L2" s="7">
        <f>$B2 * IFERROR(VLOOKUP("buildings|NOx|Premature mortality", US_national_yearly!$D:$AM, 20, FALSE) / VLOOKUP("buildings|NOx|Premature mortality", US_national_yearly!$D:$AM, 10, FALSE), 1)</f>
        <v>8.9467965689466033E-3</v>
      </c>
      <c r="M2" s="7">
        <f>$B2 * IFERROR(VLOOKUP("buildings|NOx|Premature mortality", US_national_yearly!$D:$AM, 21, FALSE) / VLOOKUP("buildings|NOx|Premature mortality", US_national_yearly!$D:$AM, 10, FALSE), 1)</f>
        <v>9.0762002436620502E-3</v>
      </c>
      <c r="N2" s="7">
        <f>$B2 * IFERROR(VLOOKUP("buildings|NOx|Premature mortality", US_national_yearly!$D:$AM, 22, FALSE) / VLOOKUP("buildings|NOx|Premature mortality", US_national_yearly!$D:$AM, 10, FALSE), 1)</f>
        <v>9.1720834268879201E-3</v>
      </c>
      <c r="O2" s="7">
        <f>$B2 * IFERROR(VLOOKUP("buildings|NOx|Premature mortality", US_national_yearly!$D:$AM, 23, FALSE) / VLOOKUP("buildings|NOx|Premature mortality", US_national_yearly!$D:$AM, 10, FALSE), 1)</f>
        <v>9.2679666101137936E-3</v>
      </c>
      <c r="P2" s="7">
        <f>$B2 * IFERROR(VLOOKUP("buildings|NOx|Premature mortality", US_national_yearly!$D:$AM, 24, FALSE) / VLOOKUP("buildings|NOx|Premature mortality", US_national_yearly!$D:$AM, 10, FALSE), 1)</f>
        <v>9.363849793339667E-3</v>
      </c>
      <c r="Q2" s="7">
        <f>$B2 * IFERROR(VLOOKUP("buildings|NOx|Premature mortality", US_national_yearly!$D:$AM, 25, FALSE) / VLOOKUP("buildings|NOx|Premature mortality", US_national_yearly!$D:$AM, 10, FALSE), 1)</f>
        <v>9.4597329765655387E-3</v>
      </c>
      <c r="R2" s="7">
        <f>$B2 * IFERROR(VLOOKUP("buildings|NOx|Premature mortality", US_national_yearly!$D:$AM, 26, FALSE) / VLOOKUP("buildings|NOx|Premature mortality", US_national_yearly!$D:$AM, 10, FALSE), 1)</f>
        <v>9.5556161597914104E-3</v>
      </c>
      <c r="S2" s="7">
        <f>$B2 * IFERROR(VLOOKUP("buildings|NOx|Premature mortality", US_national_yearly!$D:$AM, 27, FALSE) / VLOOKUP("buildings|NOx|Premature mortality", US_national_yearly!$D:$AM, 10, FALSE), 1)</f>
        <v>9.5992084351460803E-3</v>
      </c>
      <c r="T2" s="7">
        <f>$B2 * IFERROR(VLOOKUP("buildings|NOx|Premature mortality", US_national_yearly!$D:$AM, 28, FALSE) / VLOOKUP("buildings|NOx|Premature mortality", US_national_yearly!$D:$AM, 10, FALSE), 1)</f>
        <v>9.6428007105007485E-3</v>
      </c>
      <c r="U2" s="7">
        <f>$B2 * IFERROR(VLOOKUP("buildings|NOx|Premature mortality", US_national_yearly!$D:$AM, 29, FALSE) / VLOOKUP("buildings|NOx|Premature mortality", US_national_yearly!$D:$AM, 10, FALSE), 1)</f>
        <v>9.6863929858554184E-3</v>
      </c>
      <c r="V2" s="7">
        <f>$B2 * IFERROR(VLOOKUP("buildings|NOx|Premature mortality", US_national_yearly!$D:$AM, 30, FALSE) / VLOOKUP("buildings|NOx|Premature mortality", US_national_yearly!$D:$AM, 10, FALSE), 1)</f>
        <v>9.7299852612100866E-3</v>
      </c>
      <c r="W2" s="7">
        <f>$B2 * IFERROR(VLOOKUP("buildings|NOx|Premature mortality", US_national_yearly!$D:$AM, 31, FALSE) / VLOOKUP("buildings|NOx|Premature mortality", US_national_yearly!$D:$AM, 10, FALSE), 1)</f>
        <v>9.7735775365647547E-3</v>
      </c>
      <c r="X2" s="7">
        <f>$B2 * IFERROR(VLOOKUP("buildings|NOx|Premature mortality", US_national_yearly!$D:$AM, 32, FALSE) / VLOOKUP("buildings|NOx|Premature mortality", US_national_yearly!$D:$AM, 10, FALSE), 1)</f>
        <v>9.7751128209676921E-3</v>
      </c>
      <c r="Y2" s="7">
        <f>$B2 * IFERROR(VLOOKUP("buildings|NOx|Premature mortality", US_national_yearly!$D:$AM, 33, FALSE) / VLOOKUP("buildings|NOx|Premature mortality", US_national_yearly!$D:$AM, 10, FALSE), 1)</f>
        <v>9.7766481053706295E-3</v>
      </c>
      <c r="Z2" s="7">
        <f>$B2 * IFERROR(VLOOKUP("buildings|NOx|Premature mortality", US_national_yearly!$D:$AM, 34, FALSE) / VLOOKUP("buildings|NOx|Premature mortality", US_national_yearly!$D:$AM, 10, FALSE), 1)</f>
        <v>9.7781833897735669E-3</v>
      </c>
      <c r="AA2" s="7">
        <f>$B2 * IFERROR(VLOOKUP("buildings|NOx|Premature mortality", US_national_yearly!$D:$AM, 35, FALSE) / VLOOKUP("buildings|NOx|Premature mortality", US_national_yearly!$D:$AM, 10, FALSE), 1)</f>
        <v>9.7797186741765043E-3</v>
      </c>
      <c r="AB2" s="7">
        <f>$B2 * IFERROR(VLOOKUP("buildings|NOx|Premature mortality", US_national_yearly!$D:$AM, 36, FALSE) / VLOOKUP("buildings|NOx|Premature mortality", US_national_yearly!$D:$AM, 10, FALSE), 1)</f>
        <v>9.7812539585794434E-3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1.716604016436237E-5</v>
      </c>
      <c r="C3" s="7">
        <f>$B3 * IFERROR(VLOOKUP("buildings|NOx|Infant mortality", US_national_yearly!$D:$AM, 11, FALSE) / VLOOKUP("buildings|NOx|Infant mortality", US_national_yearly!$D:$AM, 10, FALSE), 1)</f>
        <v>1.7002982929493299E-5</v>
      </c>
      <c r="D3" s="7">
        <f>$B3 * IFERROR(VLOOKUP("buildings|NOx|Infant mortality", US_national_yearly!$D:$AM, 12, FALSE) / VLOOKUP("buildings|NOx|Infant mortality", US_national_yearly!$D:$AM, 10, FALSE), 1)</f>
        <v>1.6839925694624228E-5</v>
      </c>
      <c r="E3" s="7">
        <f>$B3 * IFERROR(VLOOKUP("buildings|NOx|Infant mortality", US_national_yearly!$D:$AM, 13, FALSE) / VLOOKUP("buildings|NOx|Infant mortality", US_national_yearly!$D:$AM, 10, FALSE), 1)</f>
        <v>1.6676868459755157E-5</v>
      </c>
      <c r="F3" s="7">
        <f>$B3 * IFERROR(VLOOKUP("buildings|NOx|Infant mortality", US_national_yearly!$D:$AM, 14, FALSE) / VLOOKUP("buildings|NOx|Infant mortality", US_national_yearly!$D:$AM, 10, FALSE), 1)</f>
        <v>1.6513811224886083E-5</v>
      </c>
      <c r="G3" s="7">
        <f>$B3 * IFERROR(VLOOKUP("buildings|NOx|Infant mortality", US_national_yearly!$D:$AM, 15, FALSE) / VLOOKUP("buildings|NOx|Infant mortality", US_national_yearly!$D:$AM, 10, FALSE), 1)</f>
        <v>1.0960834904117037E-5</v>
      </c>
      <c r="H3" s="7">
        <f>$B3 * IFERROR(VLOOKUP("buildings|NOx|Infant mortality", US_national_yearly!$D:$AM, 16, FALSE) / VLOOKUP("buildings|NOx|Infant mortality", US_national_yearly!$D:$AM, 10, FALSE), 1)</f>
        <v>5.4078585833479905E-6</v>
      </c>
      <c r="I3" s="7">
        <f>$B3 * IFERROR(VLOOKUP("buildings|NOx|Infant mortality", US_national_yearly!$D:$AM, 17, FALSE) / VLOOKUP("buildings|NOx|Infant mortality", US_national_yearly!$D:$AM, 10, FALSE), 1)</f>
        <v>5.3696544506940141E-6</v>
      </c>
      <c r="J3" s="7">
        <f>$B3 * IFERROR(VLOOKUP("buildings|NOx|Infant mortality", US_national_yearly!$D:$AM, 18, FALSE) / VLOOKUP("buildings|NOx|Infant mortality", US_national_yearly!$D:$AM, 10, FALSE), 1)</f>
        <v>5.331450318040036E-6</v>
      </c>
      <c r="K3" s="7">
        <f>$B3 * IFERROR(VLOOKUP("buildings|NOx|Infant mortality", US_national_yearly!$D:$AM, 19, FALSE) / VLOOKUP("buildings|NOx|Infant mortality", US_national_yearly!$D:$AM, 10, FALSE), 1)</f>
        <v>5.2932461853860587E-6</v>
      </c>
      <c r="L3" s="7">
        <f>$B3 * IFERROR(VLOOKUP("buildings|NOx|Infant mortality", US_national_yearly!$D:$AM, 20, FALSE) / VLOOKUP("buildings|NOx|Infant mortality", US_national_yearly!$D:$AM, 10, FALSE), 1)</f>
        <v>5.2550420527320823E-6</v>
      </c>
      <c r="M3" s="7">
        <f>$B3 * IFERROR(VLOOKUP("buildings|NOx|Infant mortality", US_national_yearly!$D:$AM, 21, FALSE) / VLOOKUP("buildings|NOx|Infant mortality", US_national_yearly!$D:$AM, 10, FALSE), 1)</f>
        <v>5.2168379200781042E-6</v>
      </c>
      <c r="N3" s="7">
        <f>$B3 * IFERROR(VLOOKUP("buildings|NOx|Infant mortality", US_national_yearly!$D:$AM, 22, FALSE) / VLOOKUP("buildings|NOx|Infant mortality", US_national_yearly!$D:$AM, 10, FALSE), 1)</f>
        <v>5.1915221804149061E-6</v>
      </c>
      <c r="O3" s="7">
        <f>$B3 * IFERROR(VLOOKUP("buildings|NOx|Infant mortality", US_national_yearly!$D:$AM, 23, FALSE) / VLOOKUP("buildings|NOx|Infant mortality", US_national_yearly!$D:$AM, 10, FALSE), 1)</f>
        <v>5.166206440751709E-6</v>
      </c>
      <c r="P3" s="7">
        <f>$B3 * IFERROR(VLOOKUP("buildings|NOx|Infant mortality", US_national_yearly!$D:$AM, 24, FALSE) / VLOOKUP("buildings|NOx|Infant mortality", US_national_yearly!$D:$AM, 10, FALSE), 1)</f>
        <v>5.1408907010885109E-6</v>
      </c>
      <c r="Q3" s="7">
        <f>$B3 * IFERROR(VLOOKUP("buildings|NOx|Infant mortality", US_national_yearly!$D:$AM, 25, FALSE) / VLOOKUP("buildings|NOx|Infant mortality", US_national_yearly!$D:$AM, 10, FALSE), 1)</f>
        <v>5.1155749614253146E-6</v>
      </c>
      <c r="R3" s="7">
        <f>$B3 * IFERROR(VLOOKUP("buildings|NOx|Infant mortality", US_national_yearly!$D:$AM, 26, FALSE) / VLOOKUP("buildings|NOx|Infant mortality", US_national_yearly!$D:$AM, 10, FALSE), 1)</f>
        <v>5.0902592217621166E-6</v>
      </c>
      <c r="S3" s="7">
        <f>$B3 * IFERROR(VLOOKUP("buildings|NOx|Infant mortality", US_national_yearly!$D:$AM, 27, FALSE) / VLOOKUP("buildings|NOx|Infant mortality", US_national_yearly!$D:$AM, 10, FALSE), 1)</f>
        <v>5.0598060038086303E-6</v>
      </c>
      <c r="T3" s="7">
        <f>$B3 * IFERROR(VLOOKUP("buildings|NOx|Infant mortality", US_national_yearly!$D:$AM, 28, FALSE) / VLOOKUP("buildings|NOx|Infant mortality", US_national_yearly!$D:$AM, 10, FALSE), 1)</f>
        <v>5.0293527858551448E-6</v>
      </c>
      <c r="U3" s="7">
        <f>$B3 * IFERROR(VLOOKUP("buildings|NOx|Infant mortality", US_national_yearly!$D:$AM, 29, FALSE) / VLOOKUP("buildings|NOx|Infant mortality", US_national_yearly!$D:$AM, 10, FALSE), 1)</f>
        <v>4.9988995679016576E-6</v>
      </c>
      <c r="V3" s="7">
        <f>$B3 * IFERROR(VLOOKUP("buildings|NOx|Infant mortality", US_national_yearly!$D:$AM, 30, FALSE) / VLOOKUP("buildings|NOx|Infant mortality", US_national_yearly!$D:$AM, 10, FALSE), 1)</f>
        <v>4.9684463499481713E-6</v>
      </c>
      <c r="W3" s="7">
        <f>$B3 * IFERROR(VLOOKUP("buildings|NOx|Infant mortality", US_national_yearly!$D:$AM, 31, FALSE) / VLOOKUP("buildings|NOx|Infant mortality", US_national_yearly!$D:$AM, 10, FALSE), 1)</f>
        <v>4.9379931319946858E-6</v>
      </c>
      <c r="X3" s="7">
        <f>$B3 * IFERROR(VLOOKUP("buildings|NOx|Infant mortality", US_national_yearly!$D:$AM, 32, FALSE) / VLOOKUP("buildings|NOx|Infant mortality", US_national_yearly!$D:$AM, 10, FALSE), 1)</f>
        <v>4.9057709583541263E-6</v>
      </c>
      <c r="Y3" s="7">
        <f>$B3 * IFERROR(VLOOKUP("buildings|NOx|Infant mortality", US_national_yearly!$D:$AM, 33, FALSE) / VLOOKUP("buildings|NOx|Infant mortality", US_national_yearly!$D:$AM, 10, FALSE), 1)</f>
        <v>4.8735487847135676E-6</v>
      </c>
      <c r="Z3" s="7">
        <f>$B3 * IFERROR(VLOOKUP("buildings|NOx|Infant mortality", US_national_yearly!$D:$AM, 34, FALSE) / VLOOKUP("buildings|NOx|Infant mortality", US_national_yearly!$D:$AM, 10, FALSE), 1)</f>
        <v>4.8413266110730081E-6</v>
      </c>
      <c r="AA3" s="7">
        <f>$B3 * IFERROR(VLOOKUP("buildings|NOx|Infant mortality", US_national_yearly!$D:$AM, 35, FALSE) / VLOOKUP("buildings|NOx|Infant mortality", US_national_yearly!$D:$AM, 10, FALSE), 1)</f>
        <v>4.8091044374324486E-6</v>
      </c>
      <c r="AB3" s="7">
        <f>$B3 * IFERROR(VLOOKUP("buildings|NOx|Infant mortality", US_national_yearly!$D:$AM, 36, FALSE) / VLOOKUP("buildings|NOx|Infant mortality", US_national_yearly!$D:$AM, 10, FALSE), 1)</f>
        <v>4.7768822637918891E-6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2.4842052863292764E-2</v>
      </c>
      <c r="C6" s="7">
        <f>$B6 * IFERROR(VLOOKUP("buildings|NOx|Asthma symptoms cough", US_national_yearly!$D:$AM, 11, FALSE) / VLOOKUP("buildings|NOx|Asthma symptoms cough", US_national_yearly!$D:$AM, 10, FALSE), 1)</f>
        <v>2.5182023123242806E-2</v>
      </c>
      <c r="D6" s="7">
        <f>$B6 * IFERROR(VLOOKUP("buildings|NOx|Asthma symptoms cough", US_national_yearly!$D:$AM, 12, FALSE) / VLOOKUP("buildings|NOx|Asthma symptoms cough", US_national_yearly!$D:$AM, 10, FALSE), 1)</f>
        <v>2.5521993383192852E-2</v>
      </c>
      <c r="E6" s="7">
        <f>$B6 * IFERROR(VLOOKUP("buildings|NOx|Asthma symptoms cough", US_national_yearly!$D:$AM, 13, FALSE) / VLOOKUP("buildings|NOx|Asthma symptoms cough", US_national_yearly!$D:$AM, 10, FALSE), 1)</f>
        <v>2.5861963643142895E-2</v>
      </c>
      <c r="F6" s="7">
        <f>$B6 * IFERROR(VLOOKUP("buildings|NOx|Asthma symptoms cough", US_national_yearly!$D:$AM, 14, FALSE) / VLOOKUP("buildings|NOx|Asthma symptoms cough", US_national_yearly!$D:$AM, 10, FALSE), 1)</f>
        <v>2.6201933903092937E-2</v>
      </c>
      <c r="G6" s="7">
        <f>$B6 * IFERROR(VLOOKUP("buildings|NOx|Asthma symptoms cough", US_national_yearly!$D:$AM, 15, FALSE) / VLOOKUP("buildings|NOx|Asthma symptoms cough", US_national_yearly!$D:$AM, 10, FALSE), 1)</f>
        <v>2.6473633844289343E-2</v>
      </c>
      <c r="H6" s="7">
        <f>$B6 * IFERROR(VLOOKUP("buildings|NOx|Asthma symptoms cough", US_national_yearly!$D:$AM, 16, FALSE) / VLOOKUP("buildings|NOx|Asthma symptoms cough", US_national_yearly!$D:$AM, 10, FALSE), 1)</f>
        <v>2.6745333785485749E-2</v>
      </c>
      <c r="I6" s="7">
        <f>$B6 * IFERROR(VLOOKUP("buildings|NOx|Asthma symptoms cough", US_national_yearly!$D:$AM, 17, FALSE) / VLOOKUP("buildings|NOx|Asthma symptoms cough", US_national_yearly!$D:$AM, 10, FALSE), 1)</f>
        <v>2.6839361110515072E-2</v>
      </c>
      <c r="J6" s="7">
        <f>$B6 * IFERROR(VLOOKUP("buildings|NOx|Asthma symptoms cough", US_national_yearly!$D:$AM, 18, FALSE) / VLOOKUP("buildings|NOx|Asthma symptoms cough", US_national_yearly!$D:$AM, 10, FALSE), 1)</f>
        <v>2.6933388435544391E-2</v>
      </c>
      <c r="K6" s="7">
        <f>$B6 * IFERROR(VLOOKUP("buildings|NOx|Asthma symptoms cough", US_national_yearly!$D:$AM, 19, FALSE) / VLOOKUP("buildings|NOx|Asthma symptoms cough", US_national_yearly!$D:$AM, 10, FALSE), 1)</f>
        <v>2.7027415760573707E-2</v>
      </c>
      <c r="L6" s="7">
        <f>$B6 * IFERROR(VLOOKUP("buildings|NOx|Asthma symptoms cough", US_national_yearly!$D:$AM, 20, FALSE) / VLOOKUP("buildings|NOx|Asthma symptoms cough", US_national_yearly!$D:$AM, 10, FALSE), 1)</f>
        <v>2.712144308560303E-2</v>
      </c>
      <c r="M6" s="7">
        <f>$B6 * IFERROR(VLOOKUP("buildings|NOx|Asthma symptoms cough", US_national_yearly!$D:$AM, 21, FALSE) / VLOOKUP("buildings|NOx|Asthma symptoms cough", US_national_yearly!$D:$AM, 10, FALSE), 1)</f>
        <v>2.7215470410632346E-2</v>
      </c>
      <c r="N6" s="7">
        <f>$B6 * IFERROR(VLOOKUP("buildings|NOx|Asthma symptoms cough", US_national_yearly!$D:$AM, 22, FALSE) / VLOOKUP("buildings|NOx|Asthma symptoms cough", US_national_yearly!$D:$AM, 10, FALSE), 1)</f>
        <v>2.7324195363906352E-2</v>
      </c>
      <c r="O6" s="7">
        <f>$B6 * IFERROR(VLOOKUP("buildings|NOx|Asthma symptoms cough", US_national_yearly!$D:$AM, 23, FALSE) / VLOOKUP("buildings|NOx|Asthma symptoms cough", US_national_yearly!$D:$AM, 10, FALSE), 1)</f>
        <v>2.7432920317180354E-2</v>
      </c>
      <c r="P6" s="7">
        <f>$B6 * IFERROR(VLOOKUP("buildings|NOx|Asthma symptoms cough", US_national_yearly!$D:$AM, 24, FALSE) / VLOOKUP("buildings|NOx|Asthma symptoms cough", US_national_yearly!$D:$AM, 10, FALSE), 1)</f>
        <v>2.7541645270454357E-2</v>
      </c>
      <c r="Q6" s="7">
        <f>$B6 * IFERROR(VLOOKUP("buildings|NOx|Asthma symptoms cough", US_national_yearly!$D:$AM, 25, FALSE) / VLOOKUP("buildings|NOx|Asthma symptoms cough", US_national_yearly!$D:$AM, 10, FALSE), 1)</f>
        <v>2.7650370223728363E-2</v>
      </c>
      <c r="R6" s="7">
        <f>$B6 * IFERROR(VLOOKUP("buildings|NOx|Asthma symptoms cough", US_national_yearly!$D:$AM, 26, FALSE) / VLOOKUP("buildings|NOx|Asthma symptoms cough", US_national_yearly!$D:$AM, 10, FALSE), 1)</f>
        <v>2.7759095177002365E-2</v>
      </c>
      <c r="S6" s="7">
        <f>$B6 * IFERROR(VLOOKUP("buildings|NOx|Asthma symptoms cough", US_national_yearly!$D:$AM, 27, FALSE) / VLOOKUP("buildings|NOx|Asthma symptoms cough", US_national_yearly!$D:$AM, 10, FALSE), 1)</f>
        <v>2.7901092270157538E-2</v>
      </c>
      <c r="T6" s="7">
        <f>$B6 * IFERROR(VLOOKUP("buildings|NOx|Asthma symptoms cough", US_national_yearly!$D:$AM, 28, FALSE) / VLOOKUP("buildings|NOx|Asthma symptoms cough", US_national_yearly!$D:$AM, 10, FALSE), 1)</f>
        <v>2.8043089363312703E-2</v>
      </c>
      <c r="U6" s="7">
        <f>$B6 * IFERROR(VLOOKUP("buildings|NOx|Asthma symptoms cough", US_national_yearly!$D:$AM, 29, FALSE) / VLOOKUP("buildings|NOx|Asthma symptoms cough", US_national_yearly!$D:$AM, 10, FALSE), 1)</f>
        <v>2.8185086456467872E-2</v>
      </c>
      <c r="V6" s="7">
        <f>$B6 * IFERROR(VLOOKUP("buildings|NOx|Asthma symptoms cough", US_national_yearly!$D:$AM, 30, FALSE) / VLOOKUP("buildings|NOx|Asthma symptoms cough", US_national_yearly!$D:$AM, 10, FALSE), 1)</f>
        <v>2.8327083549623048E-2</v>
      </c>
      <c r="W6" s="7">
        <f>$B6 * IFERROR(VLOOKUP("buildings|NOx|Asthma symptoms cough", US_national_yearly!$D:$AM, 31, FALSE) / VLOOKUP("buildings|NOx|Asthma symptoms cough", US_national_yearly!$D:$AM, 10, FALSE), 1)</f>
        <v>2.8469080642778213E-2</v>
      </c>
      <c r="X6" s="7">
        <f>$B6 * IFERROR(VLOOKUP("buildings|NOx|Asthma symptoms cough", US_national_yearly!$D:$AM, 32, FALSE) / VLOOKUP("buildings|NOx|Asthma symptoms cough", US_national_yearly!$D:$AM, 10, FALSE), 1)</f>
        <v>2.86010154814977E-2</v>
      </c>
      <c r="Y6" s="7">
        <f>$B6 * IFERROR(VLOOKUP("buildings|NOx|Asthma symptoms cough", US_national_yearly!$D:$AM, 33, FALSE) / VLOOKUP("buildings|NOx|Asthma symptoms cough", US_national_yearly!$D:$AM, 10, FALSE), 1)</f>
        <v>2.873295032021719E-2</v>
      </c>
      <c r="Z6" s="7">
        <f>$B6 * IFERROR(VLOOKUP("buildings|NOx|Asthma symptoms cough", US_national_yearly!$D:$AM, 34, FALSE) / VLOOKUP("buildings|NOx|Asthma symptoms cough", US_national_yearly!$D:$AM, 10, FALSE), 1)</f>
        <v>2.886488515893668E-2</v>
      </c>
      <c r="AA6" s="7">
        <f>$B6 * IFERROR(VLOOKUP("buildings|NOx|Asthma symptoms cough", US_national_yearly!$D:$AM, 35, FALSE) / VLOOKUP("buildings|NOx|Asthma symptoms cough", US_national_yearly!$D:$AM, 10, FALSE), 1)</f>
        <v>2.899681999765617E-2</v>
      </c>
      <c r="AB6" s="7">
        <f>$B6 * IFERROR(VLOOKUP("buildings|NOx|Asthma symptoms cough", US_national_yearly!$D:$AM, 36, FALSE) / VLOOKUP("buildings|NOx|Asthma symptoms cough", US_national_yearly!$D:$AM, 10, FALSE), 1)</f>
        <v>2.9128754836375659E-2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3.3452903949852522E-2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3.3910716051452558E-2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3.4368528153052601E-2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3.4826340254652637E-2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3.5284152356252679E-2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3.5650030009368096E-2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3.6015907662483512E-2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3.614252711083419E-2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3.626914655918486E-2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3.6395766007535538E-2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3.6522385455886215E-2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3.6649004904236893E-2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3.6795416531385537E-2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3.6941828158534182E-2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3.7088239785682826E-2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3.7234651412831464E-2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3.7381063039980109E-2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3.7572279728869194E-2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3.776349641775828E-2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3.7954713106647366E-2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3.8145929795536437E-2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3.8337146484425523E-2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3.8514813100218682E-2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3.8692479716011835E-2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3.8870146331804994E-2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3.9047812947598133E-2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3.9225479563391293E-2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5.1112239744539559E-2</v>
      </c>
      <c r="C8" s="7">
        <f>$B8 * IFERROR(VLOOKUP("buildings|NOx|Asthma symptoms wheeze", US_national_yearly!$D:$AM, 11, FALSE) / VLOOKUP("buildings|NOx|Asthma symptoms wheeze", US_national_yearly!$D:$AM, 10, FALSE), 1)</f>
        <v>5.1811724667748985E-2</v>
      </c>
      <c r="D8" s="7">
        <f>$B8 * IFERROR(VLOOKUP("buildings|NOx|Asthma symptoms wheeze", US_national_yearly!$D:$AM, 12, FALSE) / VLOOKUP("buildings|NOx|Asthma symptoms wheeze", US_national_yearly!$D:$AM, 10, FALSE), 1)</f>
        <v>5.251120959095841E-2</v>
      </c>
      <c r="E8" s="7">
        <f>$B8 * IFERROR(VLOOKUP("buildings|NOx|Asthma symptoms wheeze", US_national_yearly!$D:$AM, 13, FALSE) / VLOOKUP("buildings|NOx|Asthma symptoms wheeze", US_national_yearly!$D:$AM, 10, FALSE), 1)</f>
        <v>5.3210694514167829E-2</v>
      </c>
      <c r="F8" s="7">
        <f>$B8 * IFERROR(VLOOKUP("buildings|NOx|Asthma symptoms wheeze", US_national_yearly!$D:$AM, 14, FALSE) / VLOOKUP("buildings|NOx|Asthma symptoms wheeze", US_national_yearly!$D:$AM, 10, FALSE), 1)</f>
        <v>5.3910179437377269E-2</v>
      </c>
      <c r="G8" s="7">
        <f>$B8 * IFERROR(VLOOKUP("buildings|NOx|Asthma symptoms wheeze", US_national_yearly!$D:$AM, 15, FALSE) / VLOOKUP("buildings|NOx|Asthma symptoms wheeze", US_national_yearly!$D:$AM, 10, FALSE), 1)</f>
        <v>5.446919896024801E-2</v>
      </c>
      <c r="H8" s="7">
        <f>$B8 * IFERROR(VLOOKUP("buildings|NOx|Asthma symptoms wheeze", US_national_yearly!$D:$AM, 16, FALSE) / VLOOKUP("buildings|NOx|Asthma symptoms wheeze", US_national_yearly!$D:$AM, 10, FALSE), 1)</f>
        <v>5.5028218483118743E-2</v>
      </c>
      <c r="I8" s="7">
        <f>$B8 * IFERROR(VLOOKUP("buildings|NOx|Asthma symptoms wheeze", US_national_yearly!$D:$AM, 17, FALSE) / VLOOKUP("buildings|NOx|Asthma symptoms wheeze", US_national_yearly!$D:$AM, 10, FALSE), 1)</f>
        <v>5.5221678629452785E-2</v>
      </c>
      <c r="J8" s="7">
        <f>$B8 * IFERROR(VLOOKUP("buildings|NOx|Asthma symptoms wheeze", US_national_yearly!$D:$AM, 18, FALSE) / VLOOKUP("buildings|NOx|Asthma symptoms wheeze", US_national_yearly!$D:$AM, 10, FALSE), 1)</f>
        <v>5.5415138775786819E-2</v>
      </c>
      <c r="K8" s="7">
        <f>$B8 * IFERROR(VLOOKUP("buildings|NOx|Asthma symptoms wheeze", US_national_yearly!$D:$AM, 19, FALSE) / VLOOKUP("buildings|NOx|Asthma symptoms wheeze", US_national_yearly!$D:$AM, 10, FALSE), 1)</f>
        <v>5.5608598922120847E-2</v>
      </c>
      <c r="L8" s="7">
        <f>$B8 * IFERROR(VLOOKUP("buildings|NOx|Asthma symptoms wheeze", US_national_yearly!$D:$AM, 20, FALSE) / VLOOKUP("buildings|NOx|Asthma symptoms wheeze", US_national_yearly!$D:$AM, 10, FALSE), 1)</f>
        <v>5.5802059068454882E-2</v>
      </c>
      <c r="M8" s="7">
        <f>$B8 * IFERROR(VLOOKUP("buildings|NOx|Asthma symptoms wheeze", US_national_yearly!$D:$AM, 21, FALSE) / VLOOKUP("buildings|NOx|Asthma symptoms wheeze", US_national_yearly!$D:$AM, 10, FALSE), 1)</f>
        <v>5.5995519214788923E-2</v>
      </c>
      <c r="N8" s="7">
        <f>$B8 * IFERROR(VLOOKUP("buildings|NOx|Asthma symptoms wheeze", US_national_yearly!$D:$AM, 22, FALSE) / VLOOKUP("buildings|NOx|Asthma symptoms wheeze", US_national_yearly!$D:$AM, 10, FALSE), 1)</f>
        <v>5.6219219563222414E-2</v>
      </c>
      <c r="O8" s="7">
        <f>$B8 * IFERROR(VLOOKUP("buildings|NOx|Asthma symptoms wheeze", US_national_yearly!$D:$AM, 23, FALSE) / VLOOKUP("buildings|NOx|Asthma symptoms wheeze", US_national_yearly!$D:$AM, 10, FALSE), 1)</f>
        <v>5.6442919911655919E-2</v>
      </c>
      <c r="P8" s="7">
        <f>$B8 * IFERROR(VLOOKUP("buildings|NOx|Asthma symptoms wheeze", US_national_yearly!$D:$AM, 24, FALSE) / VLOOKUP("buildings|NOx|Asthma symptoms wheeze", US_national_yearly!$D:$AM, 10, FALSE), 1)</f>
        <v>5.6666620260089409E-2</v>
      </c>
      <c r="Q8" s="7">
        <f>$B8 * IFERROR(VLOOKUP("buildings|NOx|Asthma symptoms wheeze", US_national_yearly!$D:$AM, 25, FALSE) / VLOOKUP("buildings|NOx|Asthma symptoms wheeze", US_national_yearly!$D:$AM, 10, FALSE), 1)</f>
        <v>5.6890320608522914E-2</v>
      </c>
      <c r="R8" s="7">
        <f>$B8 * IFERROR(VLOOKUP("buildings|NOx|Asthma symptoms wheeze", US_national_yearly!$D:$AM, 26, FALSE) / VLOOKUP("buildings|NOx|Asthma symptoms wheeze", US_national_yearly!$D:$AM, 10, FALSE), 1)</f>
        <v>5.7114020956956404E-2</v>
      </c>
      <c r="S8" s="7">
        <f>$B8 * IFERROR(VLOOKUP("buildings|NOx|Asthma symptoms wheeze", US_national_yearly!$D:$AM, 27, FALSE) / VLOOKUP("buildings|NOx|Asthma symptoms wheeze", US_national_yearly!$D:$AM, 10, FALSE), 1)</f>
        <v>5.7406178352902154E-2</v>
      </c>
      <c r="T8" s="7">
        <f>$B8 * IFERROR(VLOOKUP("buildings|NOx|Asthma symptoms wheeze", US_national_yearly!$D:$AM, 28, FALSE) / VLOOKUP("buildings|NOx|Asthma symptoms wheeze", US_national_yearly!$D:$AM, 10, FALSE), 1)</f>
        <v>5.7698335748847897E-2</v>
      </c>
      <c r="U8" s="7">
        <f>$B8 * IFERROR(VLOOKUP("buildings|NOx|Asthma symptoms wheeze", US_national_yearly!$D:$AM, 29, FALSE) / VLOOKUP("buildings|NOx|Asthma symptoms wheeze", US_national_yearly!$D:$AM, 10, FALSE), 1)</f>
        <v>5.7990493144793639E-2</v>
      </c>
      <c r="V8" s="7">
        <f>$B8 * IFERROR(VLOOKUP("buildings|NOx|Asthma symptoms wheeze", US_national_yearly!$D:$AM, 30, FALSE) / VLOOKUP("buildings|NOx|Asthma symptoms wheeze", US_national_yearly!$D:$AM, 10, FALSE), 1)</f>
        <v>5.8282650540739389E-2</v>
      </c>
      <c r="W8" s="7">
        <f>$B8 * IFERROR(VLOOKUP("buildings|NOx|Asthma symptoms wheeze", US_national_yearly!$D:$AM, 31, FALSE) / VLOOKUP("buildings|NOx|Asthma symptoms wheeze", US_national_yearly!$D:$AM, 10, FALSE), 1)</f>
        <v>5.8574807936685132E-2</v>
      </c>
      <c r="X8" s="7">
        <f>$B8 * IFERROR(VLOOKUP("buildings|NOx|Asthma symptoms wheeze", US_national_yearly!$D:$AM, 32, FALSE) / VLOOKUP("buildings|NOx|Asthma symptoms wheeze", US_national_yearly!$D:$AM, 10, FALSE), 1)</f>
        <v>5.8846262359168754E-2</v>
      </c>
      <c r="Y8" s="7">
        <f>$B8 * IFERROR(VLOOKUP("buildings|NOx|Asthma symptoms wheeze", US_national_yearly!$D:$AM, 33, FALSE) / VLOOKUP("buildings|NOx|Asthma symptoms wheeze", US_national_yearly!$D:$AM, 10, FALSE), 1)</f>
        <v>5.9117716781652375E-2</v>
      </c>
      <c r="Z8" s="7">
        <f>$B8 * IFERROR(VLOOKUP("buildings|NOx|Asthma symptoms wheeze", US_national_yearly!$D:$AM, 34, FALSE) / VLOOKUP("buildings|NOx|Asthma symptoms wheeze", US_national_yearly!$D:$AM, 10, FALSE), 1)</f>
        <v>5.9389171204136011E-2</v>
      </c>
      <c r="AA8" s="7">
        <f>$B8 * IFERROR(VLOOKUP("buildings|NOx|Asthma symptoms wheeze", US_national_yearly!$D:$AM, 35, FALSE) / VLOOKUP("buildings|NOx|Asthma symptoms wheeze", US_national_yearly!$D:$AM, 10, FALSE), 1)</f>
        <v>5.9660625626619626E-2</v>
      </c>
      <c r="AB8" s="7">
        <f>$B8 * IFERROR(VLOOKUP("buildings|NOx|Asthma symptoms wheeze", US_national_yearly!$D:$AM, 36, FALSE) / VLOOKUP("buildings|NOx|Asthma symptoms wheeze", US_national_yearly!$D:$AM, 10, FALSE), 1)</f>
        <v>5.9932080049103262E-2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6.2401215736376196E-4</v>
      </c>
      <c r="C12" s="7">
        <f>$B12 * IFERROR(VLOOKUP("buildings|NOx|Respiratory hospital admissions", US_national_yearly!$D:$AM, 11, FALSE) / VLOOKUP("buildings|NOx|Respiratory hospital admissions", US_national_yearly!$D:$AM, 10, FALSE), 1)</f>
        <v>6.3960269581309331E-4</v>
      </c>
      <c r="D12" s="7">
        <f>$B12 * IFERROR(VLOOKUP("buildings|NOx|Respiratory hospital admissions", US_national_yearly!$D:$AM, 12, FALSE) / VLOOKUP("buildings|NOx|Respiratory hospital admissions", US_national_yearly!$D:$AM, 10, FALSE), 1)</f>
        <v>6.5519323426242477E-4</v>
      </c>
      <c r="E12" s="7">
        <f>$B12 * IFERROR(VLOOKUP("buildings|NOx|Respiratory hospital admissions", US_national_yearly!$D:$AM, 13, FALSE) / VLOOKUP("buildings|NOx|Respiratory hospital admissions", US_national_yearly!$D:$AM, 10, FALSE), 1)</f>
        <v>6.7078377271175612E-4</v>
      </c>
      <c r="F12" s="7">
        <f>$B12 * IFERROR(VLOOKUP("buildings|NOx|Respiratory hospital admissions", US_national_yearly!$D:$AM, 14, FALSE) / VLOOKUP("buildings|NOx|Respiratory hospital admissions", US_national_yearly!$D:$AM, 10, FALSE), 1)</f>
        <v>6.8637431116108747E-4</v>
      </c>
      <c r="G12" s="7">
        <f>$B12 * IFERROR(VLOOKUP("buildings|NOx|Respiratory hospital admissions", US_national_yearly!$D:$AM, 15, FALSE) / VLOOKUP("buildings|NOx|Respiratory hospital admissions", US_national_yearly!$D:$AM, 10, FALSE), 1)</f>
        <v>7.0127934033534917E-4</v>
      </c>
      <c r="H12" s="7">
        <f>$B12 * IFERROR(VLOOKUP("buildings|NOx|Respiratory hospital admissions", US_national_yearly!$D:$AM, 16, FALSE) / VLOOKUP("buildings|NOx|Respiratory hospital admissions", US_national_yearly!$D:$AM, 10, FALSE), 1)</f>
        <v>7.1618436950961044E-4</v>
      </c>
      <c r="I12" s="7">
        <f>$B12 * IFERROR(VLOOKUP("buildings|NOx|Respiratory hospital admissions", US_national_yearly!$D:$AM, 17, FALSE) / VLOOKUP("buildings|NOx|Respiratory hospital admissions", US_national_yearly!$D:$AM, 10, FALSE), 1)</f>
        <v>7.2884584062670192E-4</v>
      </c>
      <c r="J12" s="7">
        <f>$B12 * IFERROR(VLOOKUP("buildings|NOx|Respiratory hospital admissions", US_national_yearly!$D:$AM, 18, FALSE) / VLOOKUP("buildings|NOx|Respiratory hospital admissions", US_national_yearly!$D:$AM, 10, FALSE), 1)</f>
        <v>7.415073117437933E-4</v>
      </c>
      <c r="K12" s="7">
        <f>$B12 * IFERROR(VLOOKUP("buildings|NOx|Respiratory hospital admissions", US_national_yearly!$D:$AM, 19, FALSE) / VLOOKUP("buildings|NOx|Respiratory hospital admissions", US_national_yearly!$D:$AM, 10, FALSE), 1)</f>
        <v>7.5416878286088478E-4</v>
      </c>
      <c r="L12" s="7">
        <f>$B12 * IFERROR(VLOOKUP("buildings|NOx|Respiratory hospital admissions", US_national_yearly!$D:$AM, 20, FALSE) / VLOOKUP("buildings|NOx|Respiratory hospital admissions", US_national_yearly!$D:$AM, 10, FALSE), 1)</f>
        <v>7.6683025397797616E-4</v>
      </c>
      <c r="M12" s="7">
        <f>$B12 * IFERROR(VLOOKUP("buildings|NOx|Respiratory hospital admissions", US_national_yearly!$D:$AM, 21, FALSE) / VLOOKUP("buildings|NOx|Respiratory hospital admissions", US_national_yearly!$D:$AM, 10, FALSE), 1)</f>
        <v>7.7949172509506764E-4</v>
      </c>
      <c r="N12" s="7">
        <f>$B12 * IFERROR(VLOOKUP("buildings|NOx|Respiratory hospital admissions", US_national_yearly!$D:$AM, 22, FALSE) / VLOOKUP("buildings|NOx|Respiratory hospital admissions", US_national_yearly!$D:$AM, 10, FALSE), 1)</f>
        <v>7.8795584887080548E-4</v>
      </c>
      <c r="O12" s="7">
        <f>$B12 * IFERROR(VLOOKUP("buildings|NOx|Respiratory hospital admissions", US_national_yearly!$D:$AM, 23, FALSE) / VLOOKUP("buildings|NOx|Respiratory hospital admissions", US_national_yearly!$D:$AM, 10, FALSE), 1)</f>
        <v>7.9641997264654342E-4</v>
      </c>
      <c r="P12" s="7">
        <f>$B12 * IFERROR(VLOOKUP("buildings|NOx|Respiratory hospital admissions", US_national_yearly!$D:$AM, 24, FALSE) / VLOOKUP("buildings|NOx|Respiratory hospital admissions", US_national_yearly!$D:$AM, 10, FALSE), 1)</f>
        <v>8.0488409642228136E-4</v>
      </c>
      <c r="Q12" s="7">
        <f>$B12 * IFERROR(VLOOKUP("buildings|NOx|Respiratory hospital admissions", US_national_yearly!$D:$AM, 25, FALSE) / VLOOKUP("buildings|NOx|Respiratory hospital admissions", US_national_yearly!$D:$AM, 10, FALSE), 1)</f>
        <v>8.1334822019801941E-4</v>
      </c>
      <c r="R12" s="7">
        <f>$B12 * IFERROR(VLOOKUP("buildings|NOx|Respiratory hospital admissions", US_national_yearly!$D:$AM, 26, FALSE) / VLOOKUP("buildings|NOx|Respiratory hospital admissions", US_national_yearly!$D:$AM, 10, FALSE), 1)</f>
        <v>8.2181234397375724E-4</v>
      </c>
      <c r="S12" s="7">
        <f>$B12 * IFERROR(VLOOKUP("buildings|NOx|Respiratory hospital admissions", US_national_yearly!$D:$AM, 27, FALSE) / VLOOKUP("buildings|NOx|Respiratory hospital admissions", US_national_yearly!$D:$AM, 10, FALSE), 1)</f>
        <v>8.2635055081763976E-4</v>
      </c>
      <c r="T12" s="7">
        <f>$B12 * IFERROR(VLOOKUP("buildings|NOx|Respiratory hospital admissions", US_national_yearly!$D:$AM, 28, FALSE) / VLOOKUP("buildings|NOx|Respiratory hospital admissions", US_national_yearly!$D:$AM, 10, FALSE), 1)</f>
        <v>8.3088875766152239E-4</v>
      </c>
      <c r="U12" s="7">
        <f>$B12 * IFERROR(VLOOKUP("buildings|NOx|Respiratory hospital admissions", US_national_yearly!$D:$AM, 29, FALSE) / VLOOKUP("buildings|NOx|Respiratory hospital admissions", US_national_yearly!$D:$AM, 10, FALSE), 1)</f>
        <v>8.3542696450540491E-4</v>
      </c>
      <c r="V12" s="7">
        <f>$B12 * IFERROR(VLOOKUP("buildings|NOx|Respiratory hospital admissions", US_national_yearly!$D:$AM, 30, FALSE) / VLOOKUP("buildings|NOx|Respiratory hospital admissions", US_national_yearly!$D:$AM, 10, FALSE), 1)</f>
        <v>8.3996517134928754E-4</v>
      </c>
      <c r="W12" s="7">
        <f>$B12 * IFERROR(VLOOKUP("buildings|NOx|Respiratory hospital admissions", US_national_yearly!$D:$AM, 31, FALSE) / VLOOKUP("buildings|NOx|Respiratory hospital admissions", US_national_yearly!$D:$AM, 10, FALSE), 1)</f>
        <v>8.4450337819316995E-4</v>
      </c>
      <c r="X12" s="7">
        <f>$B12 * IFERROR(VLOOKUP("buildings|NOx|Respiratory hospital admissions", US_national_yearly!$D:$AM, 32, FALSE) / VLOOKUP("buildings|NOx|Respiratory hospital admissions", US_national_yearly!$D:$AM, 10, FALSE), 1)</f>
        <v>8.4760999491118657E-4</v>
      </c>
      <c r="Y12" s="7">
        <f>$B12 * IFERROR(VLOOKUP("buildings|NOx|Respiratory hospital admissions", US_national_yearly!$D:$AM, 33, FALSE) / VLOOKUP("buildings|NOx|Respiratory hospital admissions", US_national_yearly!$D:$AM, 10, FALSE), 1)</f>
        <v>8.5071661162920318E-4</v>
      </c>
      <c r="Z12" s="7">
        <f>$B12 * IFERROR(VLOOKUP("buildings|NOx|Respiratory hospital admissions", US_national_yearly!$D:$AM, 34, FALSE) / VLOOKUP("buildings|NOx|Respiratory hospital admissions", US_national_yearly!$D:$AM, 10, FALSE), 1)</f>
        <v>8.5382322834722001E-4</v>
      </c>
      <c r="AA12" s="7">
        <f>$B12 * IFERROR(VLOOKUP("buildings|NOx|Respiratory hospital admissions", US_national_yearly!$D:$AM, 35, FALSE) / VLOOKUP("buildings|NOx|Respiratory hospital admissions", US_national_yearly!$D:$AM, 10, FALSE), 1)</f>
        <v>8.5692984506523652E-4</v>
      </c>
      <c r="AB12" s="7">
        <f>$B12 * IFERROR(VLOOKUP("buildings|NOx|Respiratory hospital admissions", US_national_yearly!$D:$AM, 36, FALSE) / VLOOKUP("buildings|NOx|Respiratory hospital admissions", US_national_yearly!$D:$AM, 10, FALSE), 1)</f>
        <v>8.6003646178325313E-4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1.8639870250840244E-3</v>
      </c>
      <c r="C13" s="7">
        <f>$B13 * IFERROR(VLOOKUP("buildings|NOx|Non-fatal heart attacks", US_national_yearly!$D:$AM, 11, FALSE) / VLOOKUP("buildings|NOx|Non-fatal heart attacks", US_national_yearly!$D:$AM, 10, FALSE), 1)</f>
        <v>1.9173118934574355E-3</v>
      </c>
      <c r="D13" s="7">
        <f>$B13 * IFERROR(VLOOKUP("buildings|NOx|Non-fatal heart attacks", US_national_yearly!$D:$AM, 12, FALSE) / VLOOKUP("buildings|NOx|Non-fatal heart attacks", US_national_yearly!$D:$AM, 10, FALSE), 1)</f>
        <v>1.9706367618308475E-3</v>
      </c>
      <c r="E13" s="7">
        <f>$B13 * IFERROR(VLOOKUP("buildings|NOx|Non-fatal heart attacks", US_national_yearly!$D:$AM, 13, FALSE) / VLOOKUP("buildings|NOx|Non-fatal heart attacks", US_national_yearly!$D:$AM, 10, FALSE), 1)</f>
        <v>2.0239616302042585E-3</v>
      </c>
      <c r="F13" s="7">
        <f>$B13 * IFERROR(VLOOKUP("buildings|NOx|Non-fatal heart attacks", US_national_yearly!$D:$AM, 14, FALSE) / VLOOKUP("buildings|NOx|Non-fatal heart attacks", US_national_yearly!$D:$AM, 10, FALSE), 1)</f>
        <v>2.0772864985776694E-3</v>
      </c>
      <c r="G13" s="7">
        <f>$B13 * IFERROR(VLOOKUP("buildings|NOx|Non-fatal heart attacks", US_national_yearly!$D:$AM, 15, FALSE) / VLOOKUP("buildings|NOx|Non-fatal heart attacks", US_national_yearly!$D:$AM, 10, FALSE), 1)</f>
        <v>2.1271290736913288E-3</v>
      </c>
      <c r="H13" s="7">
        <f>$B13 * IFERROR(VLOOKUP("buildings|NOx|Non-fatal heart attacks", US_national_yearly!$D:$AM, 16, FALSE) / VLOOKUP("buildings|NOx|Non-fatal heart attacks", US_national_yearly!$D:$AM, 10, FALSE), 1)</f>
        <v>2.1769716488049882E-3</v>
      </c>
      <c r="I13" s="7">
        <f>$B13 * IFERROR(VLOOKUP("buildings|NOx|Non-fatal heart attacks", US_national_yearly!$D:$AM, 17, FALSE) / VLOOKUP("buildings|NOx|Non-fatal heart attacks", US_national_yearly!$D:$AM, 10, FALSE), 1)</f>
        <v>2.2162938576586106E-3</v>
      </c>
      <c r="J13" s="7">
        <f>$B13 * IFERROR(VLOOKUP("buildings|NOx|Non-fatal heart attacks", US_national_yearly!$D:$AM, 18, FALSE) / VLOOKUP("buildings|NOx|Non-fatal heart attacks", US_national_yearly!$D:$AM, 10, FALSE), 1)</f>
        <v>2.2556160665122334E-3</v>
      </c>
      <c r="K13" s="7">
        <f>$B13 * IFERROR(VLOOKUP("buildings|NOx|Non-fatal heart attacks", US_national_yearly!$D:$AM, 19, FALSE) / VLOOKUP("buildings|NOx|Non-fatal heart attacks", US_national_yearly!$D:$AM, 10, FALSE), 1)</f>
        <v>2.2949382753658567E-3</v>
      </c>
      <c r="L13" s="7">
        <f>$B13 * IFERROR(VLOOKUP("buildings|NOx|Non-fatal heart attacks", US_national_yearly!$D:$AM, 20, FALSE) / VLOOKUP("buildings|NOx|Non-fatal heart attacks", US_national_yearly!$D:$AM, 10, FALSE), 1)</f>
        <v>2.3342604842194782E-3</v>
      </c>
      <c r="M13" s="7">
        <f>$B13 * IFERROR(VLOOKUP("buildings|NOx|Non-fatal heart attacks", US_national_yearly!$D:$AM, 21, FALSE) / VLOOKUP("buildings|NOx|Non-fatal heart attacks", US_national_yearly!$D:$AM, 10, FALSE), 1)</f>
        <v>2.3735826930731019E-3</v>
      </c>
      <c r="N13" s="7">
        <f>$B13 * IFERROR(VLOOKUP("buildings|NOx|Non-fatal heart attacks", US_national_yearly!$D:$AM, 22, FALSE) / VLOOKUP("buildings|NOx|Non-fatal heart attacks", US_national_yearly!$D:$AM, 10, FALSE), 1)</f>
        <v>2.3972479903757982E-3</v>
      </c>
      <c r="O13" s="7">
        <f>$B13 * IFERROR(VLOOKUP("buildings|NOx|Non-fatal heart attacks", US_national_yearly!$D:$AM, 23, FALSE) / VLOOKUP("buildings|NOx|Non-fatal heart attacks", US_national_yearly!$D:$AM, 10, FALSE), 1)</f>
        <v>2.4209132876784941E-3</v>
      </c>
      <c r="P13" s="7">
        <f>$B13 * IFERROR(VLOOKUP("buildings|NOx|Non-fatal heart attacks", US_national_yearly!$D:$AM, 24, FALSE) / VLOOKUP("buildings|NOx|Non-fatal heart attacks", US_national_yearly!$D:$AM, 10, FALSE), 1)</f>
        <v>2.4445785849811909E-3</v>
      </c>
      <c r="Q13" s="7">
        <f>$B13 * IFERROR(VLOOKUP("buildings|NOx|Non-fatal heart attacks", US_national_yearly!$D:$AM, 25, FALSE) / VLOOKUP("buildings|NOx|Non-fatal heart attacks", US_national_yearly!$D:$AM, 10, FALSE), 1)</f>
        <v>2.4682438822838872E-3</v>
      </c>
      <c r="R13" s="7">
        <f>$B13 * IFERROR(VLOOKUP("buildings|NOx|Non-fatal heart attacks", US_national_yearly!$D:$AM, 26, FALSE) / VLOOKUP("buildings|NOx|Non-fatal heart attacks", US_national_yearly!$D:$AM, 10, FALSE), 1)</f>
        <v>2.4919091795865835E-3</v>
      </c>
      <c r="S13" s="7">
        <f>$B13 * IFERROR(VLOOKUP("buildings|NOx|Non-fatal heart attacks", US_national_yearly!$D:$AM, 27, FALSE) / VLOOKUP("buildings|NOx|Non-fatal heart attacks", US_national_yearly!$D:$AM, 10, FALSE), 1)</f>
        <v>2.5026636190741943E-3</v>
      </c>
      <c r="T13" s="7">
        <f>$B13 * IFERROR(VLOOKUP("buildings|NOx|Non-fatal heart attacks", US_national_yearly!$D:$AM, 28, FALSE) / VLOOKUP("buildings|NOx|Non-fatal heart attacks", US_national_yearly!$D:$AM, 10, FALSE), 1)</f>
        <v>2.5134180585618063E-3</v>
      </c>
      <c r="U13" s="7">
        <f>$B13 * IFERROR(VLOOKUP("buildings|NOx|Non-fatal heart attacks", US_national_yearly!$D:$AM, 29, FALSE) / VLOOKUP("buildings|NOx|Non-fatal heart attacks", US_national_yearly!$D:$AM, 10, FALSE), 1)</f>
        <v>2.5241724980494171E-3</v>
      </c>
      <c r="V13" s="7">
        <f>$B13 * IFERROR(VLOOKUP("buildings|NOx|Non-fatal heart attacks", US_national_yearly!$D:$AM, 30, FALSE) / VLOOKUP("buildings|NOx|Non-fatal heart attacks", US_national_yearly!$D:$AM, 10, FALSE), 1)</f>
        <v>2.5349269375370279E-3</v>
      </c>
      <c r="W13" s="7">
        <f>$B13 * IFERROR(VLOOKUP("buildings|NOx|Non-fatal heart attacks", US_national_yearly!$D:$AM, 31, FALSE) / VLOOKUP("buildings|NOx|Non-fatal heart attacks", US_national_yearly!$D:$AM, 10, FALSE), 1)</f>
        <v>2.5456813770246395E-3</v>
      </c>
      <c r="X13" s="7">
        <f>$B13 * IFERROR(VLOOKUP("buildings|NOx|Non-fatal heart attacks", US_national_yearly!$D:$AM, 32, FALSE) / VLOOKUP("buildings|NOx|Non-fatal heart attacks", US_national_yearly!$D:$AM, 10, FALSE), 1)</f>
        <v>2.5528752212917259E-3</v>
      </c>
      <c r="Y13" s="7">
        <f>$B13 * IFERROR(VLOOKUP("buildings|NOx|Non-fatal heart attacks", US_national_yearly!$D:$AM, 33, FALSE) / VLOOKUP("buildings|NOx|Non-fatal heart attacks", US_national_yearly!$D:$AM, 10, FALSE), 1)</f>
        <v>2.5600690655588126E-3</v>
      </c>
      <c r="Z13" s="7">
        <f>$B13 * IFERROR(VLOOKUP("buildings|NOx|Non-fatal heart attacks", US_national_yearly!$D:$AM, 34, FALSE) / VLOOKUP("buildings|NOx|Non-fatal heart attacks", US_national_yearly!$D:$AM, 10, FALSE), 1)</f>
        <v>2.5672629098258994E-3</v>
      </c>
      <c r="AA13" s="7">
        <f>$B13 * IFERROR(VLOOKUP("buildings|NOx|Non-fatal heart attacks", US_national_yearly!$D:$AM, 35, FALSE) / VLOOKUP("buildings|NOx|Non-fatal heart attacks", US_national_yearly!$D:$AM, 10, FALSE), 1)</f>
        <v>2.5744567540929857E-3</v>
      </c>
      <c r="AB13" s="7">
        <f>$B13 * IFERROR(VLOOKUP("buildings|NOx|Non-fatal heart attacks", US_national_yearly!$D:$AM, 36, FALSE) / VLOOKUP("buildings|NOx|Non-fatal heart attacks", US_national_yearly!$D:$AM, 10, FALSE), 1)</f>
        <v>2.5816505983600724E-3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3.2131281513997574</v>
      </c>
      <c r="C14" s="7">
        <f>$B14 * IFERROR(VLOOKUP("buildings|NOx|Minor restricted activity days", US_national_yearly!$D:$AM, 11, FALSE) / VLOOKUP("buildings|NOx|Minor restricted activity days", US_national_yearly!$D:$AM, 10, FALSE), 1)</f>
        <v>3.218114166408709</v>
      </c>
      <c r="D14" s="7">
        <f>$B14 * IFERROR(VLOOKUP("buildings|NOx|Minor restricted activity days", US_national_yearly!$D:$AM, 12, FALSE) / VLOOKUP("buildings|NOx|Minor restricted activity days", US_national_yearly!$D:$AM, 10, FALSE), 1)</f>
        <v>3.2231001814176605</v>
      </c>
      <c r="E14" s="7">
        <f>$B14 * IFERROR(VLOOKUP("buildings|NOx|Minor restricted activity days", US_national_yearly!$D:$AM, 13, FALSE) / VLOOKUP("buildings|NOx|Minor restricted activity days", US_national_yearly!$D:$AM, 10, FALSE), 1)</f>
        <v>3.2280861964266125</v>
      </c>
      <c r="F14" s="7">
        <f>$B14 * IFERROR(VLOOKUP("buildings|NOx|Minor restricted activity days", US_national_yearly!$D:$AM, 14, FALSE) / VLOOKUP("buildings|NOx|Minor restricted activity days", US_national_yearly!$D:$AM, 10, FALSE), 1)</f>
        <v>3.2330722114355641</v>
      </c>
      <c r="G14" s="7">
        <f>$B14 * IFERROR(VLOOKUP("buildings|NOx|Minor restricted activity days", US_national_yearly!$D:$AM, 15, FALSE) / VLOOKUP("buildings|NOx|Minor restricted activity days", US_national_yearly!$D:$AM, 10, FALSE), 1)</f>
        <v>3.242029596051466</v>
      </c>
      <c r="H14" s="7">
        <f>$B14 * IFERROR(VLOOKUP("buildings|NOx|Minor restricted activity days", US_national_yearly!$D:$AM, 16, FALSE) / VLOOKUP("buildings|NOx|Minor restricted activity days", US_national_yearly!$D:$AM, 10, FALSE), 1)</f>
        <v>3.2509869806673675</v>
      </c>
      <c r="I14" s="7">
        <f>$B14 * IFERROR(VLOOKUP("buildings|NOx|Minor restricted activity days", US_national_yearly!$D:$AM, 17, FALSE) / VLOOKUP("buildings|NOx|Minor restricted activity days", US_national_yearly!$D:$AM, 10, FALSE), 1)</f>
        <v>3.2684513251136451</v>
      </c>
      <c r="J14" s="7">
        <f>$B14 * IFERROR(VLOOKUP("buildings|NOx|Minor restricted activity days", US_national_yearly!$D:$AM, 18, FALSE) / VLOOKUP("buildings|NOx|Minor restricted activity days", US_national_yearly!$D:$AM, 10, FALSE), 1)</f>
        <v>3.2859156695599228</v>
      </c>
      <c r="K14" s="7">
        <f>$B14 * IFERROR(VLOOKUP("buildings|NOx|Minor restricted activity days", US_national_yearly!$D:$AM, 19, FALSE) / VLOOKUP("buildings|NOx|Minor restricted activity days", US_national_yearly!$D:$AM, 10, FALSE), 1)</f>
        <v>3.3033800140062</v>
      </c>
      <c r="L14" s="7">
        <f>$B14 * IFERROR(VLOOKUP("buildings|NOx|Minor restricted activity days", US_national_yearly!$D:$AM, 20, FALSE) / VLOOKUP("buildings|NOx|Minor restricted activity days", US_national_yearly!$D:$AM, 10, FALSE), 1)</f>
        <v>3.3208443584524776</v>
      </c>
      <c r="M14" s="7">
        <f>$B14 * IFERROR(VLOOKUP("buildings|NOx|Minor restricted activity days", US_national_yearly!$D:$AM, 21, FALSE) / VLOOKUP("buildings|NOx|Minor restricted activity days", US_national_yearly!$D:$AM, 10, FALSE), 1)</f>
        <v>3.3383087028987553</v>
      </c>
      <c r="N14" s="7">
        <f>$B14 * IFERROR(VLOOKUP("buildings|NOx|Minor restricted activity days", US_national_yearly!$D:$AM, 22, FALSE) / VLOOKUP("buildings|NOx|Minor restricted activity days", US_national_yearly!$D:$AM, 10, FALSE), 1)</f>
        <v>3.3632933387566379</v>
      </c>
      <c r="O14" s="7">
        <f>$B14 * IFERROR(VLOOKUP("buildings|NOx|Minor restricted activity days", US_national_yearly!$D:$AM, 23, FALSE) / VLOOKUP("buildings|NOx|Minor restricted activity days", US_national_yearly!$D:$AM, 10, FALSE), 1)</f>
        <v>3.3882779746145197</v>
      </c>
      <c r="P14" s="7">
        <f>$B14 * IFERROR(VLOOKUP("buildings|NOx|Minor restricted activity days", US_national_yearly!$D:$AM, 24, FALSE) / VLOOKUP("buildings|NOx|Minor restricted activity days", US_national_yearly!$D:$AM, 10, FALSE), 1)</f>
        <v>3.4132626104724024</v>
      </c>
      <c r="Q14" s="7">
        <f>$B14 * IFERROR(VLOOKUP("buildings|NOx|Minor restricted activity days", US_national_yearly!$D:$AM, 25, FALSE) / VLOOKUP("buildings|NOx|Minor restricted activity days", US_national_yearly!$D:$AM, 10, FALSE), 1)</f>
        <v>3.4382472463302842</v>
      </c>
      <c r="R14" s="7">
        <f>$B14 * IFERROR(VLOOKUP("buildings|NOx|Minor restricted activity days", US_national_yearly!$D:$AM, 26, FALSE) / VLOOKUP("buildings|NOx|Minor restricted activity days", US_national_yearly!$D:$AM, 10, FALSE), 1)</f>
        <v>3.463231882188166</v>
      </c>
      <c r="S14" s="7">
        <f>$B14 * IFERROR(VLOOKUP("buildings|NOx|Minor restricted activity days", US_national_yearly!$D:$AM, 27, FALSE) / VLOOKUP("buildings|NOx|Minor restricted activity days", US_national_yearly!$D:$AM, 10, FALSE), 1)</f>
        <v>3.4882093256477509</v>
      </c>
      <c r="T14" s="7">
        <f>$B14 * IFERROR(VLOOKUP("buildings|NOx|Minor restricted activity days", US_national_yearly!$D:$AM, 28, FALSE) / VLOOKUP("buildings|NOx|Minor restricted activity days", US_national_yearly!$D:$AM, 10, FALSE), 1)</f>
        <v>3.5131867691073357</v>
      </c>
      <c r="U14" s="7">
        <f>$B14 * IFERROR(VLOOKUP("buildings|NOx|Minor restricted activity days", US_national_yearly!$D:$AM, 29, FALSE) / VLOOKUP("buildings|NOx|Minor restricted activity days", US_national_yearly!$D:$AM, 10, FALSE), 1)</f>
        <v>3.5381642125669215</v>
      </c>
      <c r="V14" s="7">
        <f>$B14 * IFERROR(VLOOKUP("buildings|NOx|Minor restricted activity days", US_national_yearly!$D:$AM, 30, FALSE) / VLOOKUP("buildings|NOx|Minor restricted activity days", US_national_yearly!$D:$AM, 10, FALSE), 1)</f>
        <v>3.5631416560265063</v>
      </c>
      <c r="W14" s="7">
        <f>$B14 * IFERROR(VLOOKUP("buildings|NOx|Minor restricted activity days", US_national_yearly!$D:$AM, 31, FALSE) / VLOOKUP("buildings|NOx|Minor restricted activity days", US_national_yearly!$D:$AM, 10, FALSE), 1)</f>
        <v>3.5881190994860908</v>
      </c>
      <c r="X14" s="7">
        <f>$B14 * IFERROR(VLOOKUP("buildings|NOx|Minor restricted activity days", US_national_yearly!$D:$AM, 32, FALSE) / VLOOKUP("buildings|NOx|Minor restricted activity days", US_national_yearly!$D:$AM, 10, FALSE), 1)</f>
        <v>3.6092435494154178</v>
      </c>
      <c r="Y14" s="7">
        <f>$B14 * IFERROR(VLOOKUP("buildings|NOx|Minor restricted activity days", US_national_yearly!$D:$AM, 33, FALSE) / VLOOKUP("buildings|NOx|Minor restricted activity days", US_national_yearly!$D:$AM, 10, FALSE), 1)</f>
        <v>3.6303679993447453</v>
      </c>
      <c r="Z14" s="7">
        <f>$B14 * IFERROR(VLOOKUP("buildings|NOx|Minor restricted activity days", US_national_yearly!$D:$AM, 34, FALSE) / VLOOKUP("buildings|NOx|Minor restricted activity days", US_national_yearly!$D:$AM, 10, FALSE), 1)</f>
        <v>3.651492449274071</v>
      </c>
      <c r="AA14" s="7">
        <f>$B14 * IFERROR(VLOOKUP("buildings|NOx|Minor restricted activity days", US_national_yearly!$D:$AM, 35, FALSE) / VLOOKUP("buildings|NOx|Minor restricted activity days", US_national_yearly!$D:$AM, 10, FALSE), 1)</f>
        <v>3.6726168992033985</v>
      </c>
      <c r="AB14" s="7">
        <f>$B14 * IFERROR(VLOOKUP("buildings|NOx|Minor restricted activity days", US_national_yearly!$D:$AM, 36, FALSE) / VLOOKUP("buildings|NOx|Minor restricted activity days", US_national_yearly!$D:$AM, 10, FALSE), 1)</f>
        <v>3.6937413491327256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0.54642814034315912</v>
      </c>
      <c r="C15" s="7">
        <f>$B15 * IFERROR(VLOOKUP("buildings|NOx|Work loss days", US_national_yearly!$D:$AM, 11, FALSE) / VLOOKUP("buildings|NOx|Work loss days", US_national_yearly!$D:$AM, 10, FALSE), 1)</f>
        <v>0.54765308746391828</v>
      </c>
      <c r="D15" s="7">
        <f>$B15 * IFERROR(VLOOKUP("buildings|NOx|Work loss days", US_national_yearly!$D:$AM, 12, FALSE) / VLOOKUP("buildings|NOx|Work loss days", US_national_yearly!$D:$AM, 10, FALSE), 1)</f>
        <v>0.54887803458467732</v>
      </c>
      <c r="E15" s="7">
        <f>$B15 * IFERROR(VLOOKUP("buildings|NOx|Work loss days", US_national_yearly!$D:$AM, 13, FALSE) / VLOOKUP("buildings|NOx|Work loss days", US_national_yearly!$D:$AM, 10, FALSE), 1)</f>
        <v>0.55010298170543648</v>
      </c>
      <c r="F15" s="7">
        <f>$B15 * IFERROR(VLOOKUP("buildings|NOx|Work loss days", US_national_yearly!$D:$AM, 14, FALSE) / VLOOKUP("buildings|NOx|Work loss days", US_national_yearly!$D:$AM, 10, FALSE), 1)</f>
        <v>0.55132792882619563</v>
      </c>
      <c r="G15" s="7">
        <f>$B15 * IFERROR(VLOOKUP("buildings|NOx|Work loss days", US_national_yearly!$D:$AM, 15, FALSE) / VLOOKUP("buildings|NOx|Work loss days", US_national_yearly!$D:$AM, 10, FALSE), 1)</f>
        <v>0.55311220164263541</v>
      </c>
      <c r="H15" s="7">
        <f>$B15 * IFERROR(VLOOKUP("buildings|NOx|Work loss days", US_national_yearly!$D:$AM, 16, FALSE) / VLOOKUP("buildings|NOx|Work loss days", US_national_yearly!$D:$AM, 10, FALSE), 1)</f>
        <v>0.55489647445907531</v>
      </c>
      <c r="I15" s="7">
        <f>$B15 * IFERROR(VLOOKUP("buildings|NOx|Work loss days", US_national_yearly!$D:$AM, 17, FALSE) / VLOOKUP("buildings|NOx|Work loss days", US_national_yearly!$D:$AM, 10, FALSE), 1)</f>
        <v>0.55778218141518932</v>
      </c>
      <c r="J15" s="7">
        <f>$B15 * IFERROR(VLOOKUP("buildings|NOx|Work loss days", US_national_yearly!$D:$AM, 18, FALSE) / VLOOKUP("buildings|NOx|Work loss days", US_national_yearly!$D:$AM, 10, FALSE), 1)</f>
        <v>0.56066788837130321</v>
      </c>
      <c r="K15" s="7">
        <f>$B15 * IFERROR(VLOOKUP("buildings|NOx|Work loss days", US_national_yearly!$D:$AM, 19, FALSE) / VLOOKUP("buildings|NOx|Work loss days", US_national_yearly!$D:$AM, 10, FALSE), 1)</f>
        <v>0.56355359532741722</v>
      </c>
      <c r="L15" s="7">
        <f>$B15 * IFERROR(VLOOKUP("buildings|NOx|Work loss days", US_national_yearly!$D:$AM, 20, FALSE) / VLOOKUP("buildings|NOx|Work loss days", US_national_yearly!$D:$AM, 10, FALSE), 1)</f>
        <v>0.56643930228353123</v>
      </c>
      <c r="M15" s="7">
        <f>$B15 * IFERROR(VLOOKUP("buildings|NOx|Work loss days", US_national_yearly!$D:$AM, 21, FALSE) / VLOOKUP("buildings|NOx|Work loss days", US_national_yearly!$D:$AM, 10, FALSE), 1)</f>
        <v>0.56932500923964502</v>
      </c>
      <c r="N15" s="7">
        <f>$B15 * IFERROR(VLOOKUP("buildings|NOx|Work loss days", US_national_yearly!$D:$AM, 22, FALSE) / VLOOKUP("buildings|NOx|Work loss days", US_national_yearly!$D:$AM, 10, FALSE), 1)</f>
        <v>0.57307931874947637</v>
      </c>
      <c r="O15" s="7">
        <f>$B15 * IFERROR(VLOOKUP("buildings|NOx|Work loss days", US_national_yearly!$D:$AM, 23, FALSE) / VLOOKUP("buildings|NOx|Work loss days", US_national_yearly!$D:$AM, 10, FALSE), 1)</f>
        <v>0.57683362825930762</v>
      </c>
      <c r="P15" s="7">
        <f>$B15 * IFERROR(VLOOKUP("buildings|NOx|Work loss days", US_national_yearly!$D:$AM, 24, FALSE) / VLOOKUP("buildings|NOx|Work loss days", US_national_yearly!$D:$AM, 10, FALSE), 1)</f>
        <v>0.58058793776913886</v>
      </c>
      <c r="Q15" s="7">
        <f>$B15 * IFERROR(VLOOKUP("buildings|NOx|Work loss days", US_national_yearly!$D:$AM, 25, FALSE) / VLOOKUP("buildings|NOx|Work loss days", US_national_yearly!$D:$AM, 10, FALSE), 1)</f>
        <v>0.58434224727897033</v>
      </c>
      <c r="R15" s="7">
        <f>$B15 * IFERROR(VLOOKUP("buildings|NOx|Work loss days", US_national_yearly!$D:$AM, 26, FALSE) / VLOOKUP("buildings|NOx|Work loss days", US_national_yearly!$D:$AM, 10, FALSE), 1)</f>
        <v>0.58809655678880157</v>
      </c>
      <c r="S15" s="7">
        <f>$B15 * IFERROR(VLOOKUP("buildings|NOx|Work loss days", US_national_yearly!$D:$AM, 27, FALSE) / VLOOKUP("buildings|NOx|Work loss days", US_national_yearly!$D:$AM, 10, FALSE), 1)</f>
        <v>0.59228007679974271</v>
      </c>
      <c r="T15" s="7">
        <f>$B15 * IFERROR(VLOOKUP("buildings|NOx|Work loss days", US_national_yearly!$D:$AM, 28, FALSE) / VLOOKUP("buildings|NOx|Work loss days", US_national_yearly!$D:$AM, 10, FALSE), 1)</f>
        <v>0.59646359681068395</v>
      </c>
      <c r="U15" s="7">
        <f>$B15 * IFERROR(VLOOKUP("buildings|NOx|Work loss days", US_national_yearly!$D:$AM, 29, FALSE) / VLOOKUP("buildings|NOx|Work loss days", US_national_yearly!$D:$AM, 10, FALSE), 1)</f>
        <v>0.60064711682162508</v>
      </c>
      <c r="V15" s="7">
        <f>$B15 * IFERROR(VLOOKUP("buildings|NOx|Work loss days", US_national_yearly!$D:$AM, 30, FALSE) / VLOOKUP("buildings|NOx|Work loss days", US_national_yearly!$D:$AM, 10, FALSE), 1)</f>
        <v>0.60483063683256622</v>
      </c>
      <c r="W15" s="7">
        <f>$B15 * IFERROR(VLOOKUP("buildings|NOx|Work loss days", US_national_yearly!$D:$AM, 31, FALSE) / VLOOKUP("buildings|NOx|Work loss days", US_national_yearly!$D:$AM, 10, FALSE), 1)</f>
        <v>0.60901415684350735</v>
      </c>
      <c r="X15" s="7">
        <f>$B15 * IFERROR(VLOOKUP("buildings|NOx|Work loss days", US_national_yearly!$D:$AM, 32, FALSE) / VLOOKUP("buildings|NOx|Work loss days", US_national_yearly!$D:$AM, 10, FALSE), 1)</f>
        <v>0.61264632630607796</v>
      </c>
      <c r="Y15" s="7">
        <f>$B15 * IFERROR(VLOOKUP("buildings|NOx|Work loss days", US_national_yearly!$D:$AM, 33, FALSE) / VLOOKUP("buildings|NOx|Work loss days", US_national_yearly!$D:$AM, 10, FALSE), 1)</f>
        <v>0.61627849576864868</v>
      </c>
      <c r="Z15" s="7">
        <f>$B15 * IFERROR(VLOOKUP("buildings|NOx|Work loss days", US_national_yearly!$D:$AM, 34, FALSE) / VLOOKUP("buildings|NOx|Work loss days", US_national_yearly!$D:$AM, 10, FALSE), 1)</f>
        <v>0.6199106652312194</v>
      </c>
      <c r="AA15" s="7">
        <f>$B15 * IFERROR(VLOOKUP("buildings|NOx|Work loss days", US_national_yearly!$D:$AM, 35, FALSE) / VLOOKUP("buildings|NOx|Work loss days", US_national_yearly!$D:$AM, 10, FALSE), 1)</f>
        <v>0.62354283469379002</v>
      </c>
      <c r="AB15" s="7">
        <f>$B15 * IFERROR(VLOOKUP("buildings|NOx|Work loss days", US_national_yearly!$D:$AM, 36, FALSE) / VLOOKUP("buildings|NOx|Work loss days", US_national_yearly!$D:$AM, 10, FALSE), 1)</f>
        <v>0.62717500415636074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6.8964611040313718E-4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7.0992176733039526E-4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7.3019742425765345E-4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7.5047308118491164E-4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7.7074873811216972E-4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7.9001024342753698E-4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8.0927174874290434E-4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8.2547840377391539E-4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8.4168505880492632E-4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8.5789171383593725E-4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8.7409836886694807E-4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8.903050238979589E-4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9.0044284022704083E-4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9.1058065655612243E-4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9.2071847288520414E-4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9.3085628921428596E-4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9.4099410554336757E-4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9.456263622749702E-4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9.5025861900657261E-4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9.5489087573817524E-4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9.5952313246977776E-4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9.6415538920138039E-4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9.6673736233245989E-4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9.693193354635395E-4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9.7190130859461899E-4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9.744832817256986E-4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9.7706525485677809E-4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3.0894818806528595E-2</v>
      </c>
      <c r="C2" s="7">
        <f>$B2 * IFERROR(VLOOKUP("buildings|SO2|Premature mortality", US_national_yearly!$D:$AM, 11, FALSE) / VLOOKUP("buildings|SO2|Premature mortality", US_national_yearly!$D:$AM, 10, FALSE), 1)</f>
        <v>3.1286207094723809E-2</v>
      </c>
      <c r="D2" s="7">
        <f>$B2 * IFERROR(VLOOKUP("buildings|SO2|Premature mortality", US_national_yearly!$D:$AM, 12, FALSE) / VLOOKUP("buildings|SO2|Premature mortality", US_national_yearly!$D:$AM, 10, FALSE), 1)</f>
        <v>3.1677595382919012E-2</v>
      </c>
      <c r="E2" s="7">
        <f>$B2 * IFERROR(VLOOKUP("buildings|SO2|Premature mortality", US_national_yearly!$D:$AM, 13, FALSE) / VLOOKUP("buildings|SO2|Premature mortality", US_national_yearly!$D:$AM, 10, FALSE), 1)</f>
        <v>3.2068983671114222E-2</v>
      </c>
      <c r="F2" s="7">
        <f>$B2 * IFERROR(VLOOKUP("buildings|SO2|Premature mortality", US_national_yearly!$D:$AM, 14, FALSE) / VLOOKUP("buildings|SO2|Premature mortality", US_national_yearly!$D:$AM, 10, FALSE), 1)</f>
        <v>3.2460371959309432E-2</v>
      </c>
      <c r="G2" s="7">
        <f>$B2 * IFERROR(VLOOKUP("buildings|SO2|Premature mortality", US_national_yearly!$D:$AM, 15, FALSE) / VLOOKUP("buildings|SO2|Premature mortality", US_national_yearly!$D:$AM, 10, FALSE), 1)</f>
        <v>3.3214497775178861E-2</v>
      </c>
      <c r="H2" s="7">
        <f>$B2 * IFERROR(VLOOKUP("buildings|SO2|Premature mortality", US_national_yearly!$D:$AM, 16, FALSE) / VLOOKUP("buildings|SO2|Premature mortality", US_national_yearly!$D:$AM, 10, FALSE), 1)</f>
        <v>3.396862359104829E-2</v>
      </c>
      <c r="I2" s="7">
        <f>$B2 * IFERROR(VLOOKUP("buildings|SO2|Premature mortality", US_national_yearly!$D:$AM, 17, FALSE) / VLOOKUP("buildings|SO2|Premature mortality", US_national_yearly!$D:$AM, 10, FALSE), 1)</f>
        <v>3.446724724892844E-2</v>
      </c>
      <c r="J2" s="7">
        <f>$B2 * IFERROR(VLOOKUP("buildings|SO2|Premature mortality", US_national_yearly!$D:$AM, 18, FALSE) / VLOOKUP("buildings|SO2|Premature mortality", US_national_yearly!$D:$AM, 10, FALSE), 1)</f>
        <v>3.4965870906808576E-2</v>
      </c>
      <c r="K2" s="7">
        <f>$B2 * IFERROR(VLOOKUP("buildings|SO2|Premature mortality", US_national_yearly!$D:$AM, 19, FALSE) / VLOOKUP("buildings|SO2|Premature mortality", US_national_yearly!$D:$AM, 10, FALSE), 1)</f>
        <v>3.5464494564688726E-2</v>
      </c>
      <c r="L2" s="7">
        <f>$B2 * IFERROR(VLOOKUP("buildings|SO2|Premature mortality", US_national_yearly!$D:$AM, 20, FALSE) / VLOOKUP("buildings|SO2|Premature mortality", US_national_yearly!$D:$AM, 10, FALSE), 1)</f>
        <v>3.5963118222568861E-2</v>
      </c>
      <c r="M2" s="7">
        <f>$B2 * IFERROR(VLOOKUP("buildings|SO2|Premature mortality", US_national_yearly!$D:$AM, 21, FALSE) / VLOOKUP("buildings|SO2|Premature mortality", US_national_yearly!$D:$AM, 10, FALSE), 1)</f>
        <v>3.6461741880449011E-2</v>
      </c>
      <c r="N2" s="7">
        <f>$B2 * IFERROR(VLOOKUP("buildings|SO2|Premature mortality", US_national_yearly!$D:$AM, 22, FALSE) / VLOOKUP("buildings|SO2|Premature mortality", US_national_yearly!$D:$AM, 10, FALSE), 1)</f>
        <v>3.6851249167468403E-2</v>
      </c>
      <c r="O2" s="7">
        <f>$B2 * IFERROR(VLOOKUP("buildings|SO2|Premature mortality", US_national_yearly!$D:$AM, 23, FALSE) / VLOOKUP("buildings|SO2|Premature mortality", US_national_yearly!$D:$AM, 10, FALSE), 1)</f>
        <v>3.7240756454487781E-2</v>
      </c>
      <c r="P2" s="7">
        <f>$B2 * IFERROR(VLOOKUP("buildings|SO2|Premature mortality", US_national_yearly!$D:$AM, 24, FALSE) / VLOOKUP("buildings|SO2|Premature mortality", US_national_yearly!$D:$AM, 10, FALSE), 1)</f>
        <v>3.7630263741507165E-2</v>
      </c>
      <c r="Q2" s="7">
        <f>$B2 * IFERROR(VLOOKUP("buildings|SO2|Premature mortality", US_national_yearly!$D:$AM, 25, FALSE) / VLOOKUP("buildings|SO2|Premature mortality", US_national_yearly!$D:$AM, 10, FALSE), 1)</f>
        <v>3.801977102852655E-2</v>
      </c>
      <c r="R2" s="7">
        <f>$B2 * IFERROR(VLOOKUP("buildings|SO2|Premature mortality", US_national_yearly!$D:$AM, 26, FALSE) / VLOOKUP("buildings|SO2|Premature mortality", US_national_yearly!$D:$AM, 10, FALSE), 1)</f>
        <v>3.8409278315545942E-2</v>
      </c>
      <c r="S2" s="7">
        <f>$B2 * IFERROR(VLOOKUP("buildings|SO2|Premature mortality", US_national_yearly!$D:$AM, 27, FALSE) / VLOOKUP("buildings|SO2|Premature mortality", US_national_yearly!$D:$AM, 10, FALSE), 1)</f>
        <v>3.8617747061683555E-2</v>
      </c>
      <c r="T2" s="7">
        <f>$B2 * IFERROR(VLOOKUP("buildings|SO2|Premature mortality", US_national_yearly!$D:$AM, 28, FALSE) / VLOOKUP("buildings|SO2|Premature mortality", US_national_yearly!$D:$AM, 10, FALSE), 1)</f>
        <v>3.8826215807821175E-2</v>
      </c>
      <c r="U2" s="7">
        <f>$B2 * IFERROR(VLOOKUP("buildings|SO2|Premature mortality", US_national_yearly!$D:$AM, 29, FALSE) / VLOOKUP("buildings|SO2|Premature mortality", US_national_yearly!$D:$AM, 10, FALSE), 1)</f>
        <v>3.9034684553958789E-2</v>
      </c>
      <c r="V2" s="7">
        <f>$B2 * IFERROR(VLOOKUP("buildings|SO2|Premature mortality", US_national_yearly!$D:$AM, 30, FALSE) / VLOOKUP("buildings|SO2|Premature mortality", US_national_yearly!$D:$AM, 10, FALSE), 1)</f>
        <v>3.9243153300096409E-2</v>
      </c>
      <c r="W2" s="7">
        <f>$B2 * IFERROR(VLOOKUP("buildings|SO2|Premature mortality", US_national_yearly!$D:$AM, 31, FALSE) / VLOOKUP("buildings|SO2|Premature mortality", US_national_yearly!$D:$AM, 10, FALSE), 1)</f>
        <v>3.9451622046234022E-2</v>
      </c>
      <c r="X2" s="7">
        <f>$B2 * IFERROR(VLOOKUP("buildings|SO2|Premature mortality", US_national_yearly!$D:$AM, 32, FALSE) / VLOOKUP("buildings|SO2|Premature mortality", US_national_yearly!$D:$AM, 10, FALSE), 1)</f>
        <v>3.9493746274262491E-2</v>
      </c>
      <c r="Y2" s="7">
        <f>$B2 * IFERROR(VLOOKUP("buildings|SO2|Premature mortality", US_national_yearly!$D:$AM, 33, FALSE) / VLOOKUP("buildings|SO2|Premature mortality", US_national_yearly!$D:$AM, 10, FALSE), 1)</f>
        <v>3.9535870502290953E-2</v>
      </c>
      <c r="Z2" s="7">
        <f>$B2 * IFERROR(VLOOKUP("buildings|SO2|Premature mortality", US_national_yearly!$D:$AM, 34, FALSE) / VLOOKUP("buildings|SO2|Premature mortality", US_national_yearly!$D:$AM, 10, FALSE), 1)</f>
        <v>3.9577994730319414E-2</v>
      </c>
      <c r="AA2" s="7">
        <f>$B2 * IFERROR(VLOOKUP("buildings|SO2|Premature mortality", US_national_yearly!$D:$AM, 35, FALSE) / VLOOKUP("buildings|SO2|Premature mortality", US_national_yearly!$D:$AM, 10, FALSE), 1)</f>
        <v>3.9620118958347883E-2</v>
      </c>
      <c r="AB2" s="7">
        <f>$B2 * IFERROR(VLOOKUP("buildings|SO2|Premature mortality", US_national_yearly!$D:$AM, 36, FALSE) / VLOOKUP("buildings|SO2|Premature mortality", US_national_yearly!$D:$AM, 10, FALSE), 1)</f>
        <v>3.9662243186376345E-2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7.0613171051599842E-5</v>
      </c>
      <c r="C3" s="7">
        <f>$B3 * IFERROR(VLOOKUP("buildings|SO2|Infant mortality", US_national_yearly!$D:$AM, 11, FALSE) / VLOOKUP("buildings|SO2|Infant mortality", US_national_yearly!$D:$AM, 10, FALSE), 1)</f>
        <v>7.000791680857724E-5</v>
      </c>
      <c r="D3" s="7">
        <f>$B3 * IFERROR(VLOOKUP("buildings|SO2|Infant mortality", US_national_yearly!$D:$AM, 12, FALSE) / VLOOKUP("buildings|SO2|Infant mortality", US_national_yearly!$D:$AM, 10, FALSE), 1)</f>
        <v>6.9402662565554637E-5</v>
      </c>
      <c r="E3" s="7">
        <f>$B3 * IFERROR(VLOOKUP("buildings|SO2|Infant mortality", US_national_yearly!$D:$AM, 13, FALSE) / VLOOKUP("buildings|SO2|Infant mortality", US_national_yearly!$D:$AM, 10, FALSE), 1)</f>
        <v>6.8797408322532048E-5</v>
      </c>
      <c r="F3" s="7">
        <f>$B3 * IFERROR(VLOOKUP("buildings|SO2|Infant mortality", US_national_yearly!$D:$AM, 14, FALSE) / VLOOKUP("buildings|SO2|Infant mortality", US_national_yearly!$D:$AM, 10, FALSE), 1)</f>
        <v>6.819215407950946E-5</v>
      </c>
      <c r="G3" s="7">
        <f>$B3 * IFERROR(VLOOKUP("buildings|SO2|Infant mortality", US_national_yearly!$D:$AM, 15, FALSE) / VLOOKUP("buildings|SO2|Infant mortality", US_national_yearly!$D:$AM, 10, FALSE), 1)</f>
        <v>4.5413273065884182E-5</v>
      </c>
      <c r="H3" s="7">
        <f>$B3 * IFERROR(VLOOKUP("buildings|SO2|Infant mortality", US_national_yearly!$D:$AM, 16, FALSE) / VLOOKUP("buildings|SO2|Infant mortality", US_national_yearly!$D:$AM, 10, FALSE), 1)</f>
        <v>2.2634392052258913E-5</v>
      </c>
      <c r="I3" s="7">
        <f>$B3 * IFERROR(VLOOKUP("buildings|SO2|Infant mortality", US_national_yearly!$D:$AM, 17, FALSE) / VLOOKUP("buildings|SO2|Infant mortality", US_national_yearly!$D:$AM, 10, FALSE), 1)</f>
        <v>2.2492381377007927E-5</v>
      </c>
      <c r="J3" s="7">
        <f>$B3 * IFERROR(VLOOKUP("buildings|SO2|Infant mortality", US_national_yearly!$D:$AM, 18, FALSE) / VLOOKUP("buildings|SO2|Infant mortality", US_national_yearly!$D:$AM, 10, FALSE), 1)</f>
        <v>2.2350370701756934E-5</v>
      </c>
      <c r="K3" s="7">
        <f>$B3 * IFERROR(VLOOKUP("buildings|SO2|Infant mortality", US_national_yearly!$D:$AM, 19, FALSE) / VLOOKUP("buildings|SO2|Infant mortality", US_national_yearly!$D:$AM, 10, FALSE), 1)</f>
        <v>2.2208360026505947E-5</v>
      </c>
      <c r="L3" s="7">
        <f>$B3 * IFERROR(VLOOKUP("buildings|SO2|Infant mortality", US_national_yearly!$D:$AM, 20, FALSE) / VLOOKUP("buildings|SO2|Infant mortality", US_national_yearly!$D:$AM, 10, FALSE), 1)</f>
        <v>2.2066349351254958E-5</v>
      </c>
      <c r="M3" s="7">
        <f>$B3 * IFERROR(VLOOKUP("buildings|SO2|Infant mortality", US_national_yearly!$D:$AM, 21, FALSE) / VLOOKUP("buildings|SO2|Infant mortality", US_national_yearly!$D:$AM, 10, FALSE), 1)</f>
        <v>2.1924338676003968E-5</v>
      </c>
      <c r="N3" s="7">
        <f>$B3 * IFERROR(VLOOKUP("buildings|SO2|Infant mortality", US_national_yearly!$D:$AM, 22, FALSE) / VLOOKUP("buildings|SO2|Infant mortality", US_national_yearly!$D:$AM, 10, FALSE), 1)</f>
        <v>2.1835313068703032E-5</v>
      </c>
      <c r="O3" s="7">
        <f>$B3 * IFERROR(VLOOKUP("buildings|SO2|Infant mortality", US_national_yearly!$D:$AM, 23, FALSE) / VLOOKUP("buildings|SO2|Infant mortality", US_national_yearly!$D:$AM, 10, FALSE), 1)</f>
        <v>2.1746287461402092E-5</v>
      </c>
      <c r="P3" s="7">
        <f>$B3 * IFERROR(VLOOKUP("buildings|SO2|Infant mortality", US_national_yearly!$D:$AM, 24, FALSE) / VLOOKUP("buildings|SO2|Infant mortality", US_national_yearly!$D:$AM, 10, FALSE), 1)</f>
        <v>2.1657261854101153E-5</v>
      </c>
      <c r="Q3" s="7">
        <f>$B3 * IFERROR(VLOOKUP("buildings|SO2|Infant mortality", US_national_yearly!$D:$AM, 25, FALSE) / VLOOKUP("buildings|SO2|Infant mortality", US_national_yearly!$D:$AM, 10, FALSE), 1)</f>
        <v>2.1568236246800217E-5</v>
      </c>
      <c r="R3" s="7">
        <f>$B3 * IFERROR(VLOOKUP("buildings|SO2|Infant mortality", US_national_yearly!$D:$AM, 26, FALSE) / VLOOKUP("buildings|SO2|Infant mortality", US_national_yearly!$D:$AM, 10, FALSE), 1)</f>
        <v>2.1479210639499277E-5</v>
      </c>
      <c r="S3" s="7">
        <f>$B3 * IFERROR(VLOOKUP("buildings|SO2|Infant mortality", US_national_yearly!$D:$AM, 27, FALSE) / VLOOKUP("buildings|SO2|Infant mortality", US_national_yearly!$D:$AM, 10, FALSE), 1)</f>
        <v>2.1367422700606411E-5</v>
      </c>
      <c r="T3" s="7">
        <f>$B3 * IFERROR(VLOOKUP("buildings|SO2|Infant mortality", US_national_yearly!$D:$AM, 28, FALSE) / VLOOKUP("buildings|SO2|Infant mortality", US_national_yearly!$D:$AM, 10, FALSE), 1)</f>
        <v>2.1255634761713544E-5</v>
      </c>
      <c r="U3" s="7">
        <f>$B3 * IFERROR(VLOOKUP("buildings|SO2|Infant mortality", US_national_yearly!$D:$AM, 29, FALSE) / VLOOKUP("buildings|SO2|Infant mortality", US_national_yearly!$D:$AM, 10, FALSE), 1)</f>
        <v>2.1143846822820678E-5</v>
      </c>
      <c r="V3" s="7">
        <f>$B3 * IFERROR(VLOOKUP("buildings|SO2|Infant mortality", US_national_yearly!$D:$AM, 30, FALSE) / VLOOKUP("buildings|SO2|Infant mortality", US_national_yearly!$D:$AM, 10, FALSE), 1)</f>
        <v>2.1032058883927812E-5</v>
      </c>
      <c r="W3" s="7">
        <f>$B3 * IFERROR(VLOOKUP("buildings|SO2|Infant mortality", US_national_yearly!$D:$AM, 31, FALSE) / VLOOKUP("buildings|SO2|Infant mortality", US_national_yearly!$D:$AM, 10, FALSE), 1)</f>
        <v>2.0920270945034945E-5</v>
      </c>
      <c r="X3" s="7">
        <f>$B3 * IFERROR(VLOOKUP("buildings|SO2|Infant mortality", US_national_yearly!$D:$AM, 32, FALSE) / VLOOKUP("buildings|SO2|Infant mortality", US_national_yearly!$D:$AM, 10, FALSE), 1)</f>
        <v>2.079818080278856E-5</v>
      </c>
      <c r="Y3" s="7">
        <f>$B3 * IFERROR(VLOOKUP("buildings|SO2|Infant mortality", US_national_yearly!$D:$AM, 33, FALSE) / VLOOKUP("buildings|SO2|Infant mortality", US_national_yearly!$D:$AM, 10, FALSE), 1)</f>
        <v>2.0676090660542174E-5</v>
      </c>
      <c r="Z3" s="7">
        <f>$B3 * IFERROR(VLOOKUP("buildings|SO2|Infant mortality", US_national_yearly!$D:$AM, 34, FALSE) / VLOOKUP("buildings|SO2|Infant mortality", US_national_yearly!$D:$AM, 10, FALSE), 1)</f>
        <v>2.0554000518295788E-5</v>
      </c>
      <c r="AA3" s="7">
        <f>$B3 * IFERROR(VLOOKUP("buildings|SO2|Infant mortality", US_national_yearly!$D:$AM, 35, FALSE) / VLOOKUP("buildings|SO2|Infant mortality", US_national_yearly!$D:$AM, 10, FALSE), 1)</f>
        <v>2.0431910376049398E-5</v>
      </c>
      <c r="AB3" s="7">
        <f>$B3 * IFERROR(VLOOKUP("buildings|SO2|Infant mortality", US_national_yearly!$D:$AM, 36, FALSE) / VLOOKUP("buildings|SO2|Infant mortality", US_national_yearly!$D:$AM, 10, FALSE), 1)</f>
        <v>2.0309820233803016E-5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0.10140549360117285</v>
      </c>
      <c r="C6" s="7">
        <f>$B6 * IFERROR(VLOOKUP("buildings|SO2|Asthma symptoms cough", US_national_yearly!$D:$AM, 11, FALSE) / VLOOKUP("buildings|SO2|Asthma symptoms cough", US_national_yearly!$D:$AM, 10, FALSE), 1)</f>
        <v>0.10140549360117285</v>
      </c>
      <c r="D6" s="7">
        <f>$B6 * IFERROR(VLOOKUP("buildings|SO2|Asthma symptoms cough", US_national_yearly!$D:$AM, 12, FALSE) / VLOOKUP("buildings|SO2|Asthma symptoms cough", US_national_yearly!$D:$AM, 10, FALSE), 1)</f>
        <v>0.10140549360117285</v>
      </c>
      <c r="E6" s="7">
        <f>$B6 * IFERROR(VLOOKUP("buildings|SO2|Asthma symptoms cough", US_national_yearly!$D:$AM, 13, FALSE) / VLOOKUP("buildings|SO2|Asthma symptoms cough", US_national_yearly!$D:$AM, 10, FALSE), 1)</f>
        <v>0.10140549360117285</v>
      </c>
      <c r="F6" s="7">
        <f>$B6 * IFERROR(VLOOKUP("buildings|SO2|Asthma symptoms cough", US_national_yearly!$D:$AM, 14, FALSE) / VLOOKUP("buildings|SO2|Asthma symptoms cough", US_national_yearly!$D:$AM, 10, FALSE), 1)</f>
        <v>0.10140549360117285</v>
      </c>
      <c r="G6" s="7">
        <f>$B6 * IFERROR(VLOOKUP("buildings|SO2|Asthma symptoms cough", US_national_yearly!$D:$AM, 15, FALSE) / VLOOKUP("buildings|SO2|Asthma symptoms cough", US_national_yearly!$D:$AM, 10, FALSE), 1)</f>
        <v>0.10140549360117285</v>
      </c>
      <c r="H6" s="7">
        <f>$B6 * IFERROR(VLOOKUP("buildings|SO2|Asthma symptoms cough", US_national_yearly!$D:$AM, 16, FALSE) / VLOOKUP("buildings|SO2|Asthma symptoms cough", US_national_yearly!$D:$AM, 10, FALSE), 1)</f>
        <v>0.10140549360117285</v>
      </c>
      <c r="I6" s="7">
        <f>$B6 * IFERROR(VLOOKUP("buildings|SO2|Asthma symptoms cough", US_national_yearly!$D:$AM, 17, FALSE) / VLOOKUP("buildings|SO2|Asthma symptoms cough", US_national_yearly!$D:$AM, 10, FALSE), 1)</f>
        <v>0.10140549360117285</v>
      </c>
      <c r="J6" s="7">
        <f>$B6 * IFERROR(VLOOKUP("buildings|SO2|Asthma symptoms cough", US_national_yearly!$D:$AM, 18, FALSE) / VLOOKUP("buildings|SO2|Asthma symptoms cough", US_national_yearly!$D:$AM, 10, FALSE), 1)</f>
        <v>0.10140549360117285</v>
      </c>
      <c r="K6" s="7">
        <f>$B6 * IFERROR(VLOOKUP("buildings|SO2|Asthma symptoms cough", US_national_yearly!$D:$AM, 19, FALSE) / VLOOKUP("buildings|SO2|Asthma symptoms cough", US_national_yearly!$D:$AM, 10, FALSE), 1)</f>
        <v>0.10140549360117285</v>
      </c>
      <c r="L6" s="7">
        <f>$B6 * IFERROR(VLOOKUP("buildings|SO2|Asthma symptoms cough", US_national_yearly!$D:$AM, 20, FALSE) / VLOOKUP("buildings|SO2|Asthma symptoms cough", US_national_yearly!$D:$AM, 10, FALSE), 1)</f>
        <v>0.10140549360117285</v>
      </c>
      <c r="M6" s="7">
        <f>$B6 * IFERROR(VLOOKUP("buildings|SO2|Asthma symptoms cough", US_national_yearly!$D:$AM, 21, FALSE) / VLOOKUP("buildings|SO2|Asthma symptoms cough", US_national_yearly!$D:$AM, 10, FALSE), 1)</f>
        <v>0.10140549360117285</v>
      </c>
      <c r="N6" s="7">
        <f>$B6 * IFERROR(VLOOKUP("buildings|SO2|Asthma symptoms cough", US_national_yearly!$D:$AM, 22, FALSE) / VLOOKUP("buildings|SO2|Asthma symptoms cough", US_national_yearly!$D:$AM, 10, FALSE), 1)</f>
        <v>0.10140549360117285</v>
      </c>
      <c r="O6" s="7">
        <f>$B6 * IFERROR(VLOOKUP("buildings|SO2|Asthma symptoms cough", US_national_yearly!$D:$AM, 23, FALSE) / VLOOKUP("buildings|SO2|Asthma symptoms cough", US_national_yearly!$D:$AM, 10, FALSE), 1)</f>
        <v>0.10140549360117285</v>
      </c>
      <c r="P6" s="7">
        <f>$B6 * IFERROR(VLOOKUP("buildings|SO2|Asthma symptoms cough", US_national_yearly!$D:$AM, 24, FALSE) / VLOOKUP("buildings|SO2|Asthma symptoms cough", US_national_yearly!$D:$AM, 10, FALSE), 1)</f>
        <v>0.10140549360117285</v>
      </c>
      <c r="Q6" s="7">
        <f>$B6 * IFERROR(VLOOKUP("buildings|SO2|Asthma symptoms cough", US_national_yearly!$D:$AM, 25, FALSE) / VLOOKUP("buildings|SO2|Asthma symptoms cough", US_national_yearly!$D:$AM, 10, FALSE), 1)</f>
        <v>0.10140549360117285</v>
      </c>
      <c r="R6" s="7">
        <f>$B6 * IFERROR(VLOOKUP("buildings|SO2|Asthma symptoms cough", US_national_yearly!$D:$AM, 26, FALSE) / VLOOKUP("buildings|SO2|Asthma symptoms cough", US_national_yearly!$D:$AM, 10, FALSE), 1)</f>
        <v>0.10140549360117285</v>
      </c>
      <c r="S6" s="7">
        <f>$B6 * IFERROR(VLOOKUP("buildings|SO2|Asthma symptoms cough", US_national_yearly!$D:$AM, 27, FALSE) / VLOOKUP("buildings|SO2|Asthma symptoms cough", US_national_yearly!$D:$AM, 10, FALSE), 1)</f>
        <v>0.10140549360117285</v>
      </c>
      <c r="T6" s="7">
        <f>$B6 * IFERROR(VLOOKUP("buildings|SO2|Asthma symptoms cough", US_national_yearly!$D:$AM, 28, FALSE) / VLOOKUP("buildings|SO2|Asthma symptoms cough", US_national_yearly!$D:$AM, 10, FALSE), 1)</f>
        <v>0.10140549360117285</v>
      </c>
      <c r="U6" s="7">
        <f>$B6 * IFERROR(VLOOKUP("buildings|SO2|Asthma symptoms cough", US_national_yearly!$D:$AM, 29, FALSE) / VLOOKUP("buildings|SO2|Asthma symptoms cough", US_national_yearly!$D:$AM, 10, FALSE), 1)</f>
        <v>0.10140549360117285</v>
      </c>
      <c r="V6" s="7">
        <f>$B6 * IFERROR(VLOOKUP("buildings|SO2|Asthma symptoms cough", US_national_yearly!$D:$AM, 30, FALSE) / VLOOKUP("buildings|SO2|Asthma symptoms cough", US_national_yearly!$D:$AM, 10, FALSE), 1)</f>
        <v>0.10140549360117285</v>
      </c>
      <c r="W6" s="7">
        <f>$B6 * IFERROR(VLOOKUP("buildings|SO2|Asthma symptoms cough", US_national_yearly!$D:$AM, 31, FALSE) / VLOOKUP("buildings|SO2|Asthma symptoms cough", US_national_yearly!$D:$AM, 10, FALSE), 1)</f>
        <v>0.10140549360117285</v>
      </c>
      <c r="X6" s="7">
        <f>$B6 * IFERROR(VLOOKUP("buildings|SO2|Asthma symptoms cough", US_national_yearly!$D:$AM, 32, FALSE) / VLOOKUP("buildings|SO2|Asthma symptoms cough", US_national_yearly!$D:$AM, 10, FALSE), 1)</f>
        <v>0.10140549360117285</v>
      </c>
      <c r="Y6" s="7">
        <f>$B6 * IFERROR(VLOOKUP("buildings|SO2|Asthma symptoms cough", US_national_yearly!$D:$AM, 33, FALSE) / VLOOKUP("buildings|SO2|Asthma symptoms cough", US_national_yearly!$D:$AM, 10, FALSE), 1)</f>
        <v>0.10140549360117285</v>
      </c>
      <c r="Z6" s="7">
        <f>$B6 * IFERROR(VLOOKUP("buildings|SO2|Asthma symptoms cough", US_national_yearly!$D:$AM, 34, FALSE) / VLOOKUP("buildings|SO2|Asthma symptoms cough", US_national_yearly!$D:$AM, 10, FALSE), 1)</f>
        <v>0.10140549360117285</v>
      </c>
      <c r="AA6" s="7">
        <f>$B6 * IFERROR(VLOOKUP("buildings|SO2|Asthma symptoms cough", US_national_yearly!$D:$AM, 35, FALSE) / VLOOKUP("buildings|SO2|Asthma symptoms cough", US_national_yearly!$D:$AM, 10, FALSE), 1)</f>
        <v>0.10140549360117285</v>
      </c>
      <c r="AB6" s="7">
        <f>$B6 * IFERROR(VLOOKUP("buildings|SO2|Asthma symptoms cough", US_national_yearly!$D:$AM, 36, FALSE) / VLOOKUP("buildings|SO2|Asthma symptoms cough", US_national_yearly!$D:$AM, 10, FALSE), 1)</f>
        <v>0.10140549360117285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0.13655707331130856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0.13655707331130856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0.13655707331130856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0.13655707331130856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0.13655707331130856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0.13655707331130856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0.13655707331130856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0.13655707331130856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0.13655707331130856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0.13655707331130856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0.13655707331130856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0.13655707331130856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0.13655707331130856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0.13655707331130856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0.13655707331130856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0.13655707331130856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0.13655707331130856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0.13655707331130856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0.13655707331130856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0.13655707331130856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0.13655707331130856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0.13655707331130856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0.13655707331130856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0.13655707331130856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0.13655707331130856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0.13655707331130856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0.13655707331130856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0.2086365579207409</v>
      </c>
      <c r="C8" s="7">
        <f>$B8 * IFERROR(VLOOKUP("buildings|SO2|Asthma symptoms wheeze", US_national_yearly!$D:$AM, 11, FALSE) / VLOOKUP("buildings|SO2|Asthma symptoms wheeze", US_national_yearly!$D:$AM, 10, FALSE), 1)</f>
        <v>0.2086365579207409</v>
      </c>
      <c r="D8" s="7">
        <f>$B8 * IFERROR(VLOOKUP("buildings|SO2|Asthma symptoms wheeze", US_national_yearly!$D:$AM, 12, FALSE) / VLOOKUP("buildings|SO2|Asthma symptoms wheeze", US_national_yearly!$D:$AM, 10, FALSE), 1)</f>
        <v>0.2086365579207409</v>
      </c>
      <c r="E8" s="7">
        <f>$B8 * IFERROR(VLOOKUP("buildings|SO2|Asthma symptoms wheeze", US_national_yearly!$D:$AM, 13, FALSE) / VLOOKUP("buildings|SO2|Asthma symptoms wheeze", US_national_yearly!$D:$AM, 10, FALSE), 1)</f>
        <v>0.2086365579207409</v>
      </c>
      <c r="F8" s="7">
        <f>$B8 * IFERROR(VLOOKUP("buildings|SO2|Asthma symptoms wheeze", US_national_yearly!$D:$AM, 14, FALSE) / VLOOKUP("buildings|SO2|Asthma symptoms wheeze", US_national_yearly!$D:$AM, 10, FALSE), 1)</f>
        <v>0.2086365579207409</v>
      </c>
      <c r="G8" s="7">
        <f>$B8 * IFERROR(VLOOKUP("buildings|SO2|Asthma symptoms wheeze", US_national_yearly!$D:$AM, 15, FALSE) / VLOOKUP("buildings|SO2|Asthma symptoms wheeze", US_national_yearly!$D:$AM, 10, FALSE), 1)</f>
        <v>0.2086365579207409</v>
      </c>
      <c r="H8" s="7">
        <f>$B8 * IFERROR(VLOOKUP("buildings|SO2|Asthma symptoms wheeze", US_national_yearly!$D:$AM, 16, FALSE) / VLOOKUP("buildings|SO2|Asthma symptoms wheeze", US_national_yearly!$D:$AM, 10, FALSE), 1)</f>
        <v>0.2086365579207409</v>
      </c>
      <c r="I8" s="7">
        <f>$B8 * IFERROR(VLOOKUP("buildings|SO2|Asthma symptoms wheeze", US_national_yearly!$D:$AM, 17, FALSE) / VLOOKUP("buildings|SO2|Asthma symptoms wheeze", US_national_yearly!$D:$AM, 10, FALSE), 1)</f>
        <v>0.2086365579207409</v>
      </c>
      <c r="J8" s="7">
        <f>$B8 * IFERROR(VLOOKUP("buildings|SO2|Asthma symptoms wheeze", US_national_yearly!$D:$AM, 18, FALSE) / VLOOKUP("buildings|SO2|Asthma symptoms wheeze", US_national_yearly!$D:$AM, 10, FALSE), 1)</f>
        <v>0.2086365579207409</v>
      </c>
      <c r="K8" s="7">
        <f>$B8 * IFERROR(VLOOKUP("buildings|SO2|Asthma symptoms wheeze", US_national_yearly!$D:$AM, 19, FALSE) / VLOOKUP("buildings|SO2|Asthma symptoms wheeze", US_national_yearly!$D:$AM, 10, FALSE), 1)</f>
        <v>0.2086365579207409</v>
      </c>
      <c r="L8" s="7">
        <f>$B8 * IFERROR(VLOOKUP("buildings|SO2|Asthma symptoms wheeze", US_national_yearly!$D:$AM, 20, FALSE) / VLOOKUP("buildings|SO2|Asthma symptoms wheeze", US_national_yearly!$D:$AM, 10, FALSE), 1)</f>
        <v>0.2086365579207409</v>
      </c>
      <c r="M8" s="7">
        <f>$B8 * IFERROR(VLOOKUP("buildings|SO2|Asthma symptoms wheeze", US_national_yearly!$D:$AM, 21, FALSE) / VLOOKUP("buildings|SO2|Asthma symptoms wheeze", US_national_yearly!$D:$AM, 10, FALSE), 1)</f>
        <v>0.2086365579207409</v>
      </c>
      <c r="N8" s="7">
        <f>$B8 * IFERROR(VLOOKUP("buildings|SO2|Asthma symptoms wheeze", US_national_yearly!$D:$AM, 22, FALSE) / VLOOKUP("buildings|SO2|Asthma symptoms wheeze", US_national_yearly!$D:$AM, 10, FALSE), 1)</f>
        <v>0.2086365579207409</v>
      </c>
      <c r="O8" s="7">
        <f>$B8 * IFERROR(VLOOKUP("buildings|SO2|Asthma symptoms wheeze", US_national_yearly!$D:$AM, 23, FALSE) / VLOOKUP("buildings|SO2|Asthma symptoms wheeze", US_national_yearly!$D:$AM, 10, FALSE), 1)</f>
        <v>0.2086365579207409</v>
      </c>
      <c r="P8" s="7">
        <f>$B8 * IFERROR(VLOOKUP("buildings|SO2|Asthma symptoms wheeze", US_national_yearly!$D:$AM, 24, FALSE) / VLOOKUP("buildings|SO2|Asthma symptoms wheeze", US_national_yearly!$D:$AM, 10, FALSE), 1)</f>
        <v>0.2086365579207409</v>
      </c>
      <c r="Q8" s="7">
        <f>$B8 * IFERROR(VLOOKUP("buildings|SO2|Asthma symptoms wheeze", US_national_yearly!$D:$AM, 25, FALSE) / VLOOKUP("buildings|SO2|Asthma symptoms wheeze", US_national_yearly!$D:$AM, 10, FALSE), 1)</f>
        <v>0.2086365579207409</v>
      </c>
      <c r="R8" s="7">
        <f>$B8 * IFERROR(VLOOKUP("buildings|SO2|Asthma symptoms wheeze", US_national_yearly!$D:$AM, 26, FALSE) / VLOOKUP("buildings|SO2|Asthma symptoms wheeze", US_national_yearly!$D:$AM, 10, FALSE), 1)</f>
        <v>0.2086365579207409</v>
      </c>
      <c r="S8" s="7">
        <f>$B8 * IFERROR(VLOOKUP("buildings|SO2|Asthma symptoms wheeze", US_national_yearly!$D:$AM, 27, FALSE) / VLOOKUP("buildings|SO2|Asthma symptoms wheeze", US_national_yearly!$D:$AM, 10, FALSE), 1)</f>
        <v>0.2086365579207409</v>
      </c>
      <c r="T8" s="7">
        <f>$B8 * IFERROR(VLOOKUP("buildings|SO2|Asthma symptoms wheeze", US_national_yearly!$D:$AM, 28, FALSE) / VLOOKUP("buildings|SO2|Asthma symptoms wheeze", US_national_yearly!$D:$AM, 10, FALSE), 1)</f>
        <v>0.2086365579207409</v>
      </c>
      <c r="U8" s="7">
        <f>$B8 * IFERROR(VLOOKUP("buildings|SO2|Asthma symptoms wheeze", US_national_yearly!$D:$AM, 29, FALSE) / VLOOKUP("buildings|SO2|Asthma symptoms wheeze", US_national_yearly!$D:$AM, 10, FALSE), 1)</f>
        <v>0.2086365579207409</v>
      </c>
      <c r="V8" s="7">
        <f>$B8 * IFERROR(VLOOKUP("buildings|SO2|Asthma symptoms wheeze", US_national_yearly!$D:$AM, 30, FALSE) / VLOOKUP("buildings|SO2|Asthma symptoms wheeze", US_national_yearly!$D:$AM, 10, FALSE), 1)</f>
        <v>0.2086365579207409</v>
      </c>
      <c r="W8" s="7">
        <f>$B8 * IFERROR(VLOOKUP("buildings|SO2|Asthma symptoms wheeze", US_national_yearly!$D:$AM, 31, FALSE) / VLOOKUP("buildings|SO2|Asthma symptoms wheeze", US_national_yearly!$D:$AM, 10, FALSE), 1)</f>
        <v>0.2086365579207409</v>
      </c>
      <c r="X8" s="7">
        <f>$B8 * IFERROR(VLOOKUP("buildings|SO2|Asthma symptoms wheeze", US_national_yearly!$D:$AM, 32, FALSE) / VLOOKUP("buildings|SO2|Asthma symptoms wheeze", US_national_yearly!$D:$AM, 10, FALSE), 1)</f>
        <v>0.2086365579207409</v>
      </c>
      <c r="Y8" s="7">
        <f>$B8 * IFERROR(VLOOKUP("buildings|SO2|Asthma symptoms wheeze", US_national_yearly!$D:$AM, 33, FALSE) / VLOOKUP("buildings|SO2|Asthma symptoms wheeze", US_national_yearly!$D:$AM, 10, FALSE), 1)</f>
        <v>0.2086365579207409</v>
      </c>
      <c r="Z8" s="7">
        <f>$B8 * IFERROR(VLOOKUP("buildings|SO2|Asthma symptoms wheeze", US_national_yearly!$D:$AM, 34, FALSE) / VLOOKUP("buildings|SO2|Asthma symptoms wheeze", US_national_yearly!$D:$AM, 10, FALSE), 1)</f>
        <v>0.2086365579207409</v>
      </c>
      <c r="AA8" s="7">
        <f>$B8 * IFERROR(VLOOKUP("buildings|SO2|Asthma symptoms wheeze", US_national_yearly!$D:$AM, 35, FALSE) / VLOOKUP("buildings|SO2|Asthma symptoms wheeze", US_national_yearly!$D:$AM, 10, FALSE), 1)</f>
        <v>0.2086365579207409</v>
      </c>
      <c r="AB8" s="7">
        <f>$B8 * IFERROR(VLOOKUP("buildings|SO2|Asthma symptoms wheeze", US_national_yearly!$D:$AM, 36, FALSE) / VLOOKUP("buildings|SO2|Asthma symptoms wheeze", US_national_yearly!$D:$AM, 10, FALSE), 1)</f>
        <v>0.2086365579207409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2.6011243132357626E-3</v>
      </c>
      <c r="C12" s="7">
        <f>$B12 * IFERROR(VLOOKUP("buildings|SO2|Respiratory hospital admissions", US_national_yearly!$D:$AM, 11, FALSE) / VLOOKUP("buildings|SO2|Respiratory hospital admissions", US_national_yearly!$D:$AM, 10, FALSE), 1)</f>
        <v>2.6164875497131724E-3</v>
      </c>
      <c r="D12" s="7">
        <f>$B12 * IFERROR(VLOOKUP("buildings|SO2|Respiratory hospital admissions", US_national_yearly!$D:$AM, 12, FALSE) / VLOOKUP("buildings|SO2|Respiratory hospital admissions", US_national_yearly!$D:$AM, 10, FALSE), 1)</f>
        <v>2.6318507861905821E-3</v>
      </c>
      <c r="E12" s="7">
        <f>$B12 * IFERROR(VLOOKUP("buildings|SO2|Respiratory hospital admissions", US_national_yearly!$D:$AM, 13, FALSE) / VLOOKUP("buildings|SO2|Respiratory hospital admissions", US_national_yearly!$D:$AM, 10, FALSE), 1)</f>
        <v>2.6472140226679918E-3</v>
      </c>
      <c r="F12" s="7">
        <f>$B12 * IFERROR(VLOOKUP("buildings|SO2|Respiratory hospital admissions", US_national_yearly!$D:$AM, 14, FALSE) / VLOOKUP("buildings|SO2|Respiratory hospital admissions", US_national_yearly!$D:$AM, 10, FALSE), 1)</f>
        <v>2.6625772591454011E-3</v>
      </c>
      <c r="G12" s="7">
        <f>$B12 * IFERROR(VLOOKUP("buildings|SO2|Respiratory hospital admissions", US_national_yearly!$D:$AM, 15, FALSE) / VLOOKUP("buildings|SO2|Respiratory hospital admissions", US_national_yearly!$D:$AM, 10, FALSE), 1)</f>
        <v>2.6793212513530704E-3</v>
      </c>
      <c r="H12" s="7">
        <f>$B12 * IFERROR(VLOOKUP("buildings|SO2|Respiratory hospital admissions", US_national_yearly!$D:$AM, 16, FALSE) / VLOOKUP("buildings|SO2|Respiratory hospital admissions", US_national_yearly!$D:$AM, 10, FALSE), 1)</f>
        <v>2.6960652435607398E-3</v>
      </c>
      <c r="I12" s="7">
        <f>$B12 * IFERROR(VLOOKUP("buildings|SO2|Respiratory hospital admissions", US_national_yearly!$D:$AM, 17, FALSE) / VLOOKUP("buildings|SO2|Respiratory hospital admissions", US_national_yearly!$D:$AM, 10, FALSE), 1)</f>
        <v>2.7125431790937767E-3</v>
      </c>
      <c r="J12" s="7">
        <f>$B12 * IFERROR(VLOOKUP("buildings|SO2|Respiratory hospital admissions", US_national_yearly!$D:$AM, 18, FALSE) / VLOOKUP("buildings|SO2|Respiratory hospital admissions", US_national_yearly!$D:$AM, 10, FALSE), 1)</f>
        <v>2.729021114626814E-3</v>
      </c>
      <c r="K12" s="7">
        <f>$B12 * IFERROR(VLOOKUP("buildings|SO2|Respiratory hospital admissions", US_national_yearly!$D:$AM, 19, FALSE) / VLOOKUP("buildings|SO2|Respiratory hospital admissions", US_national_yearly!$D:$AM, 10, FALSE), 1)</f>
        <v>2.7454990501598509E-3</v>
      </c>
      <c r="L12" s="7">
        <f>$B12 * IFERROR(VLOOKUP("buildings|SO2|Respiratory hospital admissions", US_national_yearly!$D:$AM, 20, FALSE) / VLOOKUP("buildings|SO2|Respiratory hospital admissions", US_national_yearly!$D:$AM, 10, FALSE), 1)</f>
        <v>2.7619769856928877E-3</v>
      </c>
      <c r="M12" s="7">
        <f>$B12 * IFERROR(VLOOKUP("buildings|SO2|Respiratory hospital admissions", US_national_yearly!$D:$AM, 21, FALSE) / VLOOKUP("buildings|SO2|Respiratory hospital admissions", US_national_yearly!$D:$AM, 10, FALSE), 1)</f>
        <v>2.7784549212259251E-3</v>
      </c>
      <c r="N12" s="7">
        <f>$B12 * IFERROR(VLOOKUP("buildings|SO2|Respiratory hospital admissions", US_national_yearly!$D:$AM, 22, FALSE) / VLOOKUP("buildings|SO2|Respiratory hospital admissions", US_national_yearly!$D:$AM, 10, FALSE), 1)</f>
        <v>2.7904865419348551E-3</v>
      </c>
      <c r="O12" s="7">
        <f>$B12 * IFERROR(VLOOKUP("buildings|SO2|Respiratory hospital admissions", US_national_yearly!$D:$AM, 23, FALSE) / VLOOKUP("buildings|SO2|Respiratory hospital admissions", US_national_yearly!$D:$AM, 10, FALSE), 1)</f>
        <v>2.8025181626437847E-3</v>
      </c>
      <c r="P12" s="7">
        <f>$B12 * IFERROR(VLOOKUP("buildings|SO2|Respiratory hospital admissions", US_national_yearly!$D:$AM, 24, FALSE) / VLOOKUP("buildings|SO2|Respiratory hospital admissions", US_national_yearly!$D:$AM, 10, FALSE), 1)</f>
        <v>2.8145497833527147E-3</v>
      </c>
      <c r="Q12" s="7">
        <f>$B12 * IFERROR(VLOOKUP("buildings|SO2|Respiratory hospital admissions", US_national_yearly!$D:$AM, 25, FALSE) / VLOOKUP("buildings|SO2|Respiratory hospital admissions", US_national_yearly!$D:$AM, 10, FALSE), 1)</f>
        <v>2.8265814040616447E-3</v>
      </c>
      <c r="R12" s="7">
        <f>$B12 * IFERROR(VLOOKUP("buildings|SO2|Respiratory hospital admissions", US_national_yearly!$D:$AM, 26, FALSE) / VLOOKUP("buildings|SO2|Respiratory hospital admissions", US_national_yearly!$D:$AM, 10, FALSE), 1)</f>
        <v>2.8386130247705747E-3</v>
      </c>
      <c r="S12" s="7">
        <f>$B12 * IFERROR(VLOOKUP("buildings|SO2|Respiratory hospital admissions", US_national_yearly!$D:$AM, 27, FALSE) / VLOOKUP("buildings|SO2|Respiratory hospital admissions", US_national_yearly!$D:$AM, 10, FALSE), 1)</f>
        <v>2.850085316347156E-3</v>
      </c>
      <c r="T12" s="7">
        <f>$B12 * IFERROR(VLOOKUP("buildings|SO2|Respiratory hospital admissions", US_national_yearly!$D:$AM, 28, FALSE) / VLOOKUP("buildings|SO2|Respiratory hospital admissions", US_national_yearly!$D:$AM, 10, FALSE), 1)</f>
        <v>2.8615576079237381E-3</v>
      </c>
      <c r="U12" s="7">
        <f>$B12 * IFERROR(VLOOKUP("buildings|SO2|Respiratory hospital admissions", US_national_yearly!$D:$AM, 29, FALSE) / VLOOKUP("buildings|SO2|Respiratory hospital admissions", US_national_yearly!$D:$AM, 10, FALSE), 1)</f>
        <v>2.8730298995003193E-3</v>
      </c>
      <c r="V12" s="7">
        <f>$B12 * IFERROR(VLOOKUP("buildings|SO2|Respiratory hospital admissions", US_national_yearly!$D:$AM, 30, FALSE) / VLOOKUP("buildings|SO2|Respiratory hospital admissions", US_national_yearly!$D:$AM, 10, FALSE), 1)</f>
        <v>2.884502191076901E-3</v>
      </c>
      <c r="W12" s="7">
        <f>$B12 * IFERROR(VLOOKUP("buildings|SO2|Respiratory hospital admissions", US_national_yearly!$D:$AM, 31, FALSE) / VLOOKUP("buildings|SO2|Respiratory hospital admissions", US_national_yearly!$D:$AM, 10, FALSE), 1)</f>
        <v>2.8959744826534831E-3</v>
      </c>
      <c r="X12" s="7">
        <f>$B12 * IFERROR(VLOOKUP("buildings|SO2|Respiratory hospital admissions", US_national_yearly!$D:$AM, 32, FALSE) / VLOOKUP("buildings|SO2|Respiratory hospital admissions", US_national_yearly!$D:$AM, 10, FALSE), 1)</f>
        <v>2.9068761529297557E-3</v>
      </c>
      <c r="Y12" s="7">
        <f>$B12 * IFERROR(VLOOKUP("buildings|SO2|Respiratory hospital admissions", US_national_yearly!$D:$AM, 33, FALSE) / VLOOKUP("buildings|SO2|Respiratory hospital admissions", US_national_yearly!$D:$AM, 10, FALSE), 1)</f>
        <v>2.9177778232060288E-3</v>
      </c>
      <c r="Z12" s="7">
        <f>$B12 * IFERROR(VLOOKUP("buildings|SO2|Respiratory hospital admissions", US_national_yearly!$D:$AM, 34, FALSE) / VLOOKUP("buildings|SO2|Respiratory hospital admissions", US_national_yearly!$D:$AM, 10, FALSE), 1)</f>
        <v>2.928679493482301E-3</v>
      </c>
      <c r="AA12" s="7">
        <f>$B12 * IFERROR(VLOOKUP("buildings|SO2|Respiratory hospital admissions", US_national_yearly!$D:$AM, 35, FALSE) / VLOOKUP("buildings|SO2|Respiratory hospital admissions", US_national_yearly!$D:$AM, 10, FALSE), 1)</f>
        <v>2.9395811637585737E-3</v>
      </c>
      <c r="AB12" s="7">
        <f>$B12 * IFERROR(VLOOKUP("buildings|SO2|Respiratory hospital admissions", US_national_yearly!$D:$AM, 36, FALSE) / VLOOKUP("buildings|SO2|Respiratory hospital admissions", US_national_yearly!$D:$AM, 10, FALSE), 1)</f>
        <v>2.9504828340348468E-3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7.342316433554554E-3</v>
      </c>
      <c r="C13" s="7">
        <f>$B13 * IFERROR(VLOOKUP("buildings|SO2|Non-fatal heart attacks", US_national_yearly!$D:$AM, 11, FALSE) / VLOOKUP("buildings|SO2|Non-fatal heart attacks", US_national_yearly!$D:$AM, 10, FALSE), 1)</f>
        <v>7.5579298621578925E-3</v>
      </c>
      <c r="D13" s="7">
        <f>$B13 * IFERROR(VLOOKUP("buildings|SO2|Non-fatal heart attacks", US_national_yearly!$D:$AM, 12, FALSE) / VLOOKUP("buildings|SO2|Non-fatal heart attacks", US_national_yearly!$D:$AM, 10, FALSE), 1)</f>
        <v>7.7735432907612293E-3</v>
      </c>
      <c r="E13" s="7">
        <f>$B13 * IFERROR(VLOOKUP("buildings|SO2|Non-fatal heart attacks", US_national_yearly!$D:$AM, 13, FALSE) / VLOOKUP("buildings|SO2|Non-fatal heart attacks", US_national_yearly!$D:$AM, 10, FALSE), 1)</f>
        <v>7.9891567193645669E-3</v>
      </c>
      <c r="F13" s="7">
        <f>$B13 * IFERROR(VLOOKUP("buildings|SO2|Non-fatal heart attacks", US_national_yearly!$D:$AM, 14, FALSE) / VLOOKUP("buildings|SO2|Non-fatal heart attacks", US_national_yearly!$D:$AM, 10, FALSE), 1)</f>
        <v>8.2047701479679054E-3</v>
      </c>
      <c r="G13" s="7">
        <f>$B13 * IFERROR(VLOOKUP("buildings|SO2|Non-fatal heart attacks", US_national_yearly!$D:$AM, 15, FALSE) / VLOOKUP("buildings|SO2|Non-fatal heart attacks", US_national_yearly!$D:$AM, 10, FALSE), 1)</f>
        <v>8.4081283853376029E-3</v>
      </c>
      <c r="H13" s="7">
        <f>$B13 * IFERROR(VLOOKUP("buildings|SO2|Non-fatal heart attacks", US_national_yearly!$D:$AM, 16, FALSE) / VLOOKUP("buildings|SO2|Non-fatal heart attacks", US_national_yearly!$D:$AM, 10, FALSE), 1)</f>
        <v>8.6114866227073022E-3</v>
      </c>
      <c r="I13" s="7">
        <f>$B13 * IFERROR(VLOOKUP("buildings|SO2|Non-fatal heart attacks", US_national_yearly!$D:$AM, 17, FALSE) / VLOOKUP("buildings|SO2|Non-fatal heart attacks", US_national_yearly!$D:$AM, 10, FALSE), 1)</f>
        <v>8.7751765244393487E-3</v>
      </c>
      <c r="J13" s="7">
        <f>$B13 * IFERROR(VLOOKUP("buildings|SO2|Non-fatal heart attacks", US_national_yearly!$D:$AM, 18, FALSE) / VLOOKUP("buildings|SO2|Non-fatal heart attacks", US_national_yearly!$D:$AM, 10, FALSE), 1)</f>
        <v>8.9388664261713952E-3</v>
      </c>
      <c r="K13" s="7">
        <f>$B13 * IFERROR(VLOOKUP("buildings|SO2|Non-fatal heart attacks", US_national_yearly!$D:$AM, 19, FALSE) / VLOOKUP("buildings|SO2|Non-fatal heart attacks", US_national_yearly!$D:$AM, 10, FALSE), 1)</f>
        <v>9.1025563279034417E-3</v>
      </c>
      <c r="L13" s="7">
        <f>$B13 * IFERROR(VLOOKUP("buildings|SO2|Non-fatal heart attacks", US_national_yearly!$D:$AM, 20, FALSE) / VLOOKUP("buildings|SO2|Non-fatal heart attacks", US_national_yearly!$D:$AM, 10, FALSE), 1)</f>
        <v>9.2662462296354917E-3</v>
      </c>
      <c r="M13" s="7">
        <f>$B13 * IFERROR(VLOOKUP("buildings|SO2|Non-fatal heart attacks", US_national_yearly!$D:$AM, 21, FALSE) / VLOOKUP("buildings|SO2|Non-fatal heart attacks", US_national_yearly!$D:$AM, 10, FALSE), 1)</f>
        <v>9.4299361313675382E-3</v>
      </c>
      <c r="N13" s="7">
        <f>$B13 * IFERROR(VLOOKUP("buildings|SO2|Non-fatal heart attacks", US_national_yearly!$D:$AM, 22, FALSE) / VLOOKUP("buildings|SO2|Non-fatal heart attacks", US_national_yearly!$D:$AM, 10, FALSE), 1)</f>
        <v>9.5361784868535221E-3</v>
      </c>
      <c r="O13" s="7">
        <f>$B13 * IFERROR(VLOOKUP("buildings|SO2|Non-fatal heart attacks", US_national_yearly!$D:$AM, 23, FALSE) / VLOOKUP("buildings|SO2|Non-fatal heart attacks", US_national_yearly!$D:$AM, 10, FALSE), 1)</f>
        <v>9.6424208423395059E-3</v>
      </c>
      <c r="P13" s="7">
        <f>$B13 * IFERROR(VLOOKUP("buildings|SO2|Non-fatal heart attacks", US_national_yearly!$D:$AM, 24, FALSE) / VLOOKUP("buildings|SO2|Non-fatal heart attacks", US_national_yearly!$D:$AM, 10, FALSE), 1)</f>
        <v>9.7486631978254881E-3</v>
      </c>
      <c r="Q13" s="7">
        <f>$B13 * IFERROR(VLOOKUP("buildings|SO2|Non-fatal heart attacks", US_national_yearly!$D:$AM, 25, FALSE) / VLOOKUP("buildings|SO2|Non-fatal heart attacks", US_national_yearly!$D:$AM, 10, FALSE), 1)</f>
        <v>9.8549055533114719E-3</v>
      </c>
      <c r="R13" s="7">
        <f>$B13 * IFERROR(VLOOKUP("buildings|SO2|Non-fatal heart attacks", US_national_yearly!$D:$AM, 26, FALSE) / VLOOKUP("buildings|SO2|Non-fatal heart attacks", US_national_yearly!$D:$AM, 10, FALSE), 1)</f>
        <v>9.9611479087974557E-3</v>
      </c>
      <c r="S13" s="7">
        <f>$B13 * IFERROR(VLOOKUP("buildings|SO2|Non-fatal heart attacks", US_national_yearly!$D:$AM, 27, FALSE) / VLOOKUP("buildings|SO2|Non-fatal heart attacks", US_national_yearly!$D:$AM, 10, FALSE), 1)</f>
        <v>1.0016627492873468E-2</v>
      </c>
      <c r="T13" s="7">
        <f>$B13 * IFERROR(VLOOKUP("buildings|SO2|Non-fatal heart attacks", US_national_yearly!$D:$AM, 28, FALSE) / VLOOKUP("buildings|SO2|Non-fatal heart attacks", US_national_yearly!$D:$AM, 10, FALSE), 1)</f>
        <v>1.007210707694948E-2</v>
      </c>
      <c r="U13" s="7">
        <f>$B13 * IFERROR(VLOOKUP("buildings|SO2|Non-fatal heart attacks", US_national_yearly!$D:$AM, 29, FALSE) / VLOOKUP("buildings|SO2|Non-fatal heart attacks", US_national_yearly!$D:$AM, 10, FALSE), 1)</f>
        <v>1.0127586661025489E-2</v>
      </c>
      <c r="V13" s="7">
        <f>$B13 * IFERROR(VLOOKUP("buildings|SO2|Non-fatal heart attacks", US_national_yearly!$D:$AM, 30, FALSE) / VLOOKUP("buildings|SO2|Non-fatal heart attacks", US_national_yearly!$D:$AM, 10, FALSE), 1)</f>
        <v>1.0183066245101501E-2</v>
      </c>
      <c r="W13" s="7">
        <f>$B13 * IFERROR(VLOOKUP("buildings|SO2|Non-fatal heart attacks", US_national_yearly!$D:$AM, 31, FALSE) / VLOOKUP("buildings|SO2|Non-fatal heart attacks", US_national_yearly!$D:$AM, 10, FALSE), 1)</f>
        <v>1.0238545829177511E-2</v>
      </c>
      <c r="X13" s="7">
        <f>$B13 * IFERROR(VLOOKUP("buildings|SO2|Non-fatal heart attacks", US_national_yearly!$D:$AM, 32, FALSE) / VLOOKUP("buildings|SO2|Non-fatal heart attacks", US_national_yearly!$D:$AM, 10, FALSE), 1)</f>
        <v>1.0280448085187827E-2</v>
      </c>
      <c r="Y13" s="7">
        <f>$B13 * IFERROR(VLOOKUP("buildings|SO2|Non-fatal heart attacks", US_national_yearly!$D:$AM, 33, FALSE) / VLOOKUP("buildings|SO2|Non-fatal heart attacks", US_national_yearly!$D:$AM, 10, FALSE), 1)</f>
        <v>1.032235034119814E-2</v>
      </c>
      <c r="Z13" s="7">
        <f>$B13 * IFERROR(VLOOKUP("buildings|SO2|Non-fatal heart attacks", US_national_yearly!$D:$AM, 34, FALSE) / VLOOKUP("buildings|SO2|Non-fatal heart attacks", US_national_yearly!$D:$AM, 10, FALSE), 1)</f>
        <v>1.0364252597208452E-2</v>
      </c>
      <c r="AA13" s="7">
        <f>$B13 * IFERROR(VLOOKUP("buildings|SO2|Non-fatal heart attacks", US_national_yearly!$D:$AM, 35, FALSE) / VLOOKUP("buildings|SO2|Non-fatal heart attacks", US_national_yearly!$D:$AM, 10, FALSE), 1)</f>
        <v>1.0406154853218766E-2</v>
      </c>
      <c r="AB13" s="7">
        <f>$B13 * IFERROR(VLOOKUP("buildings|SO2|Non-fatal heart attacks", US_national_yearly!$D:$AM, 36, FALSE) / VLOOKUP("buildings|SO2|Non-fatal heart attacks", US_national_yearly!$D:$AM, 10, FALSE), 1)</f>
        <v>1.0448057109229079E-2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13.173968216875416</v>
      </c>
      <c r="C14" s="7">
        <f>$B14 * IFERROR(VLOOKUP("buildings|SO2|Minor restricted activity days", US_national_yearly!$D:$AM, 11, FALSE) / VLOOKUP("buildings|SO2|Minor restricted activity days", US_national_yearly!$D:$AM, 10, FALSE), 1)</f>
        <v>13.207317423434411</v>
      </c>
      <c r="D14" s="7">
        <f>$B14 * IFERROR(VLOOKUP("buildings|SO2|Minor restricted activity days", US_national_yearly!$D:$AM, 12, FALSE) / VLOOKUP("buildings|SO2|Minor restricted activity days", US_national_yearly!$D:$AM, 10, FALSE), 1)</f>
        <v>13.240666629993409</v>
      </c>
      <c r="E14" s="7">
        <f>$B14 * IFERROR(VLOOKUP("buildings|SO2|Minor restricted activity days", US_national_yearly!$D:$AM, 13, FALSE) / VLOOKUP("buildings|SO2|Minor restricted activity days", US_national_yearly!$D:$AM, 10, FALSE), 1)</f>
        <v>13.274015836552406</v>
      </c>
      <c r="F14" s="7">
        <f>$B14 * IFERROR(VLOOKUP("buildings|SO2|Minor restricted activity days", US_national_yearly!$D:$AM, 14, FALSE) / VLOOKUP("buildings|SO2|Minor restricted activity days", US_national_yearly!$D:$AM, 10, FALSE), 1)</f>
        <v>13.307365043111401</v>
      </c>
      <c r="G14" s="7">
        <f>$B14 * IFERROR(VLOOKUP("buildings|SO2|Minor restricted activity days", US_national_yearly!$D:$AM, 15, FALSE) / VLOOKUP("buildings|SO2|Minor restricted activity days", US_national_yearly!$D:$AM, 10, FALSE), 1)</f>
        <v>13.356401590504476</v>
      </c>
      <c r="H14" s="7">
        <f>$B14 * IFERROR(VLOOKUP("buildings|SO2|Minor restricted activity days", US_national_yearly!$D:$AM, 16, FALSE) / VLOOKUP("buildings|SO2|Minor restricted activity days", US_national_yearly!$D:$AM, 10, FALSE), 1)</f>
        <v>13.40543813789755</v>
      </c>
      <c r="I14" s="7">
        <f>$B14 * IFERROR(VLOOKUP("buildings|SO2|Minor restricted activity days", US_national_yearly!$D:$AM, 17, FALSE) / VLOOKUP("buildings|SO2|Minor restricted activity days", US_national_yearly!$D:$AM, 10, FALSE), 1)</f>
        <v>13.488952312928966</v>
      </c>
      <c r="J14" s="7">
        <f>$B14 * IFERROR(VLOOKUP("buildings|SO2|Minor restricted activity days", US_national_yearly!$D:$AM, 18, FALSE) / VLOOKUP("buildings|SO2|Minor restricted activity days", US_national_yearly!$D:$AM, 10, FALSE), 1)</f>
        <v>13.572466487960384</v>
      </c>
      <c r="K14" s="7">
        <f>$B14 * IFERROR(VLOOKUP("buildings|SO2|Minor restricted activity days", US_national_yearly!$D:$AM, 19, FALSE) / VLOOKUP("buildings|SO2|Minor restricted activity days", US_national_yearly!$D:$AM, 10, FALSE), 1)</f>
        <v>13.655980662991798</v>
      </c>
      <c r="L14" s="7">
        <f>$B14 * IFERROR(VLOOKUP("buildings|SO2|Minor restricted activity days", US_national_yearly!$D:$AM, 20, FALSE) / VLOOKUP("buildings|SO2|Minor restricted activity days", US_national_yearly!$D:$AM, 10, FALSE), 1)</f>
        <v>13.739494838023214</v>
      </c>
      <c r="M14" s="7">
        <f>$B14 * IFERROR(VLOOKUP("buildings|SO2|Minor restricted activity days", US_national_yearly!$D:$AM, 21, FALSE) / VLOOKUP("buildings|SO2|Minor restricted activity days", US_national_yearly!$D:$AM, 10, FALSE), 1)</f>
        <v>13.823009013054628</v>
      </c>
      <c r="N14" s="7">
        <f>$B14 * IFERROR(VLOOKUP("buildings|SO2|Minor restricted activity days", US_national_yearly!$D:$AM, 22, FALSE) / VLOOKUP("buildings|SO2|Minor restricted activity days", US_national_yearly!$D:$AM, 10, FALSE), 1)</f>
        <v>13.93721025880801</v>
      </c>
      <c r="O14" s="7">
        <f>$B14 * IFERROR(VLOOKUP("buildings|SO2|Minor restricted activity days", US_national_yearly!$D:$AM, 23, FALSE) / VLOOKUP("buildings|SO2|Minor restricted activity days", US_national_yearly!$D:$AM, 10, FALSE), 1)</f>
        <v>14.051411504561392</v>
      </c>
      <c r="P14" s="7">
        <f>$B14 * IFERROR(VLOOKUP("buildings|SO2|Minor restricted activity days", US_national_yearly!$D:$AM, 24, FALSE) / VLOOKUP("buildings|SO2|Minor restricted activity days", US_national_yearly!$D:$AM, 10, FALSE), 1)</f>
        <v>14.16561275031477</v>
      </c>
      <c r="Q14" s="7">
        <f>$B14 * IFERROR(VLOOKUP("buildings|SO2|Minor restricted activity days", US_national_yearly!$D:$AM, 25, FALSE) / VLOOKUP("buildings|SO2|Minor restricted activity days", US_national_yearly!$D:$AM, 10, FALSE), 1)</f>
        <v>14.27981399606815</v>
      </c>
      <c r="R14" s="7">
        <f>$B14 * IFERROR(VLOOKUP("buildings|SO2|Minor restricted activity days", US_national_yearly!$D:$AM, 26, FALSE) / VLOOKUP("buildings|SO2|Minor restricted activity days", US_national_yearly!$D:$AM, 10, FALSE), 1)</f>
        <v>14.394015241821531</v>
      </c>
      <c r="S14" s="7">
        <f>$B14 * IFERROR(VLOOKUP("buildings|SO2|Minor restricted activity days", US_national_yearly!$D:$AM, 27, FALSE) / VLOOKUP("buildings|SO2|Minor restricted activity days", US_national_yearly!$D:$AM, 10, FALSE), 1)</f>
        <v>14.510435997724116</v>
      </c>
      <c r="T14" s="7">
        <f>$B14 * IFERROR(VLOOKUP("buildings|SO2|Minor restricted activity days", US_national_yearly!$D:$AM, 28, FALSE) / VLOOKUP("buildings|SO2|Minor restricted activity days", US_national_yearly!$D:$AM, 10, FALSE), 1)</f>
        <v>14.626856753626699</v>
      </c>
      <c r="U14" s="7">
        <f>$B14 * IFERROR(VLOOKUP("buildings|SO2|Minor restricted activity days", US_national_yearly!$D:$AM, 29, FALSE) / VLOOKUP("buildings|SO2|Minor restricted activity days", US_national_yearly!$D:$AM, 10, FALSE), 1)</f>
        <v>14.743277509529282</v>
      </c>
      <c r="V14" s="7">
        <f>$B14 * IFERROR(VLOOKUP("buildings|SO2|Minor restricted activity days", US_national_yearly!$D:$AM, 30, FALSE) / VLOOKUP("buildings|SO2|Minor restricted activity days", US_national_yearly!$D:$AM, 10, FALSE), 1)</f>
        <v>14.859698265431867</v>
      </c>
      <c r="W14" s="7">
        <f>$B14 * IFERROR(VLOOKUP("buildings|SO2|Minor restricted activity days", US_national_yearly!$D:$AM, 31, FALSE) / VLOOKUP("buildings|SO2|Minor restricted activity days", US_national_yearly!$D:$AM, 10, FALSE), 1)</f>
        <v>14.976119021334453</v>
      </c>
      <c r="X14" s="7">
        <f>$B14 * IFERROR(VLOOKUP("buildings|SO2|Minor restricted activity days", US_national_yearly!$D:$AM, 32, FALSE) / VLOOKUP("buildings|SO2|Minor restricted activity days", US_national_yearly!$D:$AM, 10, FALSE), 1)</f>
        <v>15.078504338768207</v>
      </c>
      <c r="Y14" s="7">
        <f>$B14 * IFERROR(VLOOKUP("buildings|SO2|Minor restricted activity days", US_national_yearly!$D:$AM, 33, FALSE) / VLOOKUP("buildings|SO2|Minor restricted activity days", US_national_yearly!$D:$AM, 10, FALSE), 1)</f>
        <v>15.180889656201964</v>
      </c>
      <c r="Z14" s="7">
        <f>$B14 * IFERROR(VLOOKUP("buildings|SO2|Minor restricted activity days", US_national_yearly!$D:$AM, 34, FALSE) / VLOOKUP("buildings|SO2|Minor restricted activity days", US_national_yearly!$D:$AM, 10, FALSE), 1)</f>
        <v>15.283274973635718</v>
      </c>
      <c r="AA14" s="7">
        <f>$B14 * IFERROR(VLOOKUP("buildings|SO2|Minor restricted activity days", US_national_yearly!$D:$AM, 35, FALSE) / VLOOKUP("buildings|SO2|Minor restricted activity days", US_national_yearly!$D:$AM, 10, FALSE), 1)</f>
        <v>15.385660291069476</v>
      </c>
      <c r="AB14" s="7">
        <f>$B14 * IFERROR(VLOOKUP("buildings|SO2|Minor restricted activity days", US_national_yearly!$D:$AM, 36, FALSE) / VLOOKUP("buildings|SO2|Minor restricted activity days", US_national_yearly!$D:$AM, 10, FALSE), 1)</f>
        <v>15.48804560850323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2.2405516466978113</v>
      </c>
      <c r="C15" s="7">
        <f>$B15 * IFERROR(VLOOKUP("buildings|SO2|Work loss days", US_national_yearly!$D:$AM, 11, FALSE) / VLOOKUP("buildings|SO2|Work loss days", US_national_yearly!$D:$AM, 10, FALSE), 1)</f>
        <v>2.2478311625098217</v>
      </c>
      <c r="D15" s="7">
        <f>$B15 * IFERROR(VLOOKUP("buildings|SO2|Work loss days", US_national_yearly!$D:$AM, 12, FALSE) / VLOOKUP("buildings|SO2|Work loss days", US_national_yearly!$D:$AM, 10, FALSE), 1)</f>
        <v>2.2551106783218322</v>
      </c>
      <c r="E15" s="7">
        <f>$B15 * IFERROR(VLOOKUP("buildings|SO2|Work loss days", US_national_yearly!$D:$AM, 13, FALSE) / VLOOKUP("buildings|SO2|Work loss days", US_national_yearly!$D:$AM, 10, FALSE), 1)</f>
        <v>2.2623901941338422</v>
      </c>
      <c r="F15" s="7">
        <f>$B15 * IFERROR(VLOOKUP("buildings|SO2|Work loss days", US_national_yearly!$D:$AM, 14, FALSE) / VLOOKUP("buildings|SO2|Work loss days", US_national_yearly!$D:$AM, 10, FALSE), 1)</f>
        <v>2.2696697099458523</v>
      </c>
      <c r="G15" s="7">
        <f>$B15 * IFERROR(VLOOKUP("buildings|SO2|Work loss days", US_national_yearly!$D:$AM, 15, FALSE) / VLOOKUP("buildings|SO2|Work loss days", US_national_yearly!$D:$AM, 10, FALSE), 1)</f>
        <v>2.2791771604347044</v>
      </c>
      <c r="H15" s="7">
        <f>$B15 * IFERROR(VLOOKUP("buildings|SO2|Work loss days", US_national_yearly!$D:$AM, 16, FALSE) / VLOOKUP("buildings|SO2|Work loss days", US_national_yearly!$D:$AM, 10, FALSE), 1)</f>
        <v>2.2886846109235566</v>
      </c>
      <c r="I15" s="7">
        <f>$B15 * IFERROR(VLOOKUP("buildings|SO2|Work loss days", US_national_yearly!$D:$AM, 17, FALSE) / VLOOKUP("buildings|SO2|Work loss days", US_national_yearly!$D:$AM, 10, FALSE), 1)</f>
        <v>2.3025850356908579</v>
      </c>
      <c r="J15" s="7">
        <f>$B15 * IFERROR(VLOOKUP("buildings|SO2|Work loss days", US_national_yearly!$D:$AM, 18, FALSE) / VLOOKUP("buildings|SO2|Work loss days", US_national_yearly!$D:$AM, 10, FALSE), 1)</f>
        <v>2.3164854604581584</v>
      </c>
      <c r="K15" s="7">
        <f>$B15 * IFERROR(VLOOKUP("buildings|SO2|Work loss days", US_national_yearly!$D:$AM, 19, FALSE) / VLOOKUP("buildings|SO2|Work loss days", US_national_yearly!$D:$AM, 10, FALSE), 1)</f>
        <v>2.3303858852254598</v>
      </c>
      <c r="L15" s="7">
        <f>$B15 * IFERROR(VLOOKUP("buildings|SO2|Work loss days", US_national_yearly!$D:$AM, 20, FALSE) / VLOOKUP("buildings|SO2|Work loss days", US_national_yearly!$D:$AM, 10, FALSE), 1)</f>
        <v>2.3442863099927607</v>
      </c>
      <c r="M15" s="7">
        <f>$B15 * IFERROR(VLOOKUP("buildings|SO2|Work loss days", US_national_yearly!$D:$AM, 21, FALSE) / VLOOKUP("buildings|SO2|Work loss days", US_national_yearly!$D:$AM, 10, FALSE), 1)</f>
        <v>2.3581867347600611</v>
      </c>
      <c r="N15" s="7">
        <f>$B15 * IFERROR(VLOOKUP("buildings|SO2|Work loss days", US_national_yearly!$D:$AM, 22, FALSE) / VLOOKUP("buildings|SO2|Work loss days", US_national_yearly!$D:$AM, 10, FALSE), 1)</f>
        <v>2.3756176397114341</v>
      </c>
      <c r="O15" s="7">
        <f>$B15 * IFERROR(VLOOKUP("buildings|SO2|Work loss days", US_national_yearly!$D:$AM, 23, FALSE) / VLOOKUP("buildings|SO2|Work loss days", US_national_yearly!$D:$AM, 10, FALSE), 1)</f>
        <v>2.3930485446628071</v>
      </c>
      <c r="P15" s="7">
        <f>$B15 * IFERROR(VLOOKUP("buildings|SO2|Work loss days", US_national_yearly!$D:$AM, 24, FALSE) / VLOOKUP("buildings|SO2|Work loss days", US_national_yearly!$D:$AM, 10, FALSE), 1)</f>
        <v>2.4104794496141797</v>
      </c>
      <c r="Q15" s="7">
        <f>$B15 * IFERROR(VLOOKUP("buildings|SO2|Work loss days", US_national_yearly!$D:$AM, 25, FALSE) / VLOOKUP("buildings|SO2|Work loss days", US_national_yearly!$D:$AM, 10, FALSE), 1)</f>
        <v>2.4279103545655527</v>
      </c>
      <c r="R15" s="7">
        <f>$B15 * IFERROR(VLOOKUP("buildings|SO2|Work loss days", US_national_yearly!$D:$AM, 26, FALSE) / VLOOKUP("buildings|SO2|Work loss days", US_national_yearly!$D:$AM, 10, FALSE), 1)</f>
        <v>2.4453412595169248</v>
      </c>
      <c r="S15" s="7">
        <f>$B15 * IFERROR(VLOOKUP("buildings|SO2|Work loss days", US_national_yearly!$D:$AM, 27, FALSE) / VLOOKUP("buildings|SO2|Work loss days", US_national_yearly!$D:$AM, 10, FALSE), 1)</f>
        <v>2.4648131071994501</v>
      </c>
      <c r="T15" s="7">
        <f>$B15 * IFERROR(VLOOKUP("buildings|SO2|Work loss days", US_national_yearly!$D:$AM, 28, FALSE) / VLOOKUP("buildings|SO2|Work loss days", US_national_yearly!$D:$AM, 10, FALSE), 1)</f>
        <v>2.4842849548819754</v>
      </c>
      <c r="U15" s="7">
        <f>$B15 * IFERROR(VLOOKUP("buildings|SO2|Work loss days", US_national_yearly!$D:$AM, 29, FALSE) / VLOOKUP("buildings|SO2|Work loss days", US_national_yearly!$D:$AM, 10, FALSE), 1)</f>
        <v>2.5037568025645007</v>
      </c>
      <c r="V15" s="7">
        <f>$B15 * IFERROR(VLOOKUP("buildings|SO2|Work loss days", US_national_yearly!$D:$AM, 30, FALSE) / VLOOKUP("buildings|SO2|Work loss days", US_national_yearly!$D:$AM, 10, FALSE), 1)</f>
        <v>2.5232286502470256</v>
      </c>
      <c r="W15" s="7">
        <f>$B15 * IFERROR(VLOOKUP("buildings|SO2|Work loss days", US_national_yearly!$D:$AM, 31, FALSE) / VLOOKUP("buildings|SO2|Work loss days", US_national_yearly!$D:$AM, 10, FALSE), 1)</f>
        <v>2.5427004979295509</v>
      </c>
      <c r="X15" s="7">
        <f>$B15 * IFERROR(VLOOKUP("buildings|SO2|Work loss days", US_national_yearly!$D:$AM, 32, FALSE) / VLOOKUP("buildings|SO2|Work loss days", US_national_yearly!$D:$AM, 10, FALSE), 1)</f>
        <v>2.5601839219248652</v>
      </c>
      <c r="Y15" s="7">
        <f>$B15 * IFERROR(VLOOKUP("buildings|SO2|Work loss days", US_national_yearly!$D:$AM, 33, FALSE) / VLOOKUP("buildings|SO2|Work loss days", US_national_yearly!$D:$AM, 10, FALSE), 1)</f>
        <v>2.5776673459201795</v>
      </c>
      <c r="Z15" s="7">
        <f>$B15 * IFERROR(VLOOKUP("buildings|SO2|Work loss days", US_national_yearly!$D:$AM, 34, FALSE) / VLOOKUP("buildings|SO2|Work loss days", US_national_yearly!$D:$AM, 10, FALSE), 1)</f>
        <v>2.5951507699154934</v>
      </c>
      <c r="AA15" s="7">
        <f>$B15 * IFERROR(VLOOKUP("buildings|SO2|Work loss days", US_national_yearly!$D:$AM, 35, FALSE) / VLOOKUP("buildings|SO2|Work loss days", US_national_yearly!$D:$AM, 10, FALSE), 1)</f>
        <v>2.6126341939108078</v>
      </c>
      <c r="AB15" s="7">
        <f>$B15 * IFERROR(VLOOKUP("buildings|SO2|Work loss days", US_national_yearly!$D:$AM, 36, FALSE) / VLOOKUP("buildings|SO2|Work loss days", US_national_yearly!$D:$AM, 10, FALSE), 1)</f>
        <v>2.6301176179061216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2.8454364526136473E-3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2.9315090799448477E-3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3.0175817072760481E-3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3.1036543346072494E-3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3.1897269619384498E-3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3.2721793832826639E-3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3.3546318046268776E-3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3.4252933636206126E-3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3.4959549226143459E-3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3.566616481608081E-3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3.6372780406018152E-3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3.7079395995955489E-3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3.7553874203236086E-3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3.8028352410516687E-3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3.8502830617797284E-3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3.8977308825077876E-3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3.9451787032358477E-3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3.9701305098347921E-3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3.9950823164337365E-3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4.02003412303268E-3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4.0449859296316244E-3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4.0699377362305679E-3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4.086692930454488E-3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4.1034481246784073E-3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4.1202033189023275E-3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4.1369585131262477E-3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4.1537137073501679E-3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9.8248543248527942E-2</v>
      </c>
      <c r="C2" s="7">
        <f>$B2 * IFERROR(VLOOKUP("industry|PM25|Premature mortality", US_national_yearly!$D:$AM, 11, FALSE) / VLOOKUP("industry|PM25|Premature mortality", US_national_yearly!$D:$AM, 10, FALSE), 1)</f>
        <v>9.9472058677841979E-2</v>
      </c>
      <c r="D2" s="7">
        <f>$B2 * IFERROR(VLOOKUP("industry|PM25|Premature mortality", US_national_yearly!$D:$AM, 12, FALSE) / VLOOKUP("industry|PM25|Premature mortality", US_national_yearly!$D:$AM, 10, FALSE), 1)</f>
        <v>0.10069557410715597</v>
      </c>
      <c r="E2" s="7">
        <f>$B2 * IFERROR(VLOOKUP("industry|PM25|Premature mortality", US_national_yearly!$D:$AM, 13, FALSE) / VLOOKUP("industry|PM25|Premature mortality", US_national_yearly!$D:$AM, 10, FALSE), 1)</f>
        <v>0.10191908953647001</v>
      </c>
      <c r="F2" s="7">
        <f>$B2 * IFERROR(VLOOKUP("industry|PM25|Premature mortality", US_national_yearly!$D:$AM, 14, FALSE) / VLOOKUP("industry|PM25|Premature mortality", US_national_yearly!$D:$AM, 10, FALSE), 1)</f>
        <v>0.10314260496578402</v>
      </c>
      <c r="G2" s="7">
        <f>$B2 * IFERROR(VLOOKUP("industry|PM25|Premature mortality", US_national_yearly!$D:$AM, 15, FALSE) / VLOOKUP("industry|PM25|Premature mortality", US_national_yearly!$D:$AM, 10, FALSE), 1)</f>
        <v>0.10552293522932588</v>
      </c>
      <c r="H2" s="7">
        <f>$B2 * IFERROR(VLOOKUP("industry|PM25|Premature mortality", US_national_yearly!$D:$AM, 16, FALSE) / VLOOKUP("industry|PM25|Premature mortality", US_national_yearly!$D:$AM, 10, FALSE), 1)</f>
        <v>0.10790326549286773</v>
      </c>
      <c r="I2" s="7">
        <f>$B2 * IFERROR(VLOOKUP("industry|PM25|Premature mortality", US_national_yearly!$D:$AM, 17, FALSE) / VLOOKUP("industry|PM25|Premature mortality", US_national_yearly!$D:$AM, 10, FALSE), 1)</f>
        <v>0.10947498965289564</v>
      </c>
      <c r="J2" s="7">
        <f>$B2 * IFERROR(VLOOKUP("industry|PM25|Premature mortality", US_national_yearly!$D:$AM, 18, FALSE) / VLOOKUP("industry|PM25|Premature mortality", US_national_yearly!$D:$AM, 10, FALSE), 1)</f>
        <v>0.11104671381292353</v>
      </c>
      <c r="K2" s="7">
        <f>$B2 * IFERROR(VLOOKUP("industry|PM25|Premature mortality", US_national_yearly!$D:$AM, 19, FALSE) / VLOOKUP("industry|PM25|Premature mortality", US_national_yearly!$D:$AM, 10, FALSE), 1)</f>
        <v>0.11261843797295142</v>
      </c>
      <c r="L2" s="7">
        <f>$B2 * IFERROR(VLOOKUP("industry|PM25|Premature mortality", US_national_yearly!$D:$AM, 20, FALSE) / VLOOKUP("industry|PM25|Premature mortality", US_national_yearly!$D:$AM, 10, FALSE), 1)</f>
        <v>0.11419016213297931</v>
      </c>
      <c r="M2" s="7">
        <f>$B2 * IFERROR(VLOOKUP("industry|PM25|Premature mortality", US_national_yearly!$D:$AM, 21, FALSE) / VLOOKUP("industry|PM25|Premature mortality", US_national_yearly!$D:$AM, 10, FALSE), 1)</f>
        <v>0.11576188629300722</v>
      </c>
      <c r="N2" s="7">
        <f>$B2 * IFERROR(VLOOKUP("industry|PM25|Premature mortality", US_national_yearly!$D:$AM, 22, FALSE) / VLOOKUP("industry|PM25|Premature mortality", US_national_yearly!$D:$AM, 10, FALSE), 1)</f>
        <v>0.11698639379115805</v>
      </c>
      <c r="O2" s="7">
        <f>$B2 * IFERROR(VLOOKUP("industry|PM25|Premature mortality", US_national_yearly!$D:$AM, 23, FALSE) / VLOOKUP("industry|PM25|Premature mortality", US_national_yearly!$D:$AM, 10, FALSE), 1)</f>
        <v>0.11821090128930885</v>
      </c>
      <c r="P2" s="7">
        <f>$B2 * IFERROR(VLOOKUP("industry|PM25|Premature mortality", US_national_yearly!$D:$AM, 24, FALSE) / VLOOKUP("industry|PM25|Premature mortality", US_national_yearly!$D:$AM, 10, FALSE), 1)</f>
        <v>0.11943540878745969</v>
      </c>
      <c r="Q2" s="7">
        <f>$B2 * IFERROR(VLOOKUP("industry|PM25|Premature mortality", US_national_yearly!$D:$AM, 25, FALSE) / VLOOKUP("industry|PM25|Premature mortality", US_national_yearly!$D:$AM, 10, FALSE), 1)</f>
        <v>0.12065991628561051</v>
      </c>
      <c r="R2" s="7">
        <f>$B2 * IFERROR(VLOOKUP("industry|PM25|Premature mortality", US_national_yearly!$D:$AM, 26, FALSE) / VLOOKUP("industry|PM25|Premature mortality", US_national_yearly!$D:$AM, 10, FALSE), 1)</f>
        <v>0.12188442378376131</v>
      </c>
      <c r="S2" s="7">
        <f>$B2 * IFERROR(VLOOKUP("industry|PM25|Premature mortality", US_national_yearly!$D:$AM, 27, FALSE) / VLOOKUP("industry|PM25|Premature mortality", US_national_yearly!$D:$AM, 10, FALSE), 1)</f>
        <v>0.12254561241611837</v>
      </c>
      <c r="T2" s="7">
        <f>$B2 * IFERROR(VLOOKUP("industry|PM25|Premature mortality", US_national_yearly!$D:$AM, 28, FALSE) / VLOOKUP("industry|PM25|Premature mortality", US_national_yearly!$D:$AM, 10, FALSE), 1)</f>
        <v>0.12320680104847542</v>
      </c>
      <c r="U2" s="7">
        <f>$B2 * IFERROR(VLOOKUP("industry|PM25|Premature mortality", US_national_yearly!$D:$AM, 29, FALSE) / VLOOKUP("industry|PM25|Premature mortality", US_national_yearly!$D:$AM, 10, FALSE), 1)</f>
        <v>0.12386798968083251</v>
      </c>
      <c r="V2" s="7">
        <f>$B2 * IFERROR(VLOOKUP("industry|PM25|Premature mortality", US_national_yearly!$D:$AM, 30, FALSE) / VLOOKUP("industry|PM25|Premature mortality", US_national_yearly!$D:$AM, 10, FALSE), 1)</f>
        <v>0.12452917831318958</v>
      </c>
      <c r="W2" s="7">
        <f>$B2 * IFERROR(VLOOKUP("industry|PM25|Premature mortality", US_national_yearly!$D:$AM, 31, FALSE) / VLOOKUP("industry|PM25|Premature mortality", US_national_yearly!$D:$AM, 10, FALSE), 1)</f>
        <v>0.12519036694554664</v>
      </c>
      <c r="X2" s="7">
        <f>$B2 * IFERROR(VLOOKUP("industry|PM25|Premature mortality", US_national_yearly!$D:$AM, 32, FALSE) / VLOOKUP("industry|PM25|Premature mortality", US_national_yearly!$D:$AM, 10, FALSE), 1)</f>
        <v>0.12532687922304178</v>
      </c>
      <c r="Y2" s="7">
        <f>$B2 * IFERROR(VLOOKUP("industry|PM25|Premature mortality", US_national_yearly!$D:$AM, 33, FALSE) / VLOOKUP("industry|PM25|Premature mortality", US_national_yearly!$D:$AM, 10, FALSE), 1)</f>
        <v>0.12546339150053701</v>
      </c>
      <c r="Z2" s="7">
        <f>$B2 * IFERROR(VLOOKUP("industry|PM25|Premature mortality", US_national_yearly!$D:$AM, 34, FALSE) / VLOOKUP("industry|PM25|Premature mortality", US_national_yearly!$D:$AM, 10, FALSE), 1)</f>
        <v>0.12559990377803218</v>
      </c>
      <c r="AA2" s="7">
        <f>$B2 * IFERROR(VLOOKUP("industry|PM25|Premature mortality", US_national_yearly!$D:$AM, 35, FALSE) / VLOOKUP("industry|PM25|Premature mortality", US_national_yearly!$D:$AM, 10, FALSE), 1)</f>
        <v>0.12573641605552738</v>
      </c>
      <c r="AB2" s="7">
        <f>$B2 * IFERROR(VLOOKUP("industry|PM25|Premature mortality", US_national_yearly!$D:$AM, 36, FALSE) / VLOOKUP("industry|PM25|Premature mortality", US_national_yearly!$D:$AM, 10, FALSE), 1)</f>
        <v>0.12587292833302258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2.1365982071140072E-4</v>
      </c>
      <c r="C3" s="7">
        <f>$B3 * IFERROR(VLOOKUP("industry|PM25|Infant mortality", US_national_yearly!$D:$AM, 11, FALSE) / VLOOKUP("industry|PM25|Infant mortality", US_national_yearly!$D:$AM, 10, FALSE), 1)</f>
        <v>2.1179951694733865E-4</v>
      </c>
      <c r="D3" s="7">
        <f>$B3 * IFERROR(VLOOKUP("industry|PM25|Infant mortality", US_national_yearly!$D:$AM, 12, FALSE) / VLOOKUP("industry|PM25|Infant mortality", US_national_yearly!$D:$AM, 10, FALSE), 1)</f>
        <v>2.0993921318327658E-4</v>
      </c>
      <c r="E3" s="7">
        <f>$B3 * IFERROR(VLOOKUP("industry|PM25|Infant mortality", US_national_yearly!$D:$AM, 13, FALSE) / VLOOKUP("industry|PM25|Infant mortality", US_national_yearly!$D:$AM, 10, FALSE), 1)</f>
        <v>2.0807890941921446E-4</v>
      </c>
      <c r="F3" s="7">
        <f>$B3 * IFERROR(VLOOKUP("industry|PM25|Infant mortality", US_national_yearly!$D:$AM, 14, FALSE) / VLOOKUP("industry|PM25|Infant mortality", US_national_yearly!$D:$AM, 10, FALSE), 1)</f>
        <v>2.062186056551524E-4</v>
      </c>
      <c r="G3" s="7">
        <f>$B3 * IFERROR(VLOOKUP("industry|PM25|Infant mortality", US_national_yearly!$D:$AM, 15, FALSE) / VLOOKUP("industry|PM25|Infant mortality", US_national_yearly!$D:$AM, 10, FALSE), 1)</f>
        <v>1.3701885986337233E-4</v>
      </c>
      <c r="H3" s="7">
        <f>$B3 * IFERROR(VLOOKUP("industry|PM25|Infant mortality", US_national_yearly!$D:$AM, 16, FALSE) / VLOOKUP("industry|PM25|Infant mortality", US_national_yearly!$D:$AM, 10, FALSE), 1)</f>
        <v>6.7819114071592256E-5</v>
      </c>
      <c r="I3" s="7">
        <f>$B3 * IFERROR(VLOOKUP("industry|PM25|Infant mortality", US_national_yearly!$D:$AM, 17, FALSE) / VLOOKUP("industry|PM25|Infant mortality", US_national_yearly!$D:$AM, 10, FALSE), 1)</f>
        <v>6.7367710976546388E-5</v>
      </c>
      <c r="J3" s="7">
        <f>$B3 * IFERROR(VLOOKUP("industry|PM25|Infant mortality", US_national_yearly!$D:$AM, 18, FALSE) / VLOOKUP("industry|PM25|Infant mortality", US_national_yearly!$D:$AM, 10, FALSE), 1)</f>
        <v>6.6916307881500535E-5</v>
      </c>
      <c r="K3" s="7">
        <f>$B3 * IFERROR(VLOOKUP("industry|PM25|Infant mortality", US_national_yearly!$D:$AM, 19, FALSE) / VLOOKUP("industry|PM25|Infant mortality", US_national_yearly!$D:$AM, 10, FALSE), 1)</f>
        <v>6.6464904786454681E-5</v>
      </c>
      <c r="L3" s="7">
        <f>$B3 * IFERROR(VLOOKUP("industry|PM25|Infant mortality", US_national_yearly!$D:$AM, 20, FALSE) / VLOOKUP("industry|PM25|Infant mortality", US_national_yearly!$D:$AM, 10, FALSE), 1)</f>
        <v>6.60135016914088E-5</v>
      </c>
      <c r="M3" s="7">
        <f>$B3 * IFERROR(VLOOKUP("industry|PM25|Infant mortality", US_national_yearly!$D:$AM, 21, FALSE) / VLOOKUP("industry|PM25|Infant mortality", US_national_yearly!$D:$AM, 10, FALSE), 1)</f>
        <v>6.556209859636296E-5</v>
      </c>
      <c r="N3" s="7">
        <f>$B3 * IFERROR(VLOOKUP("industry|PM25|Infant mortality", US_national_yearly!$D:$AM, 22, FALSE) / VLOOKUP("industry|PM25|Infant mortality", US_national_yearly!$D:$AM, 10, FALSE), 1)</f>
        <v>6.5274059464480918E-5</v>
      </c>
      <c r="O3" s="7">
        <f>$B3 * IFERROR(VLOOKUP("industry|PM25|Infant mortality", US_national_yearly!$D:$AM, 23, FALSE) / VLOOKUP("industry|PM25|Infant mortality", US_national_yearly!$D:$AM, 10, FALSE), 1)</f>
        <v>6.4986020332598904E-5</v>
      </c>
      <c r="P3" s="7">
        <f>$B3 * IFERROR(VLOOKUP("industry|PM25|Infant mortality", US_national_yearly!$D:$AM, 24, FALSE) / VLOOKUP("industry|PM25|Infant mortality", US_national_yearly!$D:$AM, 10, FALSE), 1)</f>
        <v>6.4697981200716889E-5</v>
      </c>
      <c r="Q3" s="7">
        <f>$B3 * IFERROR(VLOOKUP("industry|PM25|Infant mortality", US_national_yearly!$D:$AM, 25, FALSE) / VLOOKUP("industry|PM25|Infant mortality", US_national_yearly!$D:$AM, 10, FALSE), 1)</f>
        <v>6.4409942068834861E-5</v>
      </c>
      <c r="R3" s="7">
        <f>$B3 * IFERROR(VLOOKUP("industry|PM25|Infant mortality", US_national_yearly!$D:$AM, 26, FALSE) / VLOOKUP("industry|PM25|Infant mortality", US_national_yearly!$D:$AM, 10, FALSE), 1)</f>
        <v>6.4121902936952846E-5</v>
      </c>
      <c r="S3" s="7">
        <f>$B3 * IFERROR(VLOOKUP("industry|PM25|Infant mortality", US_national_yearly!$D:$AM, 27, FALSE) / VLOOKUP("industry|PM25|Infant mortality", US_national_yearly!$D:$AM, 10, FALSE), 1)</f>
        <v>6.3767640811897633E-5</v>
      </c>
      <c r="T3" s="7">
        <f>$B3 * IFERROR(VLOOKUP("industry|PM25|Infant mortality", US_national_yearly!$D:$AM, 28, FALSE) / VLOOKUP("industry|PM25|Infant mortality", US_national_yearly!$D:$AM, 10, FALSE), 1)</f>
        <v>6.3413378686842434E-5</v>
      </c>
      <c r="U3" s="7">
        <f>$B3 * IFERROR(VLOOKUP("industry|PM25|Infant mortality", US_national_yearly!$D:$AM, 29, FALSE) / VLOOKUP("industry|PM25|Infant mortality", US_national_yearly!$D:$AM, 10, FALSE), 1)</f>
        <v>6.3059116561787234E-5</v>
      </c>
      <c r="V3" s="7">
        <f>$B3 * IFERROR(VLOOKUP("industry|PM25|Infant mortality", US_national_yearly!$D:$AM, 30, FALSE) / VLOOKUP("industry|PM25|Infant mortality", US_national_yearly!$D:$AM, 10, FALSE), 1)</f>
        <v>6.2704854436732035E-5</v>
      </c>
      <c r="W3" s="7">
        <f>$B3 * IFERROR(VLOOKUP("industry|PM25|Infant mortality", US_national_yearly!$D:$AM, 31, FALSE) / VLOOKUP("industry|PM25|Infant mortality", US_national_yearly!$D:$AM, 10, FALSE), 1)</f>
        <v>6.2350592311676836E-5</v>
      </c>
      <c r="X3" s="7">
        <f>$B3 * IFERROR(VLOOKUP("industry|PM25|Infant mortality", US_national_yearly!$D:$AM, 32, FALSE) / VLOOKUP("industry|PM25|Infant mortality", US_national_yearly!$D:$AM, 10, FALSE), 1)</f>
        <v>6.1972018840781361E-5</v>
      </c>
      <c r="Y3" s="7">
        <f>$B3 * IFERROR(VLOOKUP("industry|PM25|Infant mortality", US_national_yearly!$D:$AM, 33, FALSE) / VLOOKUP("industry|PM25|Infant mortality", US_national_yearly!$D:$AM, 10, FALSE), 1)</f>
        <v>6.1593445369885873E-5</v>
      </c>
      <c r="Z3" s="7">
        <f>$B3 * IFERROR(VLOOKUP("industry|PM25|Infant mortality", US_national_yearly!$D:$AM, 34, FALSE) / VLOOKUP("industry|PM25|Infant mortality", US_national_yearly!$D:$AM, 10, FALSE), 1)</f>
        <v>6.1214871898990399E-5</v>
      </c>
      <c r="AA3" s="7">
        <f>$B3 * IFERROR(VLOOKUP("industry|PM25|Infant mortality", US_national_yearly!$D:$AM, 35, FALSE) / VLOOKUP("industry|PM25|Infant mortality", US_national_yearly!$D:$AM, 10, FALSE), 1)</f>
        <v>6.083629842809491E-5</v>
      </c>
      <c r="AB3" s="7">
        <f>$B3 * IFERROR(VLOOKUP("industry|PM25|Infant mortality", US_national_yearly!$D:$AM, 36, FALSE) / VLOOKUP("industry|PM25|Infant mortality", US_national_yearly!$D:$AM, 10, FALSE), 1)</f>
        <v>6.0457724957199429E-5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0.31874742054968458</v>
      </c>
      <c r="C6" s="7">
        <f>$B6 * IFERROR(VLOOKUP("industry|PM25|Asthma symptoms cough", US_national_yearly!$D:$AM, 11, FALSE) / VLOOKUP("industry|PM25|Asthma symptoms cough", US_national_yearly!$D:$AM, 10, FALSE), 1)</f>
        <v>0.31874742054968458</v>
      </c>
      <c r="D6" s="7">
        <f>$B6 * IFERROR(VLOOKUP("industry|PM25|Asthma symptoms cough", US_national_yearly!$D:$AM, 12, FALSE) / VLOOKUP("industry|PM25|Asthma symptoms cough", US_national_yearly!$D:$AM, 10, FALSE), 1)</f>
        <v>0.31874742054968458</v>
      </c>
      <c r="E6" s="7">
        <f>$B6 * IFERROR(VLOOKUP("industry|PM25|Asthma symptoms cough", US_national_yearly!$D:$AM, 13, FALSE) / VLOOKUP("industry|PM25|Asthma symptoms cough", US_national_yearly!$D:$AM, 10, FALSE), 1)</f>
        <v>0.31874742054968458</v>
      </c>
      <c r="F6" s="7">
        <f>$B6 * IFERROR(VLOOKUP("industry|PM25|Asthma symptoms cough", US_national_yearly!$D:$AM, 14, FALSE) / VLOOKUP("industry|PM25|Asthma symptoms cough", US_national_yearly!$D:$AM, 10, FALSE), 1)</f>
        <v>0.31874742054968458</v>
      </c>
      <c r="G6" s="7">
        <f>$B6 * IFERROR(VLOOKUP("industry|PM25|Asthma symptoms cough", US_national_yearly!$D:$AM, 15, FALSE) / VLOOKUP("industry|PM25|Asthma symptoms cough", US_national_yearly!$D:$AM, 10, FALSE), 1)</f>
        <v>0.31874742054968458</v>
      </c>
      <c r="H6" s="7">
        <f>$B6 * IFERROR(VLOOKUP("industry|PM25|Asthma symptoms cough", US_national_yearly!$D:$AM, 16, FALSE) / VLOOKUP("industry|PM25|Asthma symptoms cough", US_national_yearly!$D:$AM, 10, FALSE), 1)</f>
        <v>0.31874742054968458</v>
      </c>
      <c r="I6" s="7">
        <f>$B6 * IFERROR(VLOOKUP("industry|PM25|Asthma symptoms cough", US_national_yearly!$D:$AM, 17, FALSE) / VLOOKUP("industry|PM25|Asthma symptoms cough", US_national_yearly!$D:$AM, 10, FALSE), 1)</f>
        <v>0.31874742054968458</v>
      </c>
      <c r="J6" s="7">
        <f>$B6 * IFERROR(VLOOKUP("industry|PM25|Asthma symptoms cough", US_national_yearly!$D:$AM, 18, FALSE) / VLOOKUP("industry|PM25|Asthma symptoms cough", US_national_yearly!$D:$AM, 10, FALSE), 1)</f>
        <v>0.31874742054968458</v>
      </c>
      <c r="K6" s="7">
        <f>$B6 * IFERROR(VLOOKUP("industry|PM25|Asthma symptoms cough", US_national_yearly!$D:$AM, 19, FALSE) / VLOOKUP("industry|PM25|Asthma symptoms cough", US_national_yearly!$D:$AM, 10, FALSE), 1)</f>
        <v>0.31874742054968458</v>
      </c>
      <c r="L6" s="7">
        <f>$B6 * IFERROR(VLOOKUP("industry|PM25|Asthma symptoms cough", US_national_yearly!$D:$AM, 20, FALSE) / VLOOKUP("industry|PM25|Asthma symptoms cough", US_national_yearly!$D:$AM, 10, FALSE), 1)</f>
        <v>0.31874742054968458</v>
      </c>
      <c r="M6" s="7">
        <f>$B6 * IFERROR(VLOOKUP("industry|PM25|Asthma symptoms cough", US_national_yearly!$D:$AM, 21, FALSE) / VLOOKUP("industry|PM25|Asthma symptoms cough", US_national_yearly!$D:$AM, 10, FALSE), 1)</f>
        <v>0.31874742054968458</v>
      </c>
      <c r="N6" s="7">
        <f>$B6 * IFERROR(VLOOKUP("industry|PM25|Asthma symptoms cough", US_national_yearly!$D:$AM, 22, FALSE) / VLOOKUP("industry|PM25|Asthma symptoms cough", US_national_yearly!$D:$AM, 10, FALSE), 1)</f>
        <v>0.31874742054968458</v>
      </c>
      <c r="O6" s="7">
        <f>$B6 * IFERROR(VLOOKUP("industry|PM25|Asthma symptoms cough", US_national_yearly!$D:$AM, 23, FALSE) / VLOOKUP("industry|PM25|Asthma symptoms cough", US_national_yearly!$D:$AM, 10, FALSE), 1)</f>
        <v>0.31874742054968458</v>
      </c>
      <c r="P6" s="7">
        <f>$B6 * IFERROR(VLOOKUP("industry|PM25|Asthma symptoms cough", US_national_yearly!$D:$AM, 24, FALSE) / VLOOKUP("industry|PM25|Asthma symptoms cough", US_national_yearly!$D:$AM, 10, FALSE), 1)</f>
        <v>0.31874742054968458</v>
      </c>
      <c r="Q6" s="7">
        <f>$B6 * IFERROR(VLOOKUP("industry|PM25|Asthma symptoms cough", US_national_yearly!$D:$AM, 25, FALSE) / VLOOKUP("industry|PM25|Asthma symptoms cough", US_national_yearly!$D:$AM, 10, FALSE), 1)</f>
        <v>0.31874742054968458</v>
      </c>
      <c r="R6" s="7">
        <f>$B6 * IFERROR(VLOOKUP("industry|PM25|Asthma symptoms cough", US_national_yearly!$D:$AM, 26, FALSE) / VLOOKUP("industry|PM25|Asthma symptoms cough", US_national_yearly!$D:$AM, 10, FALSE), 1)</f>
        <v>0.31874742054968458</v>
      </c>
      <c r="S6" s="7">
        <f>$B6 * IFERROR(VLOOKUP("industry|PM25|Asthma symptoms cough", US_national_yearly!$D:$AM, 27, FALSE) / VLOOKUP("industry|PM25|Asthma symptoms cough", US_national_yearly!$D:$AM, 10, FALSE), 1)</f>
        <v>0.31874742054968458</v>
      </c>
      <c r="T6" s="7">
        <f>$B6 * IFERROR(VLOOKUP("industry|PM25|Asthma symptoms cough", US_national_yearly!$D:$AM, 28, FALSE) / VLOOKUP("industry|PM25|Asthma symptoms cough", US_national_yearly!$D:$AM, 10, FALSE), 1)</f>
        <v>0.31874742054968458</v>
      </c>
      <c r="U6" s="7">
        <f>$B6 * IFERROR(VLOOKUP("industry|PM25|Asthma symptoms cough", US_national_yearly!$D:$AM, 29, FALSE) / VLOOKUP("industry|PM25|Asthma symptoms cough", US_national_yearly!$D:$AM, 10, FALSE), 1)</f>
        <v>0.31874742054968458</v>
      </c>
      <c r="V6" s="7">
        <f>$B6 * IFERROR(VLOOKUP("industry|PM25|Asthma symptoms cough", US_national_yearly!$D:$AM, 30, FALSE) / VLOOKUP("industry|PM25|Asthma symptoms cough", US_national_yearly!$D:$AM, 10, FALSE), 1)</f>
        <v>0.31874742054968458</v>
      </c>
      <c r="W6" s="7">
        <f>$B6 * IFERROR(VLOOKUP("industry|PM25|Asthma symptoms cough", US_national_yearly!$D:$AM, 31, FALSE) / VLOOKUP("industry|PM25|Asthma symptoms cough", US_national_yearly!$D:$AM, 10, FALSE), 1)</f>
        <v>0.31874742054968458</v>
      </c>
      <c r="X6" s="7">
        <f>$B6 * IFERROR(VLOOKUP("industry|PM25|Asthma symptoms cough", US_national_yearly!$D:$AM, 32, FALSE) / VLOOKUP("industry|PM25|Asthma symptoms cough", US_national_yearly!$D:$AM, 10, FALSE), 1)</f>
        <v>0.31874742054968458</v>
      </c>
      <c r="Y6" s="7">
        <f>$B6 * IFERROR(VLOOKUP("industry|PM25|Asthma symptoms cough", US_national_yearly!$D:$AM, 33, FALSE) / VLOOKUP("industry|PM25|Asthma symptoms cough", US_national_yearly!$D:$AM, 10, FALSE), 1)</f>
        <v>0.31874742054968458</v>
      </c>
      <c r="Z6" s="7">
        <f>$B6 * IFERROR(VLOOKUP("industry|PM25|Asthma symptoms cough", US_national_yearly!$D:$AM, 34, FALSE) / VLOOKUP("industry|PM25|Asthma symptoms cough", US_national_yearly!$D:$AM, 10, FALSE), 1)</f>
        <v>0.31874742054968458</v>
      </c>
      <c r="AA6" s="7">
        <f>$B6 * IFERROR(VLOOKUP("industry|PM25|Asthma symptoms cough", US_national_yearly!$D:$AM, 35, FALSE) / VLOOKUP("industry|PM25|Asthma symptoms cough", US_national_yearly!$D:$AM, 10, FALSE), 1)</f>
        <v>0.31874742054968458</v>
      </c>
      <c r="AB6" s="7">
        <f>$B6 * IFERROR(VLOOKUP("industry|PM25|Asthma symptoms cough", US_national_yearly!$D:$AM, 36, FALSE) / VLOOKUP("industry|PM25|Asthma symptoms cough", US_national_yearly!$D:$AM, 10, FALSE), 1)</f>
        <v>0.31874742054968458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0.42914162242935283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0.42914162242935283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0.42914162242935283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0.42914162242935283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0.42914162242935283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0.42914162242935283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0.42914162242935283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0.42914162242935283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0.42914162242935283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0.42914162242935283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0.42914162242935283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0.42914162242935283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0.42914162242935283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0.42914162242935283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0.42914162242935283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0.42914162242935283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0.42914162242935283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0.42914162242935283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0.42914162242935283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0.42914162242935283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0.42914162242935283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0.42914162242935283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0.42914162242935283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0.42914162242935283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0.42914162242935283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0.42914162242935283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0.42914162242935283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0.65600426467028994</v>
      </c>
      <c r="C8" s="7">
        <f>$B8 * IFERROR(VLOOKUP("industry|PM25|Asthma symptoms wheeze", US_national_yearly!$D:$AM, 11, FALSE) / VLOOKUP("industry|PM25|Asthma symptoms wheeze", US_national_yearly!$D:$AM, 10, FALSE), 1)</f>
        <v>0.65600426467028994</v>
      </c>
      <c r="D8" s="7">
        <f>$B8 * IFERROR(VLOOKUP("industry|PM25|Asthma symptoms wheeze", US_national_yearly!$D:$AM, 12, FALSE) / VLOOKUP("industry|PM25|Asthma symptoms wheeze", US_national_yearly!$D:$AM, 10, FALSE), 1)</f>
        <v>0.65600426467028994</v>
      </c>
      <c r="E8" s="7">
        <f>$B8 * IFERROR(VLOOKUP("industry|PM25|Asthma symptoms wheeze", US_national_yearly!$D:$AM, 13, FALSE) / VLOOKUP("industry|PM25|Asthma symptoms wheeze", US_national_yearly!$D:$AM, 10, FALSE), 1)</f>
        <v>0.65600426467028994</v>
      </c>
      <c r="F8" s="7">
        <f>$B8 * IFERROR(VLOOKUP("industry|PM25|Asthma symptoms wheeze", US_national_yearly!$D:$AM, 14, FALSE) / VLOOKUP("industry|PM25|Asthma symptoms wheeze", US_national_yearly!$D:$AM, 10, FALSE), 1)</f>
        <v>0.65600426467028994</v>
      </c>
      <c r="G8" s="7">
        <f>$B8 * IFERROR(VLOOKUP("industry|PM25|Asthma symptoms wheeze", US_national_yearly!$D:$AM, 15, FALSE) / VLOOKUP("industry|PM25|Asthma symptoms wheeze", US_national_yearly!$D:$AM, 10, FALSE), 1)</f>
        <v>0.65600426467028994</v>
      </c>
      <c r="H8" s="7">
        <f>$B8 * IFERROR(VLOOKUP("industry|PM25|Asthma symptoms wheeze", US_national_yearly!$D:$AM, 16, FALSE) / VLOOKUP("industry|PM25|Asthma symptoms wheeze", US_national_yearly!$D:$AM, 10, FALSE), 1)</f>
        <v>0.65600426467028994</v>
      </c>
      <c r="I8" s="7">
        <f>$B8 * IFERROR(VLOOKUP("industry|PM25|Asthma symptoms wheeze", US_national_yearly!$D:$AM, 17, FALSE) / VLOOKUP("industry|PM25|Asthma symptoms wheeze", US_national_yearly!$D:$AM, 10, FALSE), 1)</f>
        <v>0.65600426467028994</v>
      </c>
      <c r="J8" s="7">
        <f>$B8 * IFERROR(VLOOKUP("industry|PM25|Asthma symptoms wheeze", US_national_yearly!$D:$AM, 18, FALSE) / VLOOKUP("industry|PM25|Asthma symptoms wheeze", US_national_yearly!$D:$AM, 10, FALSE), 1)</f>
        <v>0.65600426467028994</v>
      </c>
      <c r="K8" s="7">
        <f>$B8 * IFERROR(VLOOKUP("industry|PM25|Asthma symptoms wheeze", US_national_yearly!$D:$AM, 19, FALSE) / VLOOKUP("industry|PM25|Asthma symptoms wheeze", US_national_yearly!$D:$AM, 10, FALSE), 1)</f>
        <v>0.65600426467028994</v>
      </c>
      <c r="L8" s="7">
        <f>$B8 * IFERROR(VLOOKUP("industry|PM25|Asthma symptoms wheeze", US_national_yearly!$D:$AM, 20, FALSE) / VLOOKUP("industry|PM25|Asthma symptoms wheeze", US_national_yearly!$D:$AM, 10, FALSE), 1)</f>
        <v>0.65600426467028994</v>
      </c>
      <c r="M8" s="7">
        <f>$B8 * IFERROR(VLOOKUP("industry|PM25|Asthma symptoms wheeze", US_national_yearly!$D:$AM, 21, FALSE) / VLOOKUP("industry|PM25|Asthma symptoms wheeze", US_national_yearly!$D:$AM, 10, FALSE), 1)</f>
        <v>0.65600426467028994</v>
      </c>
      <c r="N8" s="7">
        <f>$B8 * IFERROR(VLOOKUP("industry|PM25|Asthma symptoms wheeze", US_national_yearly!$D:$AM, 22, FALSE) / VLOOKUP("industry|PM25|Asthma symptoms wheeze", US_national_yearly!$D:$AM, 10, FALSE), 1)</f>
        <v>0.65600426467028994</v>
      </c>
      <c r="O8" s="7">
        <f>$B8 * IFERROR(VLOOKUP("industry|PM25|Asthma symptoms wheeze", US_national_yearly!$D:$AM, 23, FALSE) / VLOOKUP("industry|PM25|Asthma symptoms wheeze", US_national_yearly!$D:$AM, 10, FALSE), 1)</f>
        <v>0.65600426467028994</v>
      </c>
      <c r="P8" s="7">
        <f>$B8 * IFERROR(VLOOKUP("industry|PM25|Asthma symptoms wheeze", US_national_yearly!$D:$AM, 24, FALSE) / VLOOKUP("industry|PM25|Asthma symptoms wheeze", US_national_yearly!$D:$AM, 10, FALSE), 1)</f>
        <v>0.65600426467028994</v>
      </c>
      <c r="Q8" s="7">
        <f>$B8 * IFERROR(VLOOKUP("industry|PM25|Asthma symptoms wheeze", US_national_yearly!$D:$AM, 25, FALSE) / VLOOKUP("industry|PM25|Asthma symptoms wheeze", US_national_yearly!$D:$AM, 10, FALSE), 1)</f>
        <v>0.65600426467028994</v>
      </c>
      <c r="R8" s="7">
        <f>$B8 * IFERROR(VLOOKUP("industry|PM25|Asthma symptoms wheeze", US_national_yearly!$D:$AM, 26, FALSE) / VLOOKUP("industry|PM25|Asthma symptoms wheeze", US_national_yearly!$D:$AM, 10, FALSE), 1)</f>
        <v>0.65600426467028994</v>
      </c>
      <c r="S8" s="7">
        <f>$B8 * IFERROR(VLOOKUP("industry|PM25|Asthma symptoms wheeze", US_national_yearly!$D:$AM, 27, FALSE) / VLOOKUP("industry|PM25|Asthma symptoms wheeze", US_national_yearly!$D:$AM, 10, FALSE), 1)</f>
        <v>0.65600426467028994</v>
      </c>
      <c r="T8" s="7">
        <f>$B8 * IFERROR(VLOOKUP("industry|PM25|Asthma symptoms wheeze", US_national_yearly!$D:$AM, 28, FALSE) / VLOOKUP("industry|PM25|Asthma symptoms wheeze", US_national_yearly!$D:$AM, 10, FALSE), 1)</f>
        <v>0.65600426467028994</v>
      </c>
      <c r="U8" s="7">
        <f>$B8 * IFERROR(VLOOKUP("industry|PM25|Asthma symptoms wheeze", US_national_yearly!$D:$AM, 29, FALSE) / VLOOKUP("industry|PM25|Asthma symptoms wheeze", US_national_yearly!$D:$AM, 10, FALSE), 1)</f>
        <v>0.65600426467028994</v>
      </c>
      <c r="V8" s="7">
        <f>$B8 * IFERROR(VLOOKUP("industry|PM25|Asthma symptoms wheeze", US_national_yearly!$D:$AM, 30, FALSE) / VLOOKUP("industry|PM25|Asthma symptoms wheeze", US_national_yearly!$D:$AM, 10, FALSE), 1)</f>
        <v>0.65600426467028994</v>
      </c>
      <c r="W8" s="7">
        <f>$B8 * IFERROR(VLOOKUP("industry|PM25|Asthma symptoms wheeze", US_national_yearly!$D:$AM, 31, FALSE) / VLOOKUP("industry|PM25|Asthma symptoms wheeze", US_national_yearly!$D:$AM, 10, FALSE), 1)</f>
        <v>0.65600426467028994</v>
      </c>
      <c r="X8" s="7">
        <f>$B8 * IFERROR(VLOOKUP("industry|PM25|Asthma symptoms wheeze", US_national_yearly!$D:$AM, 32, FALSE) / VLOOKUP("industry|PM25|Asthma symptoms wheeze", US_national_yearly!$D:$AM, 10, FALSE), 1)</f>
        <v>0.65600426467028994</v>
      </c>
      <c r="Y8" s="7">
        <f>$B8 * IFERROR(VLOOKUP("industry|PM25|Asthma symptoms wheeze", US_national_yearly!$D:$AM, 33, FALSE) / VLOOKUP("industry|PM25|Asthma symptoms wheeze", US_national_yearly!$D:$AM, 10, FALSE), 1)</f>
        <v>0.65600426467028994</v>
      </c>
      <c r="Z8" s="7">
        <f>$B8 * IFERROR(VLOOKUP("industry|PM25|Asthma symptoms wheeze", US_national_yearly!$D:$AM, 34, FALSE) / VLOOKUP("industry|PM25|Asthma symptoms wheeze", US_national_yearly!$D:$AM, 10, FALSE), 1)</f>
        <v>0.65600426467028994</v>
      </c>
      <c r="AA8" s="7">
        <f>$B8 * IFERROR(VLOOKUP("industry|PM25|Asthma symptoms wheeze", US_national_yearly!$D:$AM, 35, FALSE) / VLOOKUP("industry|PM25|Asthma symptoms wheeze", US_national_yearly!$D:$AM, 10, FALSE), 1)</f>
        <v>0.65600426467028994</v>
      </c>
      <c r="AB8" s="7">
        <f>$B8 * IFERROR(VLOOKUP("industry|PM25|Asthma symptoms wheeze", US_national_yearly!$D:$AM, 36, FALSE) / VLOOKUP("industry|PM25|Asthma symptoms wheeze", US_national_yearly!$D:$AM, 10, FALSE), 1)</f>
        <v>0.65600426467028994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8.2421410497122444E-3</v>
      </c>
      <c r="C12" s="7">
        <f>$B12 * IFERROR(VLOOKUP("industry|PM25|Respiratory hospital admissions", US_national_yearly!$D:$AM, 11, FALSE) / VLOOKUP("industry|PM25|Respiratory hospital admissions", US_national_yearly!$D:$AM, 10, FALSE), 1)</f>
        <v>8.2889363302049678E-3</v>
      </c>
      <c r="D12" s="7">
        <f>$B12 * IFERROR(VLOOKUP("industry|PM25|Respiratory hospital admissions", US_national_yearly!$D:$AM, 12, FALSE) / VLOOKUP("industry|PM25|Respiratory hospital admissions", US_national_yearly!$D:$AM, 10, FALSE), 1)</f>
        <v>8.3357316106976911E-3</v>
      </c>
      <c r="E12" s="7">
        <f>$B12 * IFERROR(VLOOKUP("industry|PM25|Respiratory hospital admissions", US_national_yearly!$D:$AM, 13, FALSE) / VLOOKUP("industry|PM25|Respiratory hospital admissions", US_national_yearly!$D:$AM, 10, FALSE), 1)</f>
        <v>8.3825268911904144E-3</v>
      </c>
      <c r="F12" s="7">
        <f>$B12 * IFERROR(VLOOKUP("industry|PM25|Respiratory hospital admissions", US_national_yearly!$D:$AM, 14, FALSE) / VLOOKUP("industry|PM25|Respiratory hospital admissions", US_national_yearly!$D:$AM, 10, FALSE), 1)</f>
        <v>8.4293221716831412E-3</v>
      </c>
      <c r="G12" s="7">
        <f>$B12 * IFERROR(VLOOKUP("industry|PM25|Respiratory hospital admissions", US_national_yearly!$D:$AM, 15, FALSE) / VLOOKUP("industry|PM25|Respiratory hospital admissions", US_national_yearly!$D:$AM, 10, FALSE), 1)</f>
        <v>8.4799166965041362E-3</v>
      </c>
      <c r="H12" s="7">
        <f>$B12 * IFERROR(VLOOKUP("industry|PM25|Respiratory hospital admissions", US_national_yearly!$D:$AM, 16, FALSE) / VLOOKUP("industry|PM25|Respiratory hospital admissions", US_national_yearly!$D:$AM, 10, FALSE), 1)</f>
        <v>8.5305112213251346E-3</v>
      </c>
      <c r="I12" s="7">
        <f>$B12 * IFERROR(VLOOKUP("industry|PM25|Respiratory hospital admissions", US_national_yearly!$D:$AM, 17, FALSE) / VLOOKUP("industry|PM25|Respiratory hospital admissions", US_national_yearly!$D:$AM, 10, FALSE), 1)</f>
        <v>8.578506493235407E-3</v>
      </c>
      <c r="J12" s="7">
        <f>$B12 * IFERROR(VLOOKUP("industry|PM25|Respiratory hospital admissions", US_national_yearly!$D:$AM, 18, FALSE) / VLOOKUP("industry|PM25|Respiratory hospital admissions", US_national_yearly!$D:$AM, 10, FALSE), 1)</f>
        <v>8.6265017651456794E-3</v>
      </c>
      <c r="K12" s="7">
        <f>$B12 * IFERROR(VLOOKUP("industry|PM25|Respiratory hospital admissions", US_national_yearly!$D:$AM, 19, FALSE) / VLOOKUP("industry|PM25|Respiratory hospital admissions", US_national_yearly!$D:$AM, 10, FALSE), 1)</f>
        <v>8.6744970370559501E-3</v>
      </c>
      <c r="L12" s="7">
        <f>$B12 * IFERROR(VLOOKUP("industry|PM25|Respiratory hospital admissions", US_national_yearly!$D:$AM, 20, FALSE) / VLOOKUP("industry|PM25|Respiratory hospital admissions", US_national_yearly!$D:$AM, 10, FALSE), 1)</f>
        <v>8.7224923089662225E-3</v>
      </c>
      <c r="M12" s="7">
        <f>$B12 * IFERROR(VLOOKUP("industry|PM25|Respiratory hospital admissions", US_national_yearly!$D:$AM, 21, FALSE) / VLOOKUP("industry|PM25|Respiratory hospital admissions", US_national_yearly!$D:$AM, 10, FALSE), 1)</f>
        <v>8.7704875808764949E-3</v>
      </c>
      <c r="N12" s="7">
        <f>$B12 * IFERROR(VLOOKUP("industry|PM25|Respiratory hospital admissions", US_national_yearly!$D:$AM, 22, FALSE) / VLOOKUP("industry|PM25|Respiratory hospital admissions", US_national_yearly!$D:$AM, 10, FALSE), 1)</f>
        <v>8.8044332922368167E-3</v>
      </c>
      <c r="O12" s="7">
        <f>$B12 * IFERROR(VLOOKUP("industry|PM25|Respiratory hospital admissions", US_national_yearly!$D:$AM, 23, FALSE) / VLOOKUP("industry|PM25|Respiratory hospital admissions", US_national_yearly!$D:$AM, 10, FALSE), 1)</f>
        <v>8.8383790035971369E-3</v>
      </c>
      <c r="P12" s="7">
        <f>$B12 * IFERROR(VLOOKUP("industry|PM25|Respiratory hospital admissions", US_national_yearly!$D:$AM, 24, FALSE) / VLOOKUP("industry|PM25|Respiratory hospital admissions", US_national_yearly!$D:$AM, 10, FALSE), 1)</f>
        <v>8.8723247149574587E-3</v>
      </c>
      <c r="Q12" s="7">
        <f>$B12 * IFERROR(VLOOKUP("industry|PM25|Respiratory hospital admissions", US_national_yearly!$D:$AM, 25, FALSE) / VLOOKUP("industry|PM25|Respiratory hospital admissions", US_national_yearly!$D:$AM, 10, FALSE), 1)</f>
        <v>8.9062704263177788E-3</v>
      </c>
      <c r="R12" s="7">
        <f>$B12 * IFERROR(VLOOKUP("industry|PM25|Respiratory hospital admissions", US_national_yearly!$D:$AM, 26, FALSE) / VLOOKUP("industry|PM25|Respiratory hospital admissions", US_national_yearly!$D:$AM, 10, FALSE), 1)</f>
        <v>8.9402161376781007E-3</v>
      </c>
      <c r="S12" s="7">
        <f>$B12 * IFERROR(VLOOKUP("industry|PM25|Respiratory hospital admissions", US_national_yearly!$D:$AM, 27, FALSE) / VLOOKUP("industry|PM25|Respiratory hospital admissions", US_national_yearly!$D:$AM, 10, FALSE), 1)</f>
        <v>8.9722329450051715E-3</v>
      </c>
      <c r="T12" s="7">
        <f>$B12 * IFERROR(VLOOKUP("industry|PM25|Respiratory hospital admissions", US_national_yearly!$D:$AM, 28, FALSE) / VLOOKUP("industry|PM25|Respiratory hospital admissions", US_national_yearly!$D:$AM, 10, FALSE), 1)</f>
        <v>9.004249752332244E-3</v>
      </c>
      <c r="U12" s="7">
        <f>$B12 * IFERROR(VLOOKUP("industry|PM25|Respiratory hospital admissions", US_national_yearly!$D:$AM, 29, FALSE) / VLOOKUP("industry|PM25|Respiratory hospital admissions", US_national_yearly!$D:$AM, 10, FALSE), 1)</f>
        <v>9.0362665596593183E-3</v>
      </c>
      <c r="V12" s="7">
        <f>$B12 * IFERROR(VLOOKUP("industry|PM25|Respiratory hospital admissions", US_national_yearly!$D:$AM, 30, FALSE) / VLOOKUP("industry|PM25|Respiratory hospital admissions", US_national_yearly!$D:$AM, 10, FALSE), 1)</f>
        <v>9.0682833669863908E-3</v>
      </c>
      <c r="W12" s="7">
        <f>$B12 * IFERROR(VLOOKUP("industry|PM25|Respiratory hospital admissions", US_national_yearly!$D:$AM, 31, FALSE) / VLOOKUP("industry|PM25|Respiratory hospital admissions", US_national_yearly!$D:$AM, 10, FALSE), 1)</f>
        <v>9.1003001743134651E-3</v>
      </c>
      <c r="X12" s="7">
        <f>$B12 * IFERROR(VLOOKUP("industry|PM25|Respiratory hospital admissions", US_national_yearly!$D:$AM, 32, FALSE) / VLOOKUP("industry|PM25|Respiratory hospital admissions", US_national_yearly!$D:$AM, 10, FALSE), 1)</f>
        <v>9.13112770496609E-3</v>
      </c>
      <c r="Y12" s="7">
        <f>$B12 * IFERROR(VLOOKUP("industry|PM25|Respiratory hospital admissions", US_national_yearly!$D:$AM, 33, FALSE) / VLOOKUP("industry|PM25|Respiratory hospital admissions", US_national_yearly!$D:$AM, 10, FALSE), 1)</f>
        <v>9.1619552356187167E-3</v>
      </c>
      <c r="Z12" s="7">
        <f>$B12 * IFERROR(VLOOKUP("industry|PM25|Respiratory hospital admissions", US_national_yearly!$D:$AM, 34, FALSE) / VLOOKUP("industry|PM25|Respiratory hospital admissions", US_national_yearly!$D:$AM, 10, FALSE), 1)</f>
        <v>9.192782766271345E-3</v>
      </c>
      <c r="AA12" s="7">
        <f>$B12 * IFERROR(VLOOKUP("industry|PM25|Respiratory hospital admissions", US_national_yearly!$D:$AM, 35, FALSE) / VLOOKUP("industry|PM25|Respiratory hospital admissions", US_national_yearly!$D:$AM, 10, FALSE), 1)</f>
        <v>9.2236102969239717E-3</v>
      </c>
      <c r="AB12" s="7">
        <f>$B12 * IFERROR(VLOOKUP("industry|PM25|Respiratory hospital admissions", US_national_yearly!$D:$AM, 36, FALSE) / VLOOKUP("industry|PM25|Respiratory hospital admissions", US_national_yearly!$D:$AM, 10, FALSE), 1)</f>
        <v>9.2544378275765983E-3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2.6502723643284543E-2</v>
      </c>
      <c r="C13" s="7">
        <f>$B13 * IFERROR(VLOOKUP("industry|PM25|Non-fatal heart attacks", US_national_yearly!$D:$AM, 11, FALSE) / VLOOKUP("industry|PM25|Non-fatal heart attacks", US_national_yearly!$D:$AM, 10, FALSE), 1)</f>
        <v>2.7274224877711386E-2</v>
      </c>
      <c r="D13" s="7">
        <f>$B13 * IFERROR(VLOOKUP("industry|PM25|Non-fatal heart attacks", US_national_yearly!$D:$AM, 12, FALSE) / VLOOKUP("industry|PM25|Non-fatal heart attacks", US_national_yearly!$D:$AM, 10, FALSE), 1)</f>
        <v>2.8045726112138226E-2</v>
      </c>
      <c r="E13" s="7">
        <f>$B13 * IFERROR(VLOOKUP("industry|PM25|Non-fatal heart attacks", US_national_yearly!$D:$AM, 13, FALSE) / VLOOKUP("industry|PM25|Non-fatal heart attacks", US_national_yearly!$D:$AM, 10, FALSE), 1)</f>
        <v>2.8817227346565069E-2</v>
      </c>
      <c r="F13" s="7">
        <f>$B13 * IFERROR(VLOOKUP("industry|PM25|Non-fatal heart attacks", US_national_yearly!$D:$AM, 14, FALSE) / VLOOKUP("industry|PM25|Non-fatal heart attacks", US_national_yearly!$D:$AM, 10, FALSE), 1)</f>
        <v>2.9588728580991912E-2</v>
      </c>
      <c r="G13" s="7">
        <f>$B13 * IFERROR(VLOOKUP("industry|PM25|Non-fatal heart attacks", US_national_yearly!$D:$AM, 15, FALSE) / VLOOKUP("industry|PM25|Non-fatal heart attacks", US_national_yearly!$D:$AM, 10, FALSE), 1)</f>
        <v>3.0317079993033277E-2</v>
      </c>
      <c r="H13" s="7">
        <f>$B13 * IFERROR(VLOOKUP("industry|PM25|Non-fatal heart attacks", US_national_yearly!$D:$AM, 16, FALSE) / VLOOKUP("industry|PM25|Non-fatal heart attacks", US_national_yearly!$D:$AM, 10, FALSE), 1)</f>
        <v>3.1045431405074649E-2</v>
      </c>
      <c r="I13" s="7">
        <f>$B13 * IFERROR(VLOOKUP("industry|PM25|Non-fatal heart attacks", US_national_yearly!$D:$AM, 17, FALSE) / VLOOKUP("industry|PM25|Non-fatal heart attacks", US_national_yearly!$D:$AM, 10, FALSE), 1)</f>
        <v>3.1633581896792586E-2</v>
      </c>
      <c r="J13" s="7">
        <f>$B13 * IFERROR(VLOOKUP("industry|PM25|Non-fatal heart attacks", US_national_yearly!$D:$AM, 18, FALSE) / VLOOKUP("industry|PM25|Non-fatal heart attacks", US_national_yearly!$D:$AM, 10, FALSE), 1)</f>
        <v>3.2221732388510511E-2</v>
      </c>
      <c r="K13" s="7">
        <f>$B13 * IFERROR(VLOOKUP("industry|PM25|Non-fatal heart attacks", US_national_yearly!$D:$AM, 19, FALSE) / VLOOKUP("industry|PM25|Non-fatal heart attacks", US_national_yearly!$D:$AM, 10, FALSE), 1)</f>
        <v>3.2809882880228437E-2</v>
      </c>
      <c r="L13" s="7">
        <f>$B13 * IFERROR(VLOOKUP("industry|PM25|Non-fatal heart attacks", US_national_yearly!$D:$AM, 20, FALSE) / VLOOKUP("industry|PM25|Non-fatal heart attacks", US_national_yearly!$D:$AM, 10, FALSE), 1)</f>
        <v>3.3398033371946363E-2</v>
      </c>
      <c r="M13" s="7">
        <f>$B13 * IFERROR(VLOOKUP("industry|PM25|Non-fatal heart attacks", US_national_yearly!$D:$AM, 21, FALSE) / VLOOKUP("industry|PM25|Non-fatal heart attacks", US_national_yearly!$D:$AM, 10, FALSE), 1)</f>
        <v>3.3986183863664296E-2</v>
      </c>
      <c r="N13" s="7">
        <f>$B13 * IFERROR(VLOOKUP("industry|PM25|Non-fatal heart attacks", US_national_yearly!$D:$AM, 22, FALSE) / VLOOKUP("industry|PM25|Non-fatal heart attacks", US_national_yearly!$D:$AM, 10, FALSE), 1)</f>
        <v>3.4366455911205469E-2</v>
      </c>
      <c r="O13" s="7">
        <f>$B13 * IFERROR(VLOOKUP("industry|PM25|Non-fatal heart attacks", US_national_yearly!$D:$AM, 23, FALSE) / VLOOKUP("industry|PM25|Non-fatal heart attacks", US_national_yearly!$D:$AM, 10, FALSE), 1)</f>
        <v>3.4746727958746643E-2</v>
      </c>
      <c r="P13" s="7">
        <f>$B13 * IFERROR(VLOOKUP("industry|PM25|Non-fatal heart attacks", US_national_yearly!$D:$AM, 24, FALSE) / VLOOKUP("industry|PM25|Non-fatal heart attacks", US_national_yearly!$D:$AM, 10, FALSE), 1)</f>
        <v>3.5127000006287823E-2</v>
      </c>
      <c r="Q13" s="7">
        <f>$B13 * IFERROR(VLOOKUP("industry|PM25|Non-fatal heart attacks", US_national_yearly!$D:$AM, 25, FALSE) / VLOOKUP("industry|PM25|Non-fatal heart attacks", US_national_yearly!$D:$AM, 10, FALSE), 1)</f>
        <v>3.5507272053828989E-2</v>
      </c>
      <c r="R13" s="7">
        <f>$B13 * IFERROR(VLOOKUP("industry|PM25|Non-fatal heart attacks", US_national_yearly!$D:$AM, 26, FALSE) / VLOOKUP("industry|PM25|Non-fatal heart attacks", US_national_yearly!$D:$AM, 10, FALSE), 1)</f>
        <v>3.588754410137017E-2</v>
      </c>
      <c r="S13" s="7">
        <f>$B13 * IFERROR(VLOOKUP("industry|PM25|Non-fatal heart attacks", US_national_yearly!$D:$AM, 27, FALSE) / VLOOKUP("industry|PM25|Non-fatal heart attacks", US_national_yearly!$D:$AM, 10, FALSE), 1)</f>
        <v>3.6090648843059597E-2</v>
      </c>
      <c r="T13" s="7">
        <f>$B13 * IFERROR(VLOOKUP("industry|PM25|Non-fatal heart attacks", US_national_yearly!$D:$AM, 28, FALSE) / VLOOKUP("industry|PM25|Non-fatal heart attacks", US_national_yearly!$D:$AM, 10, FALSE), 1)</f>
        <v>3.6293753584749032E-2</v>
      </c>
      <c r="U13" s="7">
        <f>$B13 * IFERROR(VLOOKUP("industry|PM25|Non-fatal heart attacks", US_national_yearly!$D:$AM, 29, FALSE) / VLOOKUP("industry|PM25|Non-fatal heart attacks", US_national_yearly!$D:$AM, 10, FALSE), 1)</f>
        <v>3.6496858326438467E-2</v>
      </c>
      <c r="V13" s="7">
        <f>$B13 * IFERROR(VLOOKUP("industry|PM25|Non-fatal heart attacks", US_national_yearly!$D:$AM, 30, FALSE) / VLOOKUP("industry|PM25|Non-fatal heart attacks", US_national_yearly!$D:$AM, 10, FALSE), 1)</f>
        <v>3.6699963068127894E-2</v>
      </c>
      <c r="W13" s="7">
        <f>$B13 * IFERROR(VLOOKUP("industry|PM25|Non-fatal heart attacks", US_national_yearly!$D:$AM, 31, FALSE) / VLOOKUP("industry|PM25|Non-fatal heart attacks", US_national_yearly!$D:$AM, 10, FALSE), 1)</f>
        <v>3.6903067809817336E-2</v>
      </c>
      <c r="X13" s="7">
        <f>$B13 * IFERROR(VLOOKUP("industry|PM25|Non-fatal heart attacks", US_national_yearly!$D:$AM, 32, FALSE) / VLOOKUP("industry|PM25|Non-fatal heart attacks", US_national_yearly!$D:$AM, 10, FALSE), 1)</f>
        <v>3.7059822738780009E-2</v>
      </c>
      <c r="Y13" s="7">
        <f>$B13 * IFERROR(VLOOKUP("industry|PM25|Non-fatal heart attacks", US_national_yearly!$D:$AM, 33, FALSE) / VLOOKUP("industry|PM25|Non-fatal heart attacks", US_national_yearly!$D:$AM, 10, FALSE), 1)</f>
        <v>3.7216577667742667E-2</v>
      </c>
      <c r="Z13" s="7">
        <f>$B13 * IFERROR(VLOOKUP("industry|PM25|Non-fatal heart attacks", US_national_yearly!$D:$AM, 34, FALSE) / VLOOKUP("industry|PM25|Non-fatal heart attacks", US_national_yearly!$D:$AM, 10, FALSE), 1)</f>
        <v>3.737333259670534E-2</v>
      </c>
      <c r="AA13" s="7">
        <f>$B13 * IFERROR(VLOOKUP("industry|PM25|Non-fatal heart attacks", US_national_yearly!$D:$AM, 35, FALSE) / VLOOKUP("industry|PM25|Non-fatal heart attacks", US_national_yearly!$D:$AM, 10, FALSE), 1)</f>
        <v>3.7530087525668006E-2</v>
      </c>
      <c r="AB13" s="7">
        <f>$B13 * IFERROR(VLOOKUP("industry|PM25|Non-fatal heart attacks", US_national_yearly!$D:$AM, 36, FALSE) / VLOOKUP("industry|PM25|Non-fatal heart attacks", US_national_yearly!$D:$AM, 10, FALSE), 1)</f>
        <v>3.7686842454630679E-2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41.634676923256322</v>
      </c>
      <c r="C14" s="7">
        <f>$B14 * IFERROR(VLOOKUP("industry|PM25|Minor restricted activity days", US_national_yearly!$D:$AM, 11, FALSE) / VLOOKUP("industry|PM25|Minor restricted activity days", US_national_yearly!$D:$AM, 10, FALSE), 1)</f>
        <v>41.736647148229842</v>
      </c>
      <c r="D14" s="7">
        <f>$B14 * IFERROR(VLOOKUP("industry|PM25|Minor restricted activity days", US_national_yearly!$D:$AM, 12, FALSE) / VLOOKUP("industry|PM25|Minor restricted activity days", US_national_yearly!$D:$AM, 10, FALSE), 1)</f>
        <v>41.83861737320337</v>
      </c>
      <c r="E14" s="7">
        <f>$B14 * IFERROR(VLOOKUP("industry|PM25|Minor restricted activity days", US_national_yearly!$D:$AM, 13, FALSE) / VLOOKUP("industry|PM25|Minor restricted activity days", US_national_yearly!$D:$AM, 10, FALSE), 1)</f>
        <v>41.94058759817689</v>
      </c>
      <c r="F14" s="7">
        <f>$B14 * IFERROR(VLOOKUP("industry|PM25|Minor restricted activity days", US_national_yearly!$D:$AM, 14, FALSE) / VLOOKUP("industry|PM25|Minor restricted activity days", US_national_yearly!$D:$AM, 10, FALSE), 1)</f>
        <v>42.04255782315041</v>
      </c>
      <c r="G14" s="7">
        <f>$B14 * IFERROR(VLOOKUP("industry|PM25|Minor restricted activity days", US_national_yearly!$D:$AM, 15, FALSE) / VLOOKUP("industry|PM25|Minor restricted activity days", US_national_yearly!$D:$AM, 10, FALSE), 1)</f>
        <v>42.192233540326612</v>
      </c>
      <c r="H14" s="7">
        <f>$B14 * IFERROR(VLOOKUP("industry|PM25|Minor restricted activity days", US_national_yearly!$D:$AM, 16, FALSE) / VLOOKUP("industry|PM25|Minor restricted activity days", US_national_yearly!$D:$AM, 10, FALSE), 1)</f>
        <v>42.341909257502806</v>
      </c>
      <c r="I14" s="7">
        <f>$B14 * IFERROR(VLOOKUP("industry|PM25|Minor restricted activity days", US_national_yearly!$D:$AM, 17, FALSE) / VLOOKUP("industry|PM25|Minor restricted activity days", US_national_yearly!$D:$AM, 10, FALSE), 1)</f>
        <v>42.596169815255358</v>
      </c>
      <c r="J14" s="7">
        <f>$B14 * IFERROR(VLOOKUP("industry|PM25|Minor restricted activity days", US_national_yearly!$D:$AM, 18, FALSE) / VLOOKUP("industry|PM25|Minor restricted activity days", US_national_yearly!$D:$AM, 10, FALSE), 1)</f>
        <v>42.85043037300791</v>
      </c>
      <c r="K14" s="7">
        <f>$B14 * IFERROR(VLOOKUP("industry|PM25|Minor restricted activity days", US_national_yearly!$D:$AM, 19, FALSE) / VLOOKUP("industry|PM25|Minor restricted activity days", US_national_yearly!$D:$AM, 10, FALSE), 1)</f>
        <v>43.104690930760455</v>
      </c>
      <c r="L14" s="7">
        <f>$B14 * IFERROR(VLOOKUP("industry|PM25|Minor restricted activity days", US_national_yearly!$D:$AM, 20, FALSE) / VLOOKUP("industry|PM25|Minor restricted activity days", US_national_yearly!$D:$AM, 10, FALSE), 1)</f>
        <v>43.358951488513</v>
      </c>
      <c r="M14" s="7">
        <f>$B14 * IFERROR(VLOOKUP("industry|PM25|Minor restricted activity days", US_national_yearly!$D:$AM, 21, FALSE) / VLOOKUP("industry|PM25|Minor restricted activity days", US_national_yearly!$D:$AM, 10, FALSE), 1)</f>
        <v>43.613212046265545</v>
      </c>
      <c r="N14" s="7">
        <f>$B14 * IFERROR(VLOOKUP("industry|PM25|Minor restricted activity days", US_national_yearly!$D:$AM, 22, FALSE) / VLOOKUP("industry|PM25|Minor restricted activity days", US_national_yearly!$D:$AM, 10, FALSE), 1)</f>
        <v>43.96055707407951</v>
      </c>
      <c r="O14" s="7">
        <f>$B14 * IFERROR(VLOOKUP("industry|PM25|Minor restricted activity days", US_national_yearly!$D:$AM, 23, FALSE) / VLOOKUP("industry|PM25|Minor restricted activity days", US_national_yearly!$D:$AM, 10, FALSE), 1)</f>
        <v>44.307902101893504</v>
      </c>
      <c r="P14" s="7">
        <f>$B14 * IFERROR(VLOOKUP("industry|PM25|Minor restricted activity days", US_national_yearly!$D:$AM, 24, FALSE) / VLOOKUP("industry|PM25|Minor restricted activity days", US_national_yearly!$D:$AM, 10, FALSE), 1)</f>
        <v>44.655247129707462</v>
      </c>
      <c r="Q14" s="7">
        <f>$B14 * IFERROR(VLOOKUP("industry|PM25|Minor restricted activity days", US_national_yearly!$D:$AM, 25, FALSE) / VLOOKUP("industry|PM25|Minor restricted activity days", US_national_yearly!$D:$AM, 10, FALSE), 1)</f>
        <v>45.00259215752147</v>
      </c>
      <c r="R14" s="7">
        <f>$B14 * IFERROR(VLOOKUP("industry|PM25|Minor restricted activity days", US_national_yearly!$D:$AM, 26, FALSE) / VLOOKUP("industry|PM25|Minor restricted activity days", US_national_yearly!$D:$AM, 10, FALSE), 1)</f>
        <v>45.349937185335428</v>
      </c>
      <c r="S14" s="7">
        <f>$B14 * IFERROR(VLOOKUP("industry|PM25|Minor restricted activity days", US_national_yearly!$D:$AM, 27, FALSE) / VLOOKUP("industry|PM25|Minor restricted activity days", US_national_yearly!$D:$AM, 10, FALSE), 1)</f>
        <v>45.700616861262006</v>
      </c>
      <c r="T14" s="7">
        <f>$B14 * IFERROR(VLOOKUP("industry|PM25|Minor restricted activity days", US_national_yearly!$D:$AM, 28, FALSE) / VLOOKUP("industry|PM25|Minor restricted activity days", US_national_yearly!$D:$AM, 10, FALSE), 1)</f>
        <v>46.051296537188598</v>
      </c>
      <c r="U14" s="7">
        <f>$B14 * IFERROR(VLOOKUP("industry|PM25|Minor restricted activity days", US_national_yearly!$D:$AM, 29, FALSE) / VLOOKUP("industry|PM25|Minor restricted activity days", US_national_yearly!$D:$AM, 10, FALSE), 1)</f>
        <v>46.401976213115177</v>
      </c>
      <c r="V14" s="7">
        <f>$B14 * IFERROR(VLOOKUP("industry|PM25|Minor restricted activity days", US_national_yearly!$D:$AM, 30, FALSE) / VLOOKUP("industry|PM25|Minor restricted activity days", US_national_yearly!$D:$AM, 10, FALSE), 1)</f>
        <v>46.752655889041762</v>
      </c>
      <c r="W14" s="7">
        <f>$B14 * IFERROR(VLOOKUP("industry|PM25|Minor restricted activity days", US_national_yearly!$D:$AM, 31, FALSE) / VLOOKUP("industry|PM25|Minor restricted activity days", US_national_yearly!$D:$AM, 10, FALSE), 1)</f>
        <v>47.103335564968354</v>
      </c>
      <c r="X14" s="7">
        <f>$B14 * IFERROR(VLOOKUP("industry|PM25|Minor restricted activity days", US_national_yearly!$D:$AM, 32, FALSE) / VLOOKUP("industry|PM25|Minor restricted activity days", US_national_yearly!$D:$AM, 10, FALSE), 1)</f>
        <v>47.408063360414069</v>
      </c>
      <c r="Y14" s="7">
        <f>$B14 * IFERROR(VLOOKUP("industry|PM25|Minor restricted activity days", US_national_yearly!$D:$AM, 33, FALSE) / VLOOKUP("industry|PM25|Minor restricted activity days", US_national_yearly!$D:$AM, 10, FALSE), 1)</f>
        <v>47.71279115585979</v>
      </c>
      <c r="Z14" s="7">
        <f>$B14 * IFERROR(VLOOKUP("industry|PM25|Minor restricted activity days", US_national_yearly!$D:$AM, 34, FALSE) / VLOOKUP("industry|PM25|Minor restricted activity days", US_national_yearly!$D:$AM, 10, FALSE), 1)</f>
        <v>48.017518951305512</v>
      </c>
      <c r="AA14" s="7">
        <f>$B14 * IFERROR(VLOOKUP("industry|PM25|Minor restricted activity days", US_national_yearly!$D:$AM, 35, FALSE) / VLOOKUP("industry|PM25|Minor restricted activity days", US_national_yearly!$D:$AM, 10, FALSE), 1)</f>
        <v>48.322246746751233</v>
      </c>
      <c r="AB14" s="7">
        <f>$B14 * IFERROR(VLOOKUP("industry|PM25|Minor restricted activity days", US_national_yearly!$D:$AM, 36, FALSE) / VLOOKUP("industry|PM25|Minor restricted activity days", US_national_yearly!$D:$AM, 10, FALSE), 1)</f>
        <v>48.626974542196955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7.0862815522460112</v>
      </c>
      <c r="C15" s="7">
        <f>$B15 * IFERROR(VLOOKUP("industry|PM25|Work loss days", US_national_yearly!$D:$AM, 11, FALSE) / VLOOKUP("industry|PM25|Work loss days", US_national_yearly!$D:$AM, 10, FALSE), 1)</f>
        <v>7.1082518701965851</v>
      </c>
      <c r="D15" s="7">
        <f>$B15 * IFERROR(VLOOKUP("industry|PM25|Work loss days", US_national_yearly!$D:$AM, 12, FALSE) / VLOOKUP("industry|PM25|Work loss days", US_national_yearly!$D:$AM, 10, FALSE), 1)</f>
        <v>7.1302221881471599</v>
      </c>
      <c r="E15" s="7">
        <f>$B15 * IFERROR(VLOOKUP("industry|PM25|Work loss days", US_national_yearly!$D:$AM, 13, FALSE) / VLOOKUP("industry|PM25|Work loss days", US_national_yearly!$D:$AM, 10, FALSE), 1)</f>
        <v>7.152192506097732</v>
      </c>
      <c r="F15" s="7">
        <f>$B15 * IFERROR(VLOOKUP("industry|PM25|Work loss days", US_national_yearly!$D:$AM, 14, FALSE) / VLOOKUP("industry|PM25|Work loss days", US_national_yearly!$D:$AM, 10, FALSE), 1)</f>
        <v>7.1741628240483069</v>
      </c>
      <c r="G15" s="7">
        <f>$B15 * IFERROR(VLOOKUP("industry|PM25|Work loss days", US_national_yearly!$D:$AM, 15, FALSE) / VLOOKUP("industry|PM25|Work loss days", US_national_yearly!$D:$AM, 10, FALSE), 1)</f>
        <v>7.2028460360996771</v>
      </c>
      <c r="H15" s="7">
        <f>$B15 * IFERROR(VLOOKUP("industry|PM25|Work loss days", US_national_yearly!$D:$AM, 16, FALSE) / VLOOKUP("industry|PM25|Work loss days", US_national_yearly!$D:$AM, 10, FALSE), 1)</f>
        <v>7.2315292481510483</v>
      </c>
      <c r="I15" s="7">
        <f>$B15 * IFERROR(VLOOKUP("industry|PM25|Work loss days", US_national_yearly!$D:$AM, 17, FALSE) / VLOOKUP("industry|PM25|Work loss days", US_national_yearly!$D:$AM, 10, FALSE), 1)</f>
        <v>7.2735305994228128</v>
      </c>
      <c r="J15" s="7">
        <f>$B15 * IFERROR(VLOOKUP("industry|PM25|Work loss days", US_national_yearly!$D:$AM, 18, FALSE) / VLOOKUP("industry|PM25|Work loss days", US_national_yearly!$D:$AM, 10, FALSE), 1)</f>
        <v>7.3155319506945773</v>
      </c>
      <c r="K15" s="7">
        <f>$B15 * IFERROR(VLOOKUP("industry|PM25|Work loss days", US_national_yearly!$D:$AM, 19, FALSE) / VLOOKUP("industry|PM25|Work loss days", US_national_yearly!$D:$AM, 10, FALSE), 1)</f>
        <v>7.3575333019663409</v>
      </c>
      <c r="L15" s="7">
        <f>$B15 * IFERROR(VLOOKUP("industry|PM25|Work loss days", US_national_yearly!$D:$AM, 20, FALSE) / VLOOKUP("industry|PM25|Work loss days", US_national_yearly!$D:$AM, 10, FALSE), 1)</f>
        <v>7.3995346532381054</v>
      </c>
      <c r="M15" s="7">
        <f>$B15 * IFERROR(VLOOKUP("industry|PM25|Work loss days", US_national_yearly!$D:$AM, 21, FALSE) / VLOOKUP("industry|PM25|Work loss days", US_national_yearly!$D:$AM, 10, FALSE), 1)</f>
        <v>7.4415360045098708</v>
      </c>
      <c r="N15" s="7">
        <f>$B15 * IFERROR(VLOOKUP("industry|PM25|Work loss days", US_national_yearly!$D:$AM, 22, FALSE) / VLOOKUP("industry|PM25|Work loss days", US_national_yearly!$D:$AM, 10, FALSE), 1)</f>
        <v>7.4945361968062558</v>
      </c>
      <c r="O15" s="7">
        <f>$B15 * IFERROR(VLOOKUP("industry|PM25|Work loss days", US_national_yearly!$D:$AM, 23, FALSE) / VLOOKUP("industry|PM25|Work loss days", US_national_yearly!$D:$AM, 10, FALSE), 1)</f>
        <v>7.5475363891026417</v>
      </c>
      <c r="P15" s="7">
        <f>$B15 * IFERROR(VLOOKUP("industry|PM25|Work loss days", US_national_yearly!$D:$AM, 24, FALSE) / VLOOKUP("industry|PM25|Work loss days", US_national_yearly!$D:$AM, 10, FALSE), 1)</f>
        <v>7.6005365813990249</v>
      </c>
      <c r="Q15" s="7">
        <f>$B15 * IFERROR(VLOOKUP("industry|PM25|Work loss days", US_national_yearly!$D:$AM, 25, FALSE) / VLOOKUP("industry|PM25|Work loss days", US_national_yearly!$D:$AM, 10, FALSE), 1)</f>
        <v>7.6535367736954107</v>
      </c>
      <c r="R15" s="7">
        <f>$B15 * IFERROR(VLOOKUP("industry|PM25|Work loss days", US_national_yearly!$D:$AM, 26, FALSE) / VLOOKUP("industry|PM25|Work loss days", US_national_yearly!$D:$AM, 10, FALSE), 1)</f>
        <v>7.7065369659917948</v>
      </c>
      <c r="S15" s="7">
        <f>$B15 * IFERROR(VLOOKUP("industry|PM25|Work loss days", US_national_yearly!$D:$AM, 27, FALSE) / VLOOKUP("industry|PM25|Work loss days", US_national_yearly!$D:$AM, 10, FALSE), 1)</f>
        <v>7.7653066654920249</v>
      </c>
      <c r="T15" s="7">
        <f>$B15 * IFERROR(VLOOKUP("industry|PM25|Work loss days", US_national_yearly!$D:$AM, 28, FALSE) / VLOOKUP("industry|PM25|Work loss days", US_national_yearly!$D:$AM, 10, FALSE), 1)</f>
        <v>7.824076364992254</v>
      </c>
      <c r="U15" s="7">
        <f>$B15 * IFERROR(VLOOKUP("industry|PM25|Work loss days", US_national_yearly!$D:$AM, 29, FALSE) / VLOOKUP("industry|PM25|Work loss days", US_national_yearly!$D:$AM, 10, FALSE), 1)</f>
        <v>7.8828460644924832</v>
      </c>
      <c r="V15" s="7">
        <f>$B15 * IFERROR(VLOOKUP("industry|PM25|Work loss days", US_national_yearly!$D:$AM, 30, FALSE) / VLOOKUP("industry|PM25|Work loss days", US_national_yearly!$D:$AM, 10, FALSE), 1)</f>
        <v>7.9416157639927114</v>
      </c>
      <c r="W15" s="7">
        <f>$B15 * IFERROR(VLOOKUP("industry|PM25|Work loss days", US_national_yearly!$D:$AM, 31, FALSE) / VLOOKUP("industry|PM25|Work loss days", US_national_yearly!$D:$AM, 10, FALSE), 1)</f>
        <v>8.0003854634929414</v>
      </c>
      <c r="X15" s="7">
        <f>$B15 * IFERROR(VLOOKUP("industry|PM25|Work loss days", US_national_yearly!$D:$AM, 32, FALSE) / VLOOKUP("industry|PM25|Work loss days", US_national_yearly!$D:$AM, 10, FALSE), 1)</f>
        <v>8.0526100691289528</v>
      </c>
      <c r="Y15" s="7">
        <f>$B15 * IFERROR(VLOOKUP("industry|PM25|Work loss days", US_national_yearly!$D:$AM, 33, FALSE) / VLOOKUP("industry|PM25|Work loss days", US_national_yearly!$D:$AM, 10, FALSE), 1)</f>
        <v>8.1048346747649642</v>
      </c>
      <c r="Z15" s="7">
        <f>$B15 * IFERROR(VLOOKUP("industry|PM25|Work loss days", US_national_yearly!$D:$AM, 34, FALSE) / VLOOKUP("industry|PM25|Work loss days", US_national_yearly!$D:$AM, 10, FALSE), 1)</f>
        <v>8.1570592804009756</v>
      </c>
      <c r="AA15" s="7">
        <f>$B15 * IFERROR(VLOOKUP("industry|PM25|Work loss days", US_national_yearly!$D:$AM, 35, FALSE) / VLOOKUP("industry|PM25|Work loss days", US_national_yearly!$D:$AM, 10, FALSE), 1)</f>
        <v>8.2092838860369852</v>
      </c>
      <c r="AB15" s="7">
        <f>$B15 * IFERROR(VLOOKUP("industry|PM25|Work loss days", US_national_yearly!$D:$AM, 36, FALSE) / VLOOKUP("industry|PM25|Work loss days", US_national_yearly!$D:$AM, 10, FALSE), 1)</f>
        <v>8.2615084916729984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9.2565576670350924E-3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9.5334272414250801E-3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9.8102968158150661E-3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1.0087166390205054E-2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1.0364035964595038E-2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1.0629395495244999E-2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1.0894755025894959E-2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1.1122589437576715E-2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1.1350423849258467E-2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1.1578258260940224E-2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1.180609267262198E-2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1.2033927084303734E-2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1.2186121330276554E-2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1.233831557624937E-2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1.2490509822222188E-2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1.2642704068195006E-2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1.2794898314167824E-2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1.2876440300367333E-2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1.2957982286566841E-2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1.3039524272766351E-2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1.3121066258965856E-2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1.3202608245165365E-2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1.325860268316051E-2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1.3314597121155652E-2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1.3370591559150796E-2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1.3426585997145938E-2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1.3482580435141082E-2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5.4144712128733575E-3</v>
      </c>
      <c r="C2" s="7">
        <f>$B2 * IFERROR(VLOOKUP("industry|NOx|Premature mortality", US_national_yearly!$D:$AM, 11, FALSE) / VLOOKUP("industry|NOx|Premature mortality", US_national_yearly!$D:$AM, 10, FALSE), 1)</f>
        <v>5.4945335775159598E-3</v>
      </c>
      <c r="D2" s="7">
        <f>$B2 * IFERROR(VLOOKUP("industry|NOx|Premature mortality", US_national_yearly!$D:$AM, 12, FALSE) / VLOOKUP("industry|NOx|Premature mortality", US_national_yearly!$D:$AM, 10, FALSE), 1)</f>
        <v>5.5745959421585637E-3</v>
      </c>
      <c r="E2" s="7">
        <f>$B2 * IFERROR(VLOOKUP("industry|NOx|Premature mortality", US_national_yearly!$D:$AM, 13, FALSE) / VLOOKUP("industry|NOx|Premature mortality", US_national_yearly!$D:$AM, 10, FALSE), 1)</f>
        <v>5.6546583068011668E-3</v>
      </c>
      <c r="F2" s="7">
        <f>$B2 * IFERROR(VLOOKUP("industry|NOx|Premature mortality", US_national_yearly!$D:$AM, 14, FALSE) / VLOOKUP("industry|NOx|Premature mortality", US_national_yearly!$D:$AM, 10, FALSE), 1)</f>
        <v>5.7347206714437708E-3</v>
      </c>
      <c r="G2" s="7">
        <f>$B2 * IFERROR(VLOOKUP("industry|NOx|Premature mortality", US_national_yearly!$D:$AM, 15, FALSE) / VLOOKUP("industry|NOx|Premature mortality", US_national_yearly!$D:$AM, 10, FALSE), 1)</f>
        <v>5.8783024732016994E-3</v>
      </c>
      <c r="H2" s="7">
        <f>$B2 * IFERROR(VLOOKUP("industry|NOx|Premature mortality", US_national_yearly!$D:$AM, 16, FALSE) / VLOOKUP("industry|NOx|Premature mortality", US_national_yearly!$D:$AM, 10, FALSE), 1)</f>
        <v>6.0218842749596288E-3</v>
      </c>
      <c r="I2" s="7">
        <f>$B2 * IFERROR(VLOOKUP("industry|NOx|Premature mortality", US_national_yearly!$D:$AM, 17, FALSE) / VLOOKUP("industry|NOx|Premature mortality", US_national_yearly!$D:$AM, 10, FALSE), 1)</f>
        <v>6.1150306210690673E-3</v>
      </c>
      <c r="J2" s="7">
        <f>$B2 * IFERROR(VLOOKUP("industry|NOx|Premature mortality", US_national_yearly!$D:$AM, 18, FALSE) / VLOOKUP("industry|NOx|Premature mortality", US_national_yearly!$D:$AM, 10, FALSE), 1)</f>
        <v>6.2081769671785058E-3</v>
      </c>
      <c r="K2" s="7">
        <f>$B2 * IFERROR(VLOOKUP("industry|NOx|Premature mortality", US_national_yearly!$D:$AM, 19, FALSE) / VLOOKUP("industry|NOx|Premature mortality", US_national_yearly!$D:$AM, 10, FALSE), 1)</f>
        <v>6.3013233132879461E-3</v>
      </c>
      <c r="L2" s="7">
        <f>$B2 * IFERROR(VLOOKUP("industry|NOx|Premature mortality", US_national_yearly!$D:$AM, 20, FALSE) / VLOOKUP("industry|NOx|Premature mortality", US_national_yearly!$D:$AM, 10, FALSE), 1)</f>
        <v>6.3944696593973846E-3</v>
      </c>
      <c r="M2" s="7">
        <f>$B2 * IFERROR(VLOOKUP("industry|NOx|Premature mortality", US_national_yearly!$D:$AM, 21, FALSE) / VLOOKUP("industry|NOx|Premature mortality", US_national_yearly!$D:$AM, 10, FALSE), 1)</f>
        <v>6.4876160055068232E-3</v>
      </c>
      <c r="N2" s="7">
        <f>$B2 * IFERROR(VLOOKUP("industry|NOx|Premature mortality", US_national_yearly!$D:$AM, 22, FALSE) / VLOOKUP("industry|NOx|Premature mortality", US_national_yearly!$D:$AM, 10, FALSE), 1)</f>
        <v>6.556929041720584E-3</v>
      </c>
      <c r="O2" s="7">
        <f>$B2 * IFERROR(VLOOKUP("industry|NOx|Premature mortality", US_national_yearly!$D:$AM, 23, FALSE) / VLOOKUP("industry|NOx|Premature mortality", US_national_yearly!$D:$AM, 10, FALSE), 1)</f>
        <v>6.6262420779343431E-3</v>
      </c>
      <c r="P2" s="7">
        <f>$B2 * IFERROR(VLOOKUP("industry|NOx|Premature mortality", US_national_yearly!$D:$AM, 24, FALSE) / VLOOKUP("industry|NOx|Premature mortality", US_national_yearly!$D:$AM, 10, FALSE), 1)</f>
        <v>6.6955551141481004E-3</v>
      </c>
      <c r="Q2" s="7">
        <f>$B2 * IFERROR(VLOOKUP("industry|NOx|Premature mortality", US_national_yearly!$D:$AM, 25, FALSE) / VLOOKUP("industry|NOx|Premature mortality", US_national_yearly!$D:$AM, 10, FALSE), 1)</f>
        <v>6.7648681503618595E-3</v>
      </c>
      <c r="R2" s="7">
        <f>$B2 * IFERROR(VLOOKUP("industry|NOx|Premature mortality", US_national_yearly!$D:$AM, 26, FALSE) / VLOOKUP("industry|NOx|Premature mortality", US_national_yearly!$D:$AM, 10, FALSE), 1)</f>
        <v>6.8341811865756186E-3</v>
      </c>
      <c r="S2" s="7">
        <f>$B2 * IFERROR(VLOOKUP("industry|NOx|Premature mortality", US_national_yearly!$D:$AM, 27, FALSE) / VLOOKUP("industry|NOx|Premature mortality", US_national_yearly!$D:$AM, 10, FALSE), 1)</f>
        <v>6.8664575209740784E-3</v>
      </c>
      <c r="T2" s="7">
        <f>$B2 * IFERROR(VLOOKUP("industry|NOx|Premature mortality", US_national_yearly!$D:$AM, 28, FALSE) / VLOOKUP("industry|NOx|Premature mortality", US_national_yearly!$D:$AM, 10, FALSE), 1)</f>
        <v>6.8987338553725373E-3</v>
      </c>
      <c r="U2" s="7">
        <f>$B2 * IFERROR(VLOOKUP("industry|NOx|Premature mortality", US_national_yearly!$D:$AM, 29, FALSE) / VLOOKUP("industry|NOx|Premature mortality", US_national_yearly!$D:$AM, 10, FALSE), 1)</f>
        <v>6.9310101897709963E-3</v>
      </c>
      <c r="V2" s="7">
        <f>$B2 * IFERROR(VLOOKUP("industry|NOx|Premature mortality", US_national_yearly!$D:$AM, 30, FALSE) / VLOOKUP("industry|NOx|Premature mortality", US_national_yearly!$D:$AM, 10, FALSE), 1)</f>
        <v>6.9632865241694561E-3</v>
      </c>
      <c r="W2" s="7">
        <f>$B2 * IFERROR(VLOOKUP("industry|NOx|Premature mortality", US_national_yearly!$D:$AM, 31, FALSE) / VLOOKUP("industry|NOx|Premature mortality", US_national_yearly!$D:$AM, 10, FALSE), 1)</f>
        <v>6.9955628585679141E-3</v>
      </c>
      <c r="X2" s="7">
        <f>$B2 * IFERROR(VLOOKUP("industry|NOx|Premature mortality", US_national_yearly!$D:$AM, 32, FALSE) / VLOOKUP("industry|NOx|Premature mortality", US_national_yearly!$D:$AM, 10, FALSE), 1)</f>
        <v>6.9980295192680507E-3</v>
      </c>
      <c r="Y2" s="7">
        <f>$B2 * IFERROR(VLOOKUP("industry|NOx|Premature mortality", US_national_yearly!$D:$AM, 33, FALSE) / VLOOKUP("industry|NOx|Premature mortality", US_national_yearly!$D:$AM, 10, FALSE), 1)</f>
        <v>7.0004961799681872E-3</v>
      </c>
      <c r="Z2" s="7">
        <f>$B2 * IFERROR(VLOOKUP("industry|NOx|Premature mortality", US_national_yearly!$D:$AM, 34, FALSE) / VLOOKUP("industry|NOx|Premature mortality", US_national_yearly!$D:$AM, 10, FALSE), 1)</f>
        <v>7.0029628406683237E-3</v>
      </c>
      <c r="AA2" s="7">
        <f>$B2 * IFERROR(VLOOKUP("industry|NOx|Premature mortality", US_national_yearly!$D:$AM, 35, FALSE) / VLOOKUP("industry|NOx|Premature mortality", US_national_yearly!$D:$AM, 10, FALSE), 1)</f>
        <v>7.0054295013684603E-3</v>
      </c>
      <c r="AB2" s="7">
        <f>$B2 * IFERROR(VLOOKUP("industry|NOx|Premature mortality", US_national_yearly!$D:$AM, 36, FALSE) / VLOOKUP("industry|NOx|Premature mortality", US_national_yearly!$D:$AM, 10, FALSE), 1)</f>
        <v>7.0078961620685968E-3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1.2599696381954191E-5</v>
      </c>
      <c r="C3" s="7">
        <f>$B3 * IFERROR(VLOOKUP("industry|NOx|Infant mortality", US_national_yearly!$D:$AM, 11, FALSE) / VLOOKUP("industry|NOx|Infant mortality", US_national_yearly!$D:$AM, 10, FALSE), 1)</f>
        <v>1.247903120118847E-5</v>
      </c>
      <c r="D3" s="7">
        <f>$B3 * IFERROR(VLOOKUP("industry|NOx|Infant mortality", US_national_yearly!$D:$AM, 12, FALSE) / VLOOKUP("industry|NOx|Infant mortality", US_national_yearly!$D:$AM, 10, FALSE), 1)</f>
        <v>1.2358366020422746E-5</v>
      </c>
      <c r="E3" s="7">
        <f>$B3 * IFERROR(VLOOKUP("industry|NOx|Infant mortality", US_national_yearly!$D:$AM, 13, FALSE) / VLOOKUP("industry|NOx|Infant mortality", US_national_yearly!$D:$AM, 10, FALSE), 1)</f>
        <v>1.2237700839657025E-5</v>
      </c>
      <c r="F3" s="7">
        <f>$B3 * IFERROR(VLOOKUP("industry|NOx|Infant mortality", US_national_yearly!$D:$AM, 14, FALSE) / VLOOKUP("industry|NOx|Infant mortality", US_national_yearly!$D:$AM, 10, FALSE), 1)</f>
        <v>1.2117035658891302E-5</v>
      </c>
      <c r="G3" s="7">
        <f>$B3 * IFERROR(VLOOKUP("industry|NOx|Infant mortality", US_national_yearly!$D:$AM, 15, FALSE) / VLOOKUP("industry|NOx|Infant mortality", US_national_yearly!$D:$AM, 10, FALSE), 1)</f>
        <v>8.0370872028471478E-6</v>
      </c>
      <c r="H3" s="7">
        <f>$B3 * IFERROR(VLOOKUP("industry|NOx|Infant mortality", US_national_yearly!$D:$AM, 16, FALSE) / VLOOKUP("industry|NOx|Infant mortality", US_national_yearly!$D:$AM, 10, FALSE), 1)</f>
        <v>3.9571387468029944E-6</v>
      </c>
      <c r="I3" s="7">
        <f>$B3 * IFERROR(VLOOKUP("industry|NOx|Infant mortality", US_national_yearly!$D:$AM, 17, FALSE) / VLOOKUP("industry|NOx|Infant mortality", US_national_yearly!$D:$AM, 10, FALSE), 1)</f>
        <v>3.9286094849848055E-6</v>
      </c>
      <c r="J3" s="7">
        <f>$B3 * IFERROR(VLOOKUP("industry|NOx|Infant mortality", US_national_yearly!$D:$AM, 18, FALSE) / VLOOKUP("industry|NOx|Infant mortality", US_national_yearly!$D:$AM, 10, FALSE), 1)</f>
        <v>3.9000802231666174E-6</v>
      </c>
      <c r="K3" s="7">
        <f>$B3 * IFERROR(VLOOKUP("industry|NOx|Infant mortality", US_national_yearly!$D:$AM, 19, FALSE) / VLOOKUP("industry|NOx|Infant mortality", US_national_yearly!$D:$AM, 10, FALSE), 1)</f>
        <v>3.8715509613484293E-6</v>
      </c>
      <c r="L3" s="7">
        <f>$B3 * IFERROR(VLOOKUP("industry|NOx|Infant mortality", US_national_yearly!$D:$AM, 20, FALSE) / VLOOKUP("industry|NOx|Infant mortality", US_national_yearly!$D:$AM, 10, FALSE), 1)</f>
        <v>3.8430216995302396E-6</v>
      </c>
      <c r="M3" s="7">
        <f>$B3 * IFERROR(VLOOKUP("industry|NOx|Infant mortality", US_national_yearly!$D:$AM, 21, FALSE) / VLOOKUP("industry|NOx|Infant mortality", US_national_yearly!$D:$AM, 10, FALSE), 1)</f>
        <v>3.8144924377120511E-6</v>
      </c>
      <c r="N3" s="7">
        <f>$B3 * IFERROR(VLOOKUP("industry|NOx|Infant mortality", US_national_yearly!$D:$AM, 22, FALSE) / VLOOKUP("industry|NOx|Infant mortality", US_national_yearly!$D:$AM, 10, FALSE), 1)</f>
        <v>3.7952707079672736E-6</v>
      </c>
      <c r="O3" s="7">
        <f>$B3 * IFERROR(VLOOKUP("industry|NOx|Infant mortality", US_national_yearly!$D:$AM, 23, FALSE) / VLOOKUP("industry|NOx|Infant mortality", US_national_yearly!$D:$AM, 10, FALSE), 1)</f>
        <v>3.7760489782224952E-6</v>
      </c>
      <c r="P3" s="7">
        <f>$B3 * IFERROR(VLOOKUP("industry|NOx|Infant mortality", US_national_yearly!$D:$AM, 24, FALSE) / VLOOKUP("industry|NOx|Infant mortality", US_national_yearly!$D:$AM, 10, FALSE), 1)</f>
        <v>3.7568272484777176E-6</v>
      </c>
      <c r="Q3" s="7">
        <f>$B3 * IFERROR(VLOOKUP("industry|NOx|Infant mortality", US_national_yearly!$D:$AM, 25, FALSE) / VLOOKUP("industry|NOx|Infant mortality", US_national_yearly!$D:$AM, 10, FALSE), 1)</f>
        <v>3.7376055187329396E-6</v>
      </c>
      <c r="R3" s="7">
        <f>$B3 * IFERROR(VLOOKUP("industry|NOx|Infant mortality", US_national_yearly!$D:$AM, 26, FALSE) / VLOOKUP("industry|NOx|Infant mortality", US_national_yearly!$D:$AM, 10, FALSE), 1)</f>
        <v>3.7183837889881621E-6</v>
      </c>
      <c r="S3" s="7">
        <f>$B3 * IFERROR(VLOOKUP("industry|NOx|Infant mortality", US_national_yearly!$D:$AM, 27, FALSE) / VLOOKUP("industry|NOx|Infant mortality", US_national_yearly!$D:$AM, 10, FALSE), 1)</f>
        <v>3.6955583285637765E-6</v>
      </c>
      <c r="T3" s="7">
        <f>$B3 * IFERROR(VLOOKUP("industry|NOx|Infant mortality", US_national_yearly!$D:$AM, 28, FALSE) / VLOOKUP("industry|NOx|Infant mortality", US_national_yearly!$D:$AM, 10, FALSE), 1)</f>
        <v>3.6727328681393905E-6</v>
      </c>
      <c r="U3" s="7">
        <f>$B3 * IFERROR(VLOOKUP("industry|NOx|Infant mortality", US_national_yearly!$D:$AM, 29, FALSE) / VLOOKUP("industry|NOx|Infant mortality", US_national_yearly!$D:$AM, 10, FALSE), 1)</f>
        <v>3.6499074077150049E-6</v>
      </c>
      <c r="V3" s="7">
        <f>$B3 * IFERROR(VLOOKUP("industry|NOx|Infant mortality", US_national_yearly!$D:$AM, 30, FALSE) / VLOOKUP("industry|NOx|Infant mortality", US_national_yearly!$D:$AM, 10, FALSE), 1)</f>
        <v>3.6270819472906189E-6</v>
      </c>
      <c r="W3" s="7">
        <f>$B3 * IFERROR(VLOOKUP("industry|NOx|Infant mortality", US_national_yearly!$D:$AM, 31, FALSE) / VLOOKUP("industry|NOx|Infant mortality", US_national_yearly!$D:$AM, 10, FALSE), 1)</f>
        <v>3.6042564868662338E-6</v>
      </c>
      <c r="X3" s="7">
        <f>$B3 * IFERROR(VLOOKUP("industry|NOx|Infant mortality", US_national_yearly!$D:$AM, 32, FALSE) / VLOOKUP("industry|NOx|Infant mortality", US_national_yearly!$D:$AM, 10, FALSE), 1)</f>
        <v>3.5802872260014182E-6</v>
      </c>
      <c r="Y3" s="7">
        <f>$B3 * IFERROR(VLOOKUP("industry|NOx|Infant mortality", US_national_yearly!$D:$AM, 33, FALSE) / VLOOKUP("industry|NOx|Infant mortality", US_national_yearly!$D:$AM, 10, FALSE), 1)</f>
        <v>3.5563179651366031E-6</v>
      </c>
      <c r="Z3" s="7">
        <f>$B3 * IFERROR(VLOOKUP("industry|NOx|Infant mortality", US_national_yearly!$D:$AM, 34, FALSE) / VLOOKUP("industry|NOx|Infant mortality", US_national_yearly!$D:$AM, 10, FALSE), 1)</f>
        <v>3.532348704271788E-6</v>
      </c>
      <c r="AA3" s="7">
        <f>$B3 * IFERROR(VLOOKUP("industry|NOx|Infant mortality", US_national_yearly!$D:$AM, 35, FALSE) / VLOOKUP("industry|NOx|Infant mortality", US_national_yearly!$D:$AM, 10, FALSE), 1)</f>
        <v>3.5083794434069729E-6</v>
      </c>
      <c r="AB3" s="7">
        <f>$B3 * IFERROR(VLOOKUP("industry|NOx|Infant mortality", US_national_yearly!$D:$AM, 36, FALSE) / VLOOKUP("industry|NOx|Infant mortality", US_national_yearly!$D:$AM, 10, FALSE), 1)</f>
        <v>3.4844101825421578E-6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1.7868803099182574E-2</v>
      </c>
      <c r="C6" s="7">
        <f>$B6 * IFERROR(VLOOKUP("industry|NOx|Asthma symptoms cough", US_national_yearly!$D:$AM, 11, FALSE) / VLOOKUP("industry|NOx|Asthma symptoms cough", US_national_yearly!$D:$AM, 10, FALSE), 1)</f>
        <v>1.8113254388786547E-2</v>
      </c>
      <c r="D6" s="7">
        <f>$B6 * IFERROR(VLOOKUP("industry|NOx|Asthma symptoms cough", US_national_yearly!$D:$AM, 12, FALSE) / VLOOKUP("industry|NOx|Asthma symptoms cough", US_national_yearly!$D:$AM, 10, FALSE), 1)</f>
        <v>1.8357705678390516E-2</v>
      </c>
      <c r="E6" s="7">
        <f>$B6 * IFERROR(VLOOKUP("industry|NOx|Asthma symptoms cough", US_national_yearly!$D:$AM, 13, FALSE) / VLOOKUP("industry|NOx|Asthma symptoms cough", US_national_yearly!$D:$AM, 10, FALSE), 1)</f>
        <v>1.8602156967994488E-2</v>
      </c>
      <c r="F6" s="7">
        <f>$B6 * IFERROR(VLOOKUP("industry|NOx|Asthma symptoms cough", US_national_yearly!$D:$AM, 14, FALSE) / VLOOKUP("industry|NOx|Asthma symptoms cough", US_national_yearly!$D:$AM, 10, FALSE), 1)</f>
        <v>1.8846608257598461E-2</v>
      </c>
      <c r="G6" s="7">
        <f>$B6 * IFERROR(VLOOKUP("industry|NOx|Asthma symptoms cough", US_national_yearly!$D:$AM, 15, FALSE) / VLOOKUP("industry|NOx|Asthma symptoms cough", US_national_yearly!$D:$AM, 10, FALSE), 1)</f>
        <v>1.9042620268311466E-2</v>
      </c>
      <c r="H6" s="7">
        <f>$B6 * IFERROR(VLOOKUP("industry|NOx|Asthma symptoms cough", US_national_yearly!$D:$AM, 16, FALSE) / VLOOKUP("industry|NOx|Asthma symptoms cough", US_national_yearly!$D:$AM, 10, FALSE), 1)</f>
        <v>1.9238632279024479E-2</v>
      </c>
      <c r="I6" s="7">
        <f>$B6 * IFERROR(VLOOKUP("industry|NOx|Asthma symptoms cough", US_national_yearly!$D:$AM, 17, FALSE) / VLOOKUP("industry|NOx|Asthma symptoms cough", US_national_yearly!$D:$AM, 10, FALSE), 1)</f>
        <v>1.9306846196412191E-2</v>
      </c>
      <c r="J6" s="7">
        <f>$B6 * IFERROR(VLOOKUP("industry|NOx|Asthma symptoms cough", US_national_yearly!$D:$AM, 18, FALSE) / VLOOKUP("industry|NOx|Asthma symptoms cough", US_national_yearly!$D:$AM, 10, FALSE), 1)</f>
        <v>1.9375060113799907E-2</v>
      </c>
      <c r="K6" s="7">
        <f>$B6 * IFERROR(VLOOKUP("industry|NOx|Asthma symptoms cough", US_national_yearly!$D:$AM, 19, FALSE) / VLOOKUP("industry|NOx|Asthma symptoms cough", US_national_yearly!$D:$AM, 10, FALSE), 1)</f>
        <v>1.9443274031187618E-2</v>
      </c>
      <c r="L6" s="7">
        <f>$B6 * IFERROR(VLOOKUP("industry|NOx|Asthma symptoms cough", US_national_yearly!$D:$AM, 20, FALSE) / VLOOKUP("industry|NOx|Asthma symptoms cough", US_national_yearly!$D:$AM, 10, FALSE), 1)</f>
        <v>1.9511487948575337E-2</v>
      </c>
      <c r="M6" s="7">
        <f>$B6 * IFERROR(VLOOKUP("industry|NOx|Asthma symptoms cough", US_national_yearly!$D:$AM, 21, FALSE) / VLOOKUP("industry|NOx|Asthma symptoms cough", US_national_yearly!$D:$AM, 10, FALSE), 1)</f>
        <v>1.9579701865963053E-2</v>
      </c>
      <c r="N6" s="7">
        <f>$B6 * IFERROR(VLOOKUP("industry|NOx|Asthma symptoms cough", US_national_yearly!$D:$AM, 22, FALSE) / VLOOKUP("industry|NOx|Asthma symptoms cough", US_national_yearly!$D:$AM, 10, FALSE), 1)</f>
        <v>1.965756991481054E-2</v>
      </c>
      <c r="O6" s="7">
        <f>$B6 * IFERROR(VLOOKUP("industry|NOx|Asthma symptoms cough", US_national_yearly!$D:$AM, 23, FALSE) / VLOOKUP("industry|NOx|Asthma symptoms cough", US_national_yearly!$D:$AM, 10, FALSE), 1)</f>
        <v>1.9735437963658026E-2</v>
      </c>
      <c r="P6" s="7">
        <f>$B6 * IFERROR(VLOOKUP("industry|NOx|Asthma symptoms cough", US_national_yearly!$D:$AM, 24, FALSE) / VLOOKUP("industry|NOx|Asthma symptoms cough", US_national_yearly!$D:$AM, 10, FALSE), 1)</f>
        <v>1.9813306012505513E-2</v>
      </c>
      <c r="Q6" s="7">
        <f>$B6 * IFERROR(VLOOKUP("industry|NOx|Asthma symptoms cough", US_national_yearly!$D:$AM, 25, FALSE) / VLOOKUP("industry|NOx|Asthma symptoms cough", US_national_yearly!$D:$AM, 10, FALSE), 1)</f>
        <v>1.9891174061353004E-2</v>
      </c>
      <c r="R6" s="7">
        <f>$B6 * IFERROR(VLOOKUP("industry|NOx|Asthma symptoms cough", US_national_yearly!$D:$AM, 26, FALSE) / VLOOKUP("industry|NOx|Asthma symptoms cough", US_national_yearly!$D:$AM, 10, FALSE), 1)</f>
        <v>1.996904211020049E-2</v>
      </c>
      <c r="S6" s="7">
        <f>$B6 * IFERROR(VLOOKUP("industry|NOx|Asthma symptoms cough", US_national_yearly!$D:$AM, 27, FALSE) / VLOOKUP("industry|NOx|Asthma symptoms cough", US_national_yearly!$D:$AM, 10, FALSE), 1)</f>
        <v>2.0069488447863319E-2</v>
      </c>
      <c r="T6" s="7">
        <f>$B6 * IFERROR(VLOOKUP("industry|NOx|Asthma symptoms cough", US_national_yearly!$D:$AM, 28, FALSE) / VLOOKUP("industry|NOx|Asthma symptoms cough", US_national_yearly!$D:$AM, 10, FALSE), 1)</f>
        <v>2.0169934785526148E-2</v>
      </c>
      <c r="U6" s="7">
        <f>$B6 * IFERROR(VLOOKUP("industry|NOx|Asthma symptoms cough", US_national_yearly!$D:$AM, 29, FALSE) / VLOOKUP("industry|NOx|Asthma symptoms cough", US_national_yearly!$D:$AM, 10, FALSE), 1)</f>
        <v>2.0270381123188977E-2</v>
      </c>
      <c r="V6" s="7">
        <f>$B6 * IFERROR(VLOOKUP("industry|NOx|Asthma symptoms cough", US_national_yearly!$D:$AM, 30, FALSE) / VLOOKUP("industry|NOx|Asthma symptoms cough", US_national_yearly!$D:$AM, 10, FALSE), 1)</f>
        <v>2.0370827460851799E-2</v>
      </c>
      <c r="W6" s="7">
        <f>$B6 * IFERROR(VLOOKUP("industry|NOx|Asthma symptoms cough", US_national_yearly!$D:$AM, 31, FALSE) / VLOOKUP("industry|NOx|Asthma symptoms cough", US_national_yearly!$D:$AM, 10, FALSE), 1)</f>
        <v>2.0471273798514631E-2</v>
      </c>
      <c r="X6" s="7">
        <f>$B6 * IFERROR(VLOOKUP("industry|NOx|Asthma symptoms cough", US_national_yearly!$D:$AM, 32, FALSE) / VLOOKUP("industry|NOx|Asthma symptoms cough", US_national_yearly!$D:$AM, 10, FALSE), 1)</f>
        <v>2.0564395277712571E-2</v>
      </c>
      <c r="Y6" s="7">
        <f>$B6 * IFERROR(VLOOKUP("industry|NOx|Asthma symptoms cough", US_national_yearly!$D:$AM, 33, FALSE) / VLOOKUP("industry|NOx|Asthma symptoms cough", US_national_yearly!$D:$AM, 10, FALSE), 1)</f>
        <v>2.0657516756910507E-2</v>
      </c>
      <c r="Z6" s="7">
        <f>$B6 * IFERROR(VLOOKUP("industry|NOx|Asthma symptoms cough", US_national_yearly!$D:$AM, 34, FALSE) / VLOOKUP("industry|NOx|Asthma symptoms cough", US_national_yearly!$D:$AM, 10, FALSE), 1)</f>
        <v>2.0750638236108447E-2</v>
      </c>
      <c r="AA6" s="7">
        <f>$B6 * IFERROR(VLOOKUP("industry|NOx|Asthma symptoms cough", US_national_yearly!$D:$AM, 35, FALSE) / VLOOKUP("industry|NOx|Asthma symptoms cough", US_national_yearly!$D:$AM, 10, FALSE), 1)</f>
        <v>2.084375971530638E-2</v>
      </c>
      <c r="AB6" s="7">
        <f>$B6 * IFERROR(VLOOKUP("industry|NOx|Asthma symptoms cough", US_national_yearly!$D:$AM, 36, FALSE) / VLOOKUP("industry|NOx|Asthma symptoms cough", US_national_yearly!$D:$AM, 10, FALSE), 1)</f>
        <v>2.093688119450432E-2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2.4062269484036541E-2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2.4391449494642344E-2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2.4720629505248146E-2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2.5049809515853949E-2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2.5378989526459755E-2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2.5642940826401735E-2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2.5906892126343718E-2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2.5998749517799204E-2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2.6090606909254691E-2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2.6182464300710178E-2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2.6274321692165675E-2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2.6366179083621162E-2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2.6471036803843682E-2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2.6575894524066206E-2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2.668075224428873E-2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2.6785609964511257E-2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2.6890467684733778E-2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2.7025729504843603E-2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2.7160991324953428E-2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2.7296253145063253E-2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2.7431514965173081E-2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2.7566776785282899E-2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2.769217489382168E-2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2.7817573002360457E-2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2.7942971110899231E-2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2.8068369219438009E-2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2.8193767327976786E-2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3.676544704459489E-2</v>
      </c>
      <c r="C8" s="7">
        <f>$B8 * IFERROR(VLOOKUP("industry|NOx|Asthma symptoms wheeze", US_national_yearly!$D:$AM, 11, FALSE) / VLOOKUP("industry|NOx|Asthma symptoms wheeze", US_national_yearly!$D:$AM, 10, FALSE), 1)</f>
        <v>3.7268410835683601E-2</v>
      </c>
      <c r="D8" s="7">
        <f>$B8 * IFERROR(VLOOKUP("industry|NOx|Asthma symptoms wheeze", US_national_yearly!$D:$AM, 12, FALSE) / VLOOKUP("industry|NOx|Asthma symptoms wheeze", US_national_yearly!$D:$AM, 10, FALSE), 1)</f>
        <v>3.7771374626772311E-2</v>
      </c>
      <c r="E8" s="7">
        <f>$B8 * IFERROR(VLOOKUP("industry|NOx|Asthma symptoms wheeze", US_national_yearly!$D:$AM, 13, FALSE) / VLOOKUP("industry|NOx|Asthma symptoms wheeze", US_national_yearly!$D:$AM, 10, FALSE), 1)</f>
        <v>3.8274338417861022E-2</v>
      </c>
      <c r="F8" s="7">
        <f>$B8 * IFERROR(VLOOKUP("industry|NOx|Asthma symptoms wheeze", US_national_yearly!$D:$AM, 14, FALSE) / VLOOKUP("industry|NOx|Asthma symptoms wheeze", US_national_yearly!$D:$AM, 10, FALSE), 1)</f>
        <v>3.8777302208949725E-2</v>
      </c>
      <c r="G8" s="7">
        <f>$B8 * IFERROR(VLOOKUP("industry|NOx|Asthma symptoms wheeze", US_national_yearly!$D:$AM, 15, FALSE) / VLOOKUP("industry|NOx|Asthma symptoms wheeze", US_national_yearly!$D:$AM, 10, FALSE), 1)</f>
        <v>3.9180601140985712E-2</v>
      </c>
      <c r="H8" s="7">
        <f>$B8 * IFERROR(VLOOKUP("industry|NOx|Asthma symptoms wheeze", US_national_yearly!$D:$AM, 16, FALSE) / VLOOKUP("industry|NOx|Asthma symptoms wheeze", US_national_yearly!$D:$AM, 10, FALSE), 1)</f>
        <v>3.9583900073021677E-2</v>
      </c>
      <c r="I8" s="7">
        <f>$B8 * IFERROR(VLOOKUP("industry|NOx|Asthma symptoms wheeze", US_national_yearly!$D:$AM, 17, FALSE) / VLOOKUP("industry|NOx|Asthma symptoms wheeze", US_national_yearly!$D:$AM, 10, FALSE), 1)</f>
        <v>3.9724251676760212E-2</v>
      </c>
      <c r="J8" s="7">
        <f>$B8 * IFERROR(VLOOKUP("industry|NOx|Asthma symptoms wheeze", US_national_yearly!$D:$AM, 18, FALSE) / VLOOKUP("industry|NOx|Asthma symptoms wheeze", US_national_yearly!$D:$AM, 10, FALSE), 1)</f>
        <v>3.9864603280498734E-2</v>
      </c>
      <c r="K8" s="7">
        <f>$B8 * IFERROR(VLOOKUP("industry|NOx|Asthma symptoms wheeze", US_national_yearly!$D:$AM, 19, FALSE) / VLOOKUP("industry|NOx|Asthma symptoms wheeze", US_national_yearly!$D:$AM, 10, FALSE), 1)</f>
        <v>4.0004954884237262E-2</v>
      </c>
      <c r="L8" s="7">
        <f>$B8 * IFERROR(VLOOKUP("industry|NOx|Asthma symptoms wheeze", US_national_yearly!$D:$AM, 20, FALSE) / VLOOKUP("industry|NOx|Asthma symptoms wheeze", US_national_yearly!$D:$AM, 10, FALSE), 1)</f>
        <v>4.0145306487975776E-2</v>
      </c>
      <c r="M8" s="7">
        <f>$B8 * IFERROR(VLOOKUP("industry|NOx|Asthma symptoms wheeze", US_national_yearly!$D:$AM, 21, FALSE) / VLOOKUP("industry|NOx|Asthma symptoms wheeze", US_national_yearly!$D:$AM, 10, FALSE), 1)</f>
        <v>4.0285658091714312E-2</v>
      </c>
      <c r="N8" s="7">
        <f>$B8 * IFERROR(VLOOKUP("industry|NOx|Asthma symptoms wheeze", US_national_yearly!$D:$AM, 22, FALSE) / VLOOKUP("industry|NOx|Asthma symptoms wheeze", US_national_yearly!$D:$AM, 10, FALSE), 1)</f>
        <v>4.0445873278760897E-2</v>
      </c>
      <c r="O8" s="7">
        <f>$B8 * IFERROR(VLOOKUP("industry|NOx|Asthma symptoms wheeze", US_national_yearly!$D:$AM, 23, FALSE) / VLOOKUP("industry|NOx|Asthma symptoms wheeze", US_national_yearly!$D:$AM, 10, FALSE), 1)</f>
        <v>4.0606088465807481E-2</v>
      </c>
      <c r="P8" s="7">
        <f>$B8 * IFERROR(VLOOKUP("industry|NOx|Asthma symptoms wheeze", US_national_yearly!$D:$AM, 24, FALSE) / VLOOKUP("industry|NOx|Asthma symptoms wheeze", US_national_yearly!$D:$AM, 10, FALSE), 1)</f>
        <v>4.0766303652854066E-2</v>
      </c>
      <c r="Q8" s="7">
        <f>$B8 * IFERROR(VLOOKUP("industry|NOx|Asthma symptoms wheeze", US_national_yearly!$D:$AM, 25, FALSE) / VLOOKUP("industry|NOx|Asthma symptoms wheeze", US_national_yearly!$D:$AM, 10, FALSE), 1)</f>
        <v>4.0926518839900651E-2</v>
      </c>
      <c r="R8" s="7">
        <f>$B8 * IFERROR(VLOOKUP("industry|NOx|Asthma symptoms wheeze", US_national_yearly!$D:$AM, 26, FALSE) / VLOOKUP("industry|NOx|Asthma symptoms wheeze", US_national_yearly!$D:$AM, 10, FALSE), 1)</f>
        <v>4.1086734026947236E-2</v>
      </c>
      <c r="S8" s="7">
        <f>$B8 * IFERROR(VLOOKUP("industry|NOx|Asthma symptoms wheeze", US_national_yearly!$D:$AM, 27, FALSE) / VLOOKUP("industry|NOx|Asthma symptoms wheeze", US_national_yearly!$D:$AM, 10, FALSE), 1)</f>
        <v>4.1293404529285628E-2</v>
      </c>
      <c r="T8" s="7">
        <f>$B8 * IFERROR(VLOOKUP("industry|NOx|Asthma symptoms wheeze", US_national_yearly!$D:$AM, 28, FALSE) / VLOOKUP("industry|NOx|Asthma symptoms wheeze", US_national_yearly!$D:$AM, 10, FALSE), 1)</f>
        <v>4.1500075031624006E-2</v>
      </c>
      <c r="U8" s="7">
        <f>$B8 * IFERROR(VLOOKUP("industry|NOx|Asthma symptoms wheeze", US_national_yearly!$D:$AM, 29, FALSE) / VLOOKUP("industry|NOx|Asthma symptoms wheeze", US_national_yearly!$D:$AM, 10, FALSE), 1)</f>
        <v>4.1706745533962392E-2</v>
      </c>
      <c r="V8" s="7">
        <f>$B8 * IFERROR(VLOOKUP("industry|NOx|Asthma symptoms wheeze", US_national_yearly!$D:$AM, 30, FALSE) / VLOOKUP("industry|NOx|Asthma symptoms wheeze", US_national_yearly!$D:$AM, 10, FALSE), 1)</f>
        <v>4.191341603630077E-2</v>
      </c>
      <c r="W8" s="7">
        <f>$B8 * IFERROR(VLOOKUP("industry|NOx|Asthma symptoms wheeze", US_national_yearly!$D:$AM, 31, FALSE) / VLOOKUP("industry|NOx|Asthma symptoms wheeze", US_national_yearly!$D:$AM, 10, FALSE), 1)</f>
        <v>4.2120086538639148E-2</v>
      </c>
      <c r="X8" s="7">
        <f>$B8 * IFERROR(VLOOKUP("industry|NOx|Asthma symptoms wheeze", US_national_yearly!$D:$AM, 32, FALSE) / VLOOKUP("industry|NOx|Asthma symptoms wheeze", US_national_yearly!$D:$AM, 10, FALSE), 1)</f>
        <v>4.2311685986979791E-2</v>
      </c>
      <c r="Y8" s="7">
        <f>$B8 * IFERROR(VLOOKUP("industry|NOx|Asthma symptoms wheeze", US_national_yearly!$D:$AM, 33, FALSE) / VLOOKUP("industry|NOx|Asthma symptoms wheeze", US_national_yearly!$D:$AM, 10, FALSE), 1)</f>
        <v>4.250328543532042E-2</v>
      </c>
      <c r="Z8" s="7">
        <f>$B8 * IFERROR(VLOOKUP("industry|NOx|Asthma symptoms wheeze", US_national_yearly!$D:$AM, 34, FALSE) / VLOOKUP("industry|NOx|Asthma symptoms wheeze", US_national_yearly!$D:$AM, 10, FALSE), 1)</f>
        <v>4.269488488366105E-2</v>
      </c>
      <c r="AA8" s="7">
        <f>$B8 * IFERROR(VLOOKUP("industry|NOx|Asthma symptoms wheeze", US_national_yearly!$D:$AM, 35, FALSE) / VLOOKUP("industry|NOx|Asthma symptoms wheeze", US_national_yearly!$D:$AM, 10, FALSE), 1)</f>
        <v>4.2886484332001672E-2</v>
      </c>
      <c r="AB8" s="7">
        <f>$B8 * IFERROR(VLOOKUP("industry|NOx|Asthma symptoms wheeze", US_national_yearly!$D:$AM, 36, FALSE) / VLOOKUP("industry|NOx|Asthma symptoms wheeze", US_national_yearly!$D:$AM, 10, FALSE), 1)</f>
        <v>4.3078083780342336E-2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4.4471160180614152E-4</v>
      </c>
      <c r="C12" s="7">
        <f>$B12 * IFERROR(VLOOKUP("industry|NOx|Respiratory hospital admissions", US_national_yearly!$D:$AM, 11, FALSE) / VLOOKUP("industry|NOx|Respiratory hospital admissions", US_national_yearly!$D:$AM, 10, FALSE), 1)</f>
        <v>4.5588423057920752E-4</v>
      </c>
      <c r="D12" s="7">
        <f>$B12 * IFERROR(VLOOKUP("industry|NOx|Respiratory hospital admissions", US_national_yearly!$D:$AM, 12, FALSE) / VLOOKUP("industry|NOx|Respiratory hospital admissions", US_national_yearly!$D:$AM, 10, FALSE), 1)</f>
        <v>4.6705685935227351E-4</v>
      </c>
      <c r="E12" s="7">
        <f>$B12 * IFERROR(VLOOKUP("industry|NOx|Respiratory hospital admissions", US_national_yearly!$D:$AM, 13, FALSE) / VLOOKUP("industry|NOx|Respiratory hospital admissions", US_national_yearly!$D:$AM, 10, FALSE), 1)</f>
        <v>4.7822948812533962E-4</v>
      </c>
      <c r="F12" s="7">
        <f>$B12 * IFERROR(VLOOKUP("industry|NOx|Respiratory hospital admissions", US_national_yearly!$D:$AM, 14, FALSE) / VLOOKUP("industry|NOx|Respiratory hospital admissions", US_national_yearly!$D:$AM, 10, FALSE), 1)</f>
        <v>4.8940211689840556E-4</v>
      </c>
      <c r="G12" s="7">
        <f>$B12 * IFERROR(VLOOKUP("industry|NOx|Respiratory hospital admissions", US_national_yearly!$D:$AM, 15, FALSE) / VLOOKUP("industry|NOx|Respiratory hospital admissions", US_national_yearly!$D:$AM, 10, FALSE), 1)</f>
        <v>5.0008923313587497E-4</v>
      </c>
      <c r="H12" s="7">
        <f>$B12 * IFERROR(VLOOKUP("industry|NOx|Respiratory hospital admissions", US_national_yearly!$D:$AM, 16, FALSE) / VLOOKUP("industry|NOx|Respiratory hospital admissions", US_national_yearly!$D:$AM, 10, FALSE), 1)</f>
        <v>5.1077634937334439E-4</v>
      </c>
      <c r="I12" s="7">
        <f>$B12 * IFERROR(VLOOKUP("industry|NOx|Respiratory hospital admissions", US_national_yearly!$D:$AM, 17, FALSE) / VLOOKUP("industry|NOx|Respiratory hospital admissions", US_national_yearly!$D:$AM, 10, FALSE), 1)</f>
        <v>5.1987788007571388E-4</v>
      </c>
      <c r="J12" s="7">
        <f>$B12 * IFERROR(VLOOKUP("industry|NOx|Respiratory hospital admissions", US_national_yearly!$D:$AM, 18, FALSE) / VLOOKUP("industry|NOx|Respiratory hospital admissions", US_national_yearly!$D:$AM, 10, FALSE), 1)</f>
        <v>5.2897941077808337E-4</v>
      </c>
      <c r="K12" s="7">
        <f>$B12 * IFERROR(VLOOKUP("industry|NOx|Respiratory hospital admissions", US_national_yearly!$D:$AM, 19, FALSE) / VLOOKUP("industry|NOx|Respiratory hospital admissions", US_national_yearly!$D:$AM, 10, FALSE), 1)</f>
        <v>5.3808094148045287E-4</v>
      </c>
      <c r="L12" s="7">
        <f>$B12 * IFERROR(VLOOKUP("industry|NOx|Respiratory hospital admissions", US_national_yearly!$D:$AM, 20, FALSE) / VLOOKUP("industry|NOx|Respiratory hospital admissions", US_national_yearly!$D:$AM, 10, FALSE), 1)</f>
        <v>5.4718247218282247E-4</v>
      </c>
      <c r="M12" s="7">
        <f>$B12 * IFERROR(VLOOKUP("industry|NOx|Respiratory hospital admissions", US_national_yearly!$D:$AM, 21, FALSE) / VLOOKUP("industry|NOx|Respiratory hospital admissions", US_national_yearly!$D:$AM, 10, FALSE), 1)</f>
        <v>5.5628400288519197E-4</v>
      </c>
      <c r="N12" s="7">
        <f>$B12 * IFERROR(VLOOKUP("industry|NOx|Respiratory hospital admissions", US_national_yearly!$D:$AM, 22, FALSE) / VLOOKUP("industry|NOx|Respiratory hospital admissions", US_national_yearly!$D:$AM, 10, FALSE), 1)</f>
        <v>5.6238400338618063E-4</v>
      </c>
      <c r="O12" s="7">
        <f>$B12 * IFERROR(VLOOKUP("industry|NOx|Respiratory hospital admissions", US_national_yearly!$D:$AM, 23, FALSE) / VLOOKUP("industry|NOx|Respiratory hospital admissions", US_national_yearly!$D:$AM, 10, FALSE), 1)</f>
        <v>5.6848400388716919E-4</v>
      </c>
      <c r="P12" s="7">
        <f>$B12 * IFERROR(VLOOKUP("industry|NOx|Respiratory hospital admissions", US_national_yearly!$D:$AM, 24, FALSE) / VLOOKUP("industry|NOx|Respiratory hospital admissions", US_national_yearly!$D:$AM, 10, FALSE), 1)</f>
        <v>5.7458400438815775E-4</v>
      </c>
      <c r="Q12" s="7">
        <f>$B12 * IFERROR(VLOOKUP("industry|NOx|Respiratory hospital admissions", US_national_yearly!$D:$AM, 25, FALSE) / VLOOKUP("industry|NOx|Respiratory hospital admissions", US_national_yearly!$D:$AM, 10, FALSE), 1)</f>
        <v>5.8068400488914631E-4</v>
      </c>
      <c r="R12" s="7">
        <f>$B12 * IFERROR(VLOOKUP("industry|NOx|Respiratory hospital admissions", US_national_yearly!$D:$AM, 26, FALSE) / VLOOKUP("industry|NOx|Respiratory hospital admissions", US_national_yearly!$D:$AM, 10, FALSE), 1)</f>
        <v>5.8678400539013498E-4</v>
      </c>
      <c r="S12" s="7">
        <f>$B12 * IFERROR(VLOOKUP("industry|NOx|Respiratory hospital admissions", US_national_yearly!$D:$AM, 27, FALSE) / VLOOKUP("industry|NOx|Respiratory hospital admissions", US_national_yearly!$D:$AM, 10, FALSE), 1)</f>
        <v>5.9009577565072118E-4</v>
      </c>
      <c r="T12" s="7">
        <f>$B12 * IFERROR(VLOOKUP("industry|NOx|Respiratory hospital admissions", US_national_yearly!$D:$AM, 28, FALSE) / VLOOKUP("industry|NOx|Respiratory hospital admissions", US_national_yearly!$D:$AM, 10, FALSE), 1)</f>
        <v>5.9340754591130738E-4</v>
      </c>
      <c r="U12" s="7">
        <f>$B12 * IFERROR(VLOOKUP("industry|NOx|Respiratory hospital admissions", US_national_yearly!$D:$AM, 29, FALSE) / VLOOKUP("industry|NOx|Respiratory hospital admissions", US_national_yearly!$D:$AM, 10, FALSE), 1)</f>
        <v>5.9671931617189357E-4</v>
      </c>
      <c r="V12" s="7">
        <f>$B12 * IFERROR(VLOOKUP("industry|NOx|Respiratory hospital admissions", US_national_yearly!$D:$AM, 30, FALSE) / VLOOKUP("industry|NOx|Respiratory hospital admissions", US_national_yearly!$D:$AM, 10, FALSE), 1)</f>
        <v>6.0003108643247977E-4</v>
      </c>
      <c r="W12" s="7">
        <f>$B12 * IFERROR(VLOOKUP("industry|NOx|Respiratory hospital admissions", US_national_yearly!$D:$AM, 31, FALSE) / VLOOKUP("industry|NOx|Respiratory hospital admissions", US_national_yearly!$D:$AM, 10, FALSE), 1)</f>
        <v>6.0334285669306597E-4</v>
      </c>
      <c r="X12" s="7">
        <f>$B12 * IFERROR(VLOOKUP("industry|NOx|Respiratory hospital admissions", US_national_yearly!$D:$AM, 32, FALSE) / VLOOKUP("industry|NOx|Respiratory hospital admissions", US_national_yearly!$D:$AM, 10, FALSE), 1)</f>
        <v>6.0565202692770066E-4</v>
      </c>
      <c r="Y12" s="7">
        <f>$B12 * IFERROR(VLOOKUP("industry|NOx|Respiratory hospital admissions", US_national_yearly!$D:$AM, 33, FALSE) / VLOOKUP("industry|NOx|Respiratory hospital admissions", US_national_yearly!$D:$AM, 10, FALSE), 1)</f>
        <v>6.0796119716233546E-4</v>
      </c>
      <c r="Z12" s="7">
        <f>$B12 * IFERROR(VLOOKUP("industry|NOx|Respiratory hospital admissions", US_national_yearly!$D:$AM, 34, FALSE) / VLOOKUP("industry|NOx|Respiratory hospital admissions", US_national_yearly!$D:$AM, 10, FALSE), 1)</f>
        <v>6.1027036739697027E-4</v>
      </c>
      <c r="AA12" s="7">
        <f>$B12 * IFERROR(VLOOKUP("industry|NOx|Respiratory hospital admissions", US_national_yearly!$D:$AM, 35, FALSE) / VLOOKUP("industry|NOx|Respiratory hospital admissions", US_national_yearly!$D:$AM, 10, FALSE), 1)</f>
        <v>6.1257953763160496E-4</v>
      </c>
      <c r="AB12" s="7">
        <f>$B12 * IFERROR(VLOOKUP("industry|NOx|Respiratory hospital admissions", US_national_yearly!$D:$AM, 36, FALSE) / VLOOKUP("industry|NOx|Respiratory hospital admissions", US_national_yearly!$D:$AM, 10, FALSE), 1)</f>
        <v>6.1488870786623976E-4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1.2857157364591868E-3</v>
      </c>
      <c r="C13" s="7">
        <f>$B13 * IFERROR(VLOOKUP("industry|NOx|Non-fatal heart attacks", US_national_yearly!$D:$AM, 11, FALSE) / VLOOKUP("industry|NOx|Non-fatal heart attacks", US_national_yearly!$D:$AM, 10, FALSE), 1)</f>
        <v>1.322449867125568E-3</v>
      </c>
      <c r="D13" s="7">
        <f>$B13 * IFERROR(VLOOKUP("industry|NOx|Non-fatal heart attacks", US_national_yearly!$D:$AM, 12, FALSE) / VLOOKUP("industry|NOx|Non-fatal heart attacks", US_national_yearly!$D:$AM, 10, FALSE), 1)</f>
        <v>1.359183997791949E-3</v>
      </c>
      <c r="E13" s="7">
        <f>$B13 * IFERROR(VLOOKUP("industry|NOx|Non-fatal heart attacks", US_national_yearly!$D:$AM, 13, FALSE) / VLOOKUP("industry|NOx|Non-fatal heart attacks", US_national_yearly!$D:$AM, 10, FALSE), 1)</f>
        <v>1.3959181284583302E-3</v>
      </c>
      <c r="F13" s="7">
        <f>$B13 * IFERROR(VLOOKUP("industry|NOx|Non-fatal heart attacks", US_national_yearly!$D:$AM, 14, FALSE) / VLOOKUP("industry|NOx|Non-fatal heart attacks", US_national_yearly!$D:$AM, 10, FALSE), 1)</f>
        <v>1.4326522591247115E-3</v>
      </c>
      <c r="G13" s="7">
        <f>$B13 * IFERROR(VLOOKUP("industry|NOx|Non-fatal heart attacks", US_national_yearly!$D:$AM, 15, FALSE) / VLOOKUP("industry|NOx|Non-fatal heart attacks", US_national_yearly!$D:$AM, 10, FALSE), 1)</f>
        <v>1.4670093721419742E-3</v>
      </c>
      <c r="H13" s="7">
        <f>$B13 * IFERROR(VLOOKUP("industry|NOx|Non-fatal heart attacks", US_national_yearly!$D:$AM, 16, FALSE) / VLOOKUP("industry|NOx|Non-fatal heart attacks", US_national_yearly!$D:$AM, 10, FALSE), 1)</f>
        <v>1.5013664851592366E-3</v>
      </c>
      <c r="I13" s="7">
        <f>$B13 * IFERROR(VLOOKUP("industry|NOx|Non-fatal heart attacks", US_national_yearly!$D:$AM, 17, FALSE) / VLOOKUP("industry|NOx|Non-fatal heart attacks", US_national_yearly!$D:$AM, 10, FALSE), 1)</f>
        <v>1.5285393499648225E-3</v>
      </c>
      <c r="J13" s="7">
        <f>$B13 * IFERROR(VLOOKUP("industry|NOx|Non-fatal heart attacks", US_national_yearly!$D:$AM, 18, FALSE) / VLOOKUP("industry|NOx|Non-fatal heart attacks", US_national_yearly!$D:$AM, 10, FALSE), 1)</f>
        <v>1.5557122147704084E-3</v>
      </c>
      <c r="K13" s="7">
        <f>$B13 * IFERROR(VLOOKUP("industry|NOx|Non-fatal heart attacks", US_national_yearly!$D:$AM, 19, FALSE) / VLOOKUP("industry|NOx|Non-fatal heart attacks", US_national_yearly!$D:$AM, 10, FALSE), 1)</f>
        <v>1.5828850795759936E-3</v>
      </c>
      <c r="L13" s="7">
        <f>$B13 * IFERROR(VLOOKUP("industry|NOx|Non-fatal heart attacks", US_national_yearly!$D:$AM, 20, FALSE) / VLOOKUP("industry|NOx|Non-fatal heart attacks", US_national_yearly!$D:$AM, 10, FALSE), 1)</f>
        <v>1.6100579443815801E-3</v>
      </c>
      <c r="M13" s="7">
        <f>$B13 * IFERROR(VLOOKUP("industry|NOx|Non-fatal heart attacks", US_national_yearly!$D:$AM, 21, FALSE) / VLOOKUP("industry|NOx|Non-fatal heart attacks", US_national_yearly!$D:$AM, 10, FALSE), 1)</f>
        <v>1.6372308091871662E-3</v>
      </c>
      <c r="N13" s="7">
        <f>$B13 * IFERROR(VLOOKUP("industry|NOx|Non-fatal heart attacks", US_national_yearly!$D:$AM, 22, FALSE) / VLOOKUP("industry|NOx|Non-fatal heart attacks", US_national_yearly!$D:$AM, 10, FALSE), 1)</f>
        <v>1.6536011560595372E-3</v>
      </c>
      <c r="O13" s="7">
        <f>$B13 * IFERROR(VLOOKUP("industry|NOx|Non-fatal heart attacks", US_national_yearly!$D:$AM, 23, FALSE) / VLOOKUP("industry|NOx|Non-fatal heart attacks", US_national_yearly!$D:$AM, 10, FALSE), 1)</f>
        <v>1.6699715029319078E-3</v>
      </c>
      <c r="P13" s="7">
        <f>$B13 * IFERROR(VLOOKUP("industry|NOx|Non-fatal heart attacks", US_national_yearly!$D:$AM, 24, FALSE) / VLOOKUP("industry|NOx|Non-fatal heart attacks", US_national_yearly!$D:$AM, 10, FALSE), 1)</f>
        <v>1.6863418498042784E-3</v>
      </c>
      <c r="Q13" s="7">
        <f>$B13 * IFERROR(VLOOKUP("industry|NOx|Non-fatal heart attacks", US_national_yearly!$D:$AM, 25, FALSE) / VLOOKUP("industry|NOx|Non-fatal heart attacks", US_national_yearly!$D:$AM, 10, FALSE), 1)</f>
        <v>1.702712196676649E-3</v>
      </c>
      <c r="R13" s="7">
        <f>$B13 * IFERROR(VLOOKUP("industry|NOx|Non-fatal heart attacks", US_national_yearly!$D:$AM, 26, FALSE) / VLOOKUP("industry|NOx|Non-fatal heart attacks", US_national_yearly!$D:$AM, 10, FALSE), 1)</f>
        <v>1.7190825435490196E-3</v>
      </c>
      <c r="S13" s="7">
        <f>$B13 * IFERROR(VLOOKUP("industry|NOx|Non-fatal heart attacks", US_national_yearly!$D:$AM, 27, FALSE) / VLOOKUP("industry|NOx|Non-fatal heart attacks", US_national_yearly!$D:$AM, 10, FALSE), 1)</f>
        <v>1.7265935852238273E-3</v>
      </c>
      <c r="T13" s="7">
        <f>$B13 * IFERROR(VLOOKUP("industry|NOx|Non-fatal heart attacks", US_national_yearly!$D:$AM, 28, FALSE) / VLOOKUP("industry|NOx|Non-fatal heart attacks", US_national_yearly!$D:$AM, 10, FALSE), 1)</f>
        <v>1.7341046268986346E-3</v>
      </c>
      <c r="U13" s="7">
        <f>$B13 * IFERROR(VLOOKUP("industry|NOx|Non-fatal heart attacks", US_national_yearly!$D:$AM, 29, FALSE) / VLOOKUP("industry|NOx|Non-fatal heart attacks", US_national_yearly!$D:$AM, 10, FALSE), 1)</f>
        <v>1.741615668573442E-3</v>
      </c>
      <c r="V13" s="7">
        <f>$B13 * IFERROR(VLOOKUP("industry|NOx|Non-fatal heart attacks", US_national_yearly!$D:$AM, 30, FALSE) / VLOOKUP("industry|NOx|Non-fatal heart attacks", US_national_yearly!$D:$AM, 10, FALSE), 1)</f>
        <v>1.7491267102482495E-3</v>
      </c>
      <c r="W13" s="7">
        <f>$B13 * IFERROR(VLOOKUP("industry|NOx|Non-fatal heart attacks", US_national_yearly!$D:$AM, 31, FALSE) / VLOOKUP("industry|NOx|Non-fatal heart attacks", US_national_yearly!$D:$AM, 10, FALSE), 1)</f>
        <v>1.7566377519230569E-3</v>
      </c>
      <c r="X13" s="7">
        <f>$B13 * IFERROR(VLOOKUP("industry|NOx|Non-fatal heart attacks", US_national_yearly!$D:$AM, 32, FALSE) / VLOOKUP("industry|NOx|Non-fatal heart attacks", US_national_yearly!$D:$AM, 10, FALSE), 1)</f>
        <v>1.7617068821843124E-3</v>
      </c>
      <c r="Y13" s="7">
        <f>$B13 * IFERROR(VLOOKUP("industry|NOx|Non-fatal heart attacks", US_national_yearly!$D:$AM, 33, FALSE) / VLOOKUP("industry|NOx|Non-fatal heart attacks", US_national_yearly!$D:$AM, 10, FALSE), 1)</f>
        <v>1.7667760124455681E-3</v>
      </c>
      <c r="Z13" s="7">
        <f>$B13 * IFERROR(VLOOKUP("industry|NOx|Non-fatal heart attacks", US_national_yearly!$D:$AM, 34, FALSE) / VLOOKUP("industry|NOx|Non-fatal heart attacks", US_national_yearly!$D:$AM, 10, FALSE), 1)</f>
        <v>1.7718451427068238E-3</v>
      </c>
      <c r="AA13" s="7">
        <f>$B13 * IFERROR(VLOOKUP("industry|NOx|Non-fatal heart attacks", US_national_yearly!$D:$AM, 35, FALSE) / VLOOKUP("industry|NOx|Non-fatal heart attacks", US_national_yearly!$D:$AM, 10, FALSE), 1)</f>
        <v>1.7769142729680792E-3</v>
      </c>
      <c r="AB13" s="7">
        <f>$B13 * IFERROR(VLOOKUP("industry|NOx|Non-fatal heart attacks", US_national_yearly!$D:$AM, 36, FALSE) / VLOOKUP("industry|NOx|Non-fatal heart attacks", US_national_yearly!$D:$AM, 10, FALSE), 1)</f>
        <v>1.7819834032293349E-3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2.2813136784238304</v>
      </c>
      <c r="C14" s="7">
        <f>$B14 * IFERROR(VLOOKUP("industry|NOx|Minor restricted activity days", US_national_yearly!$D:$AM, 11, FALSE) / VLOOKUP("industry|NOx|Minor restricted activity days", US_national_yearly!$D:$AM, 10, FALSE), 1)</f>
        <v>2.2846936206748816</v>
      </c>
      <c r="D14" s="7">
        <f>$B14 * IFERROR(VLOOKUP("industry|NOx|Minor restricted activity days", US_national_yearly!$D:$AM, 12, FALSE) / VLOOKUP("industry|NOx|Minor restricted activity days", US_national_yearly!$D:$AM, 10, FALSE), 1)</f>
        <v>2.2880735629259323</v>
      </c>
      <c r="E14" s="7">
        <f>$B14 * IFERROR(VLOOKUP("industry|NOx|Minor restricted activity days", US_national_yearly!$D:$AM, 13, FALSE) / VLOOKUP("industry|NOx|Minor restricted activity days", US_national_yearly!$D:$AM, 10, FALSE), 1)</f>
        <v>2.291453505176984</v>
      </c>
      <c r="F14" s="7">
        <f>$B14 * IFERROR(VLOOKUP("industry|NOx|Minor restricted activity days", US_national_yearly!$D:$AM, 14, FALSE) / VLOOKUP("industry|NOx|Minor restricted activity days", US_national_yearly!$D:$AM, 10, FALSE), 1)</f>
        <v>2.2948334474280347</v>
      </c>
      <c r="G14" s="7">
        <f>$B14 * IFERROR(VLOOKUP("industry|NOx|Minor restricted activity days", US_national_yearly!$D:$AM, 15, FALSE) / VLOOKUP("industry|NOx|Minor restricted activity days", US_national_yearly!$D:$AM, 10, FALSE), 1)</f>
        <v>2.3009863162097872</v>
      </c>
      <c r="H14" s="7">
        <f>$B14 * IFERROR(VLOOKUP("industry|NOx|Minor restricted activity days", US_national_yearly!$D:$AM, 16, FALSE) / VLOOKUP("industry|NOx|Minor restricted activity days", US_national_yearly!$D:$AM, 10, FALSE), 1)</f>
        <v>2.3071391849915401</v>
      </c>
      <c r="I14" s="7">
        <f>$B14 * IFERROR(VLOOKUP("industry|NOx|Minor restricted activity days", US_national_yearly!$D:$AM, 17, FALSE) / VLOOKUP("industry|NOx|Minor restricted activity days", US_national_yearly!$D:$AM, 10, FALSE), 1)</f>
        <v>2.319251983034146</v>
      </c>
      <c r="J14" s="7">
        <f>$B14 * IFERROR(VLOOKUP("industry|NOx|Minor restricted activity days", US_national_yearly!$D:$AM, 18, FALSE) / VLOOKUP("industry|NOx|Minor restricted activity days", US_national_yearly!$D:$AM, 10, FALSE), 1)</f>
        <v>2.3313647810767515</v>
      </c>
      <c r="K14" s="7">
        <f>$B14 * IFERROR(VLOOKUP("industry|NOx|Minor restricted activity days", US_national_yearly!$D:$AM, 19, FALSE) / VLOOKUP("industry|NOx|Minor restricted activity days", US_national_yearly!$D:$AM, 10, FALSE), 1)</f>
        <v>2.3434775791193561</v>
      </c>
      <c r="L14" s="7">
        <f>$B14 * IFERROR(VLOOKUP("industry|NOx|Minor restricted activity days", US_national_yearly!$D:$AM, 20, FALSE) / VLOOKUP("industry|NOx|Minor restricted activity days", US_national_yearly!$D:$AM, 10, FALSE), 1)</f>
        <v>2.355590377161962</v>
      </c>
      <c r="M14" s="7">
        <f>$B14 * IFERROR(VLOOKUP("industry|NOx|Minor restricted activity days", US_national_yearly!$D:$AM, 21, FALSE) / VLOOKUP("industry|NOx|Minor restricted activity days", US_national_yearly!$D:$AM, 10, FALSE), 1)</f>
        <v>2.3677031752045674</v>
      </c>
      <c r="N14" s="7">
        <f>$B14 * IFERROR(VLOOKUP("industry|NOx|Minor restricted activity days", US_national_yearly!$D:$AM, 22, FALSE) / VLOOKUP("industry|NOx|Minor restricted activity days", US_national_yearly!$D:$AM, 10, FALSE), 1)</f>
        <v>2.385146414151492</v>
      </c>
      <c r="O14" s="7">
        <f>$B14 * IFERROR(VLOOKUP("industry|NOx|Minor restricted activity days", US_national_yearly!$D:$AM, 23, FALSE) / VLOOKUP("industry|NOx|Minor restricted activity days", US_national_yearly!$D:$AM, 10, FALSE), 1)</f>
        <v>2.4025896530984174</v>
      </c>
      <c r="P14" s="7">
        <f>$B14 * IFERROR(VLOOKUP("industry|NOx|Minor restricted activity days", US_national_yearly!$D:$AM, 24, FALSE) / VLOOKUP("industry|NOx|Minor restricted activity days", US_national_yearly!$D:$AM, 10, FALSE), 1)</f>
        <v>2.4200328920453424</v>
      </c>
      <c r="Q14" s="7">
        <f>$B14 * IFERROR(VLOOKUP("industry|NOx|Minor restricted activity days", US_national_yearly!$D:$AM, 25, FALSE) / VLOOKUP("industry|NOx|Minor restricted activity days", US_national_yearly!$D:$AM, 10, FALSE), 1)</f>
        <v>2.437476130992267</v>
      </c>
      <c r="R14" s="7">
        <f>$B14 * IFERROR(VLOOKUP("industry|NOx|Minor restricted activity days", US_national_yearly!$D:$AM, 26, FALSE) / VLOOKUP("industry|NOx|Minor restricted activity days", US_national_yearly!$D:$AM, 10, FALSE), 1)</f>
        <v>2.4549193699391925</v>
      </c>
      <c r="S14" s="7">
        <f>$B14 * IFERROR(VLOOKUP("industry|NOx|Minor restricted activity days", US_national_yearly!$D:$AM, 27, FALSE) / VLOOKUP("industry|NOx|Minor restricted activity days", US_national_yearly!$D:$AM, 10, FALSE), 1)</f>
        <v>2.4723812842077413</v>
      </c>
      <c r="T14" s="7">
        <f>$B14 * IFERROR(VLOOKUP("industry|NOx|Minor restricted activity days", US_national_yearly!$D:$AM, 28, FALSE) / VLOOKUP("industry|NOx|Minor restricted activity days", US_national_yearly!$D:$AM, 10, FALSE), 1)</f>
        <v>2.4898431984762905</v>
      </c>
      <c r="U14" s="7">
        <f>$B14 * IFERROR(VLOOKUP("industry|NOx|Minor restricted activity days", US_national_yearly!$D:$AM, 29, FALSE) / VLOOKUP("industry|NOx|Minor restricted activity days", US_national_yearly!$D:$AM, 10, FALSE), 1)</f>
        <v>2.5073051127448398</v>
      </c>
      <c r="V14" s="7">
        <f>$B14 * IFERROR(VLOOKUP("industry|NOx|Minor restricted activity days", US_national_yearly!$D:$AM, 30, FALSE) / VLOOKUP("industry|NOx|Minor restricted activity days", US_national_yearly!$D:$AM, 10, FALSE), 1)</f>
        <v>2.5247670270133891</v>
      </c>
      <c r="W14" s="7">
        <f>$B14 * IFERROR(VLOOKUP("industry|NOx|Minor restricted activity days", US_national_yearly!$D:$AM, 31, FALSE) / VLOOKUP("industry|NOx|Minor restricted activity days", US_national_yearly!$D:$AM, 10, FALSE), 1)</f>
        <v>2.5422289412819383</v>
      </c>
      <c r="X14" s="7">
        <f>$B14 * IFERROR(VLOOKUP("industry|NOx|Minor restricted activity days", US_national_yearly!$D:$AM, 32, FALSE) / VLOOKUP("industry|NOx|Minor restricted activity days", US_national_yearly!$D:$AM, 10, FALSE), 1)</f>
        <v>2.5569717806508998</v>
      </c>
      <c r="Y14" s="7">
        <f>$B14 * IFERROR(VLOOKUP("industry|NOx|Minor restricted activity days", US_national_yearly!$D:$AM, 33, FALSE) / VLOOKUP("industry|NOx|Minor restricted activity days", US_national_yearly!$D:$AM, 10, FALSE), 1)</f>
        <v>2.5717146200198608</v>
      </c>
      <c r="Z14" s="7">
        <f>$B14 * IFERROR(VLOOKUP("industry|NOx|Minor restricted activity days", US_national_yearly!$D:$AM, 34, FALSE) / VLOOKUP("industry|NOx|Minor restricted activity days", US_national_yearly!$D:$AM, 10, FALSE), 1)</f>
        <v>2.5864574593888219</v>
      </c>
      <c r="AA14" s="7">
        <f>$B14 * IFERROR(VLOOKUP("industry|NOx|Minor restricted activity days", US_national_yearly!$D:$AM, 35, FALSE) / VLOOKUP("industry|NOx|Minor restricted activity days", US_national_yearly!$D:$AM, 10, FALSE), 1)</f>
        <v>2.6012002987577834</v>
      </c>
      <c r="AB14" s="7">
        <f>$B14 * IFERROR(VLOOKUP("industry|NOx|Minor restricted activity days", US_national_yearly!$D:$AM, 36, FALSE) / VLOOKUP("industry|NOx|Minor restricted activity days", US_national_yearly!$D:$AM, 10, FALSE), 1)</f>
        <v>2.6159431381267448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0.38783167377129818</v>
      </c>
      <c r="C15" s="7">
        <f>$B15 * IFERROR(VLOOKUP("industry|NOx|Work loss days", US_national_yearly!$D:$AM, 11, FALSE) / VLOOKUP("industry|NOx|Work loss days", US_national_yearly!$D:$AM, 10, FALSE), 1)</f>
        <v>0.38867197969234607</v>
      </c>
      <c r="D15" s="7">
        <f>$B15 * IFERROR(VLOOKUP("industry|NOx|Work loss days", US_national_yearly!$D:$AM, 12, FALSE) / VLOOKUP("industry|NOx|Work loss days", US_national_yearly!$D:$AM, 10, FALSE), 1)</f>
        <v>0.38951228561339379</v>
      </c>
      <c r="E15" s="7">
        <f>$B15 * IFERROR(VLOOKUP("industry|NOx|Work loss days", US_national_yearly!$D:$AM, 13, FALSE) / VLOOKUP("industry|NOx|Work loss days", US_national_yearly!$D:$AM, 10, FALSE), 1)</f>
        <v>0.39035259153444174</v>
      </c>
      <c r="F15" s="7">
        <f>$B15 * IFERROR(VLOOKUP("industry|NOx|Work loss days", US_national_yearly!$D:$AM, 14, FALSE) / VLOOKUP("industry|NOx|Work loss days", US_national_yearly!$D:$AM, 10, FALSE), 1)</f>
        <v>0.39119289745548957</v>
      </c>
      <c r="G15" s="7">
        <f>$B15 * IFERROR(VLOOKUP("industry|NOx|Work loss days", US_national_yearly!$D:$AM, 15, FALSE) / VLOOKUP("industry|NOx|Work loss days", US_national_yearly!$D:$AM, 10, FALSE), 1)</f>
        <v>0.39242205426312743</v>
      </c>
      <c r="H15" s="7">
        <f>$B15 * IFERROR(VLOOKUP("industry|NOx|Work loss days", US_national_yearly!$D:$AM, 16, FALSE) / VLOOKUP("industry|NOx|Work loss days", US_national_yearly!$D:$AM, 10, FALSE), 1)</f>
        <v>0.39365121107076528</v>
      </c>
      <c r="I15" s="7">
        <f>$B15 * IFERROR(VLOOKUP("industry|NOx|Work loss days", US_national_yearly!$D:$AM, 17, FALSE) / VLOOKUP("industry|NOx|Work loss days", US_national_yearly!$D:$AM, 10, FALSE), 1)</f>
        <v>0.39564827922480988</v>
      </c>
      <c r="J15" s="7">
        <f>$B15 * IFERROR(VLOOKUP("industry|NOx|Work loss days", US_national_yearly!$D:$AM, 18, FALSE) / VLOOKUP("industry|NOx|Work loss days", US_national_yearly!$D:$AM, 10, FALSE), 1)</f>
        <v>0.39764534737885437</v>
      </c>
      <c r="K15" s="7">
        <f>$B15 * IFERROR(VLOOKUP("industry|NOx|Work loss days", US_national_yearly!$D:$AM, 19, FALSE) / VLOOKUP("industry|NOx|Work loss days", US_national_yearly!$D:$AM, 10, FALSE), 1)</f>
        <v>0.39964241553289903</v>
      </c>
      <c r="L15" s="7">
        <f>$B15 * IFERROR(VLOOKUP("industry|NOx|Work loss days", US_national_yearly!$D:$AM, 20, FALSE) / VLOOKUP("industry|NOx|Work loss days", US_national_yearly!$D:$AM, 10, FALSE), 1)</f>
        <v>0.40163948368694352</v>
      </c>
      <c r="M15" s="7">
        <f>$B15 * IFERROR(VLOOKUP("industry|NOx|Work loss days", US_national_yearly!$D:$AM, 21, FALSE) / VLOOKUP("industry|NOx|Work loss days", US_national_yearly!$D:$AM, 10, FALSE), 1)</f>
        <v>0.40363655184098812</v>
      </c>
      <c r="N15" s="7">
        <f>$B15 * IFERROR(VLOOKUP("industry|NOx|Work loss days", US_national_yearly!$D:$AM, 22, FALSE) / VLOOKUP("industry|NOx|Work loss days", US_national_yearly!$D:$AM, 10, FALSE), 1)</f>
        <v>0.40624826409783882</v>
      </c>
      <c r="O15" s="7">
        <f>$B15 * IFERROR(VLOOKUP("industry|NOx|Work loss days", US_national_yearly!$D:$AM, 23, FALSE) / VLOOKUP("industry|NOx|Work loss days", US_national_yearly!$D:$AM, 10, FALSE), 1)</f>
        <v>0.40885997635468957</v>
      </c>
      <c r="P15" s="7">
        <f>$B15 * IFERROR(VLOOKUP("industry|NOx|Work loss days", US_national_yearly!$D:$AM, 24, FALSE) / VLOOKUP("industry|NOx|Work loss days", US_national_yearly!$D:$AM, 10, FALSE), 1)</f>
        <v>0.41147168861154021</v>
      </c>
      <c r="Q15" s="7">
        <f>$B15 * IFERROR(VLOOKUP("industry|NOx|Work loss days", US_national_yearly!$D:$AM, 25, FALSE) / VLOOKUP("industry|NOx|Work loss days", US_national_yearly!$D:$AM, 10, FALSE), 1)</f>
        <v>0.41408340086839085</v>
      </c>
      <c r="R15" s="7">
        <f>$B15 * IFERROR(VLOOKUP("industry|NOx|Work loss days", US_national_yearly!$D:$AM, 26, FALSE) / VLOOKUP("industry|NOx|Work loss days", US_national_yearly!$D:$AM, 10, FALSE), 1)</f>
        <v>0.4166951131252416</v>
      </c>
      <c r="S15" s="7">
        <f>$B15 * IFERROR(VLOOKUP("industry|NOx|Work loss days", US_national_yearly!$D:$AM, 27, FALSE) / VLOOKUP("industry|NOx|Work loss days", US_national_yearly!$D:$AM, 10, FALSE), 1)</f>
        <v>0.41961484923200659</v>
      </c>
      <c r="T15" s="7">
        <f>$B15 * IFERROR(VLOOKUP("industry|NOx|Work loss days", US_national_yearly!$D:$AM, 28, FALSE) / VLOOKUP("industry|NOx|Work loss days", US_national_yearly!$D:$AM, 10, FALSE), 1)</f>
        <v>0.42253458533877158</v>
      </c>
      <c r="U15" s="7">
        <f>$B15 * IFERROR(VLOOKUP("industry|NOx|Work loss days", US_national_yearly!$D:$AM, 29, FALSE) / VLOOKUP("industry|NOx|Work loss days", US_national_yearly!$D:$AM, 10, FALSE), 1)</f>
        <v>0.42545432144553663</v>
      </c>
      <c r="V15" s="7">
        <f>$B15 * IFERROR(VLOOKUP("industry|NOx|Work loss days", US_national_yearly!$D:$AM, 30, FALSE) / VLOOKUP("industry|NOx|Work loss days", US_national_yearly!$D:$AM, 10, FALSE), 1)</f>
        <v>0.42837405755230157</v>
      </c>
      <c r="W15" s="7">
        <f>$B15 * IFERROR(VLOOKUP("industry|NOx|Work loss days", US_national_yearly!$D:$AM, 31, FALSE) / VLOOKUP("industry|NOx|Work loss days", US_national_yearly!$D:$AM, 10, FALSE), 1)</f>
        <v>0.43129379365906662</v>
      </c>
      <c r="X15" s="7">
        <f>$B15 * IFERROR(VLOOKUP("industry|NOx|Work loss days", US_national_yearly!$D:$AM, 32, FALSE) / VLOOKUP("industry|NOx|Work loss days", US_national_yearly!$D:$AM, 10, FALSE), 1)</f>
        <v>0.4338267665574716</v>
      </c>
      <c r="Y15" s="7">
        <f>$B15 * IFERROR(VLOOKUP("industry|NOx|Work loss days", US_national_yearly!$D:$AM, 33, FALSE) / VLOOKUP("industry|NOx|Work loss days", US_national_yearly!$D:$AM, 10, FALSE), 1)</f>
        <v>0.43635973945587658</v>
      </c>
      <c r="Z15" s="7">
        <f>$B15 * IFERROR(VLOOKUP("industry|NOx|Work loss days", US_national_yearly!$D:$AM, 34, FALSE) / VLOOKUP("industry|NOx|Work loss days", US_national_yearly!$D:$AM, 10, FALSE), 1)</f>
        <v>0.43889271235428157</v>
      </c>
      <c r="AA15" s="7">
        <f>$B15 * IFERROR(VLOOKUP("industry|NOx|Work loss days", US_national_yearly!$D:$AM, 35, FALSE) / VLOOKUP("industry|NOx|Work loss days", US_national_yearly!$D:$AM, 10, FALSE), 1)</f>
        <v>0.44142568525268655</v>
      </c>
      <c r="AB15" s="7">
        <f>$B15 * IFERROR(VLOOKUP("industry|NOx|Work loss days", US_national_yearly!$D:$AM, 36, FALSE) / VLOOKUP("industry|NOx|Work loss days", US_national_yearly!$D:$AM, 10, FALSE), 1)</f>
        <v>0.44395865815109153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4.7454935646033835E-4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4.8848339316021408E-4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5.024174298600897E-4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5.1635146655996543E-4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5.3028550325984116E-4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5.4352874823570662E-4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5.5677199321157208E-4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5.6793700696904429E-4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5.7910202072651649E-4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5.9026703448398859E-4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6.0143204824146079E-4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6.1259706199893278E-4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6.1958682005933152E-4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6.2657657811972993E-4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6.3356633618012845E-4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6.4055609424052697E-4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6.4754585230092539E-4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6.507703651658039E-4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6.5399487803068242E-4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6.5721939089556083E-4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6.6044390376043935E-4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6.6366841662531776E-4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6.654902438586862E-4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6.6731207109205464E-4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6.6913389832542298E-4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6.7095572555879131E-4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6.7277755279215976E-4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3.164669398674682E-2</v>
      </c>
      <c r="C2" s="7">
        <f>$B2 * IFERROR(VLOOKUP("industry|SO2|Premature mortality", US_national_yearly!$D:$AM, 11, FALSE) / VLOOKUP("industry|SO2|Premature mortality", US_national_yearly!$D:$AM, 10, FALSE), 1)</f>
        <v>3.204787604706745E-2</v>
      </c>
      <c r="D2" s="7">
        <f>$B2 * IFERROR(VLOOKUP("industry|SO2|Premature mortality", US_national_yearly!$D:$AM, 12, FALSE) / VLOOKUP("industry|SO2|Premature mortality", US_national_yearly!$D:$AM, 10, FALSE), 1)</f>
        <v>3.2449058107388067E-2</v>
      </c>
      <c r="E2" s="7">
        <f>$B2 * IFERROR(VLOOKUP("industry|SO2|Premature mortality", US_national_yearly!$D:$AM, 13, FALSE) / VLOOKUP("industry|SO2|Premature mortality", US_national_yearly!$D:$AM, 10, FALSE), 1)</f>
        <v>3.285024016770869E-2</v>
      </c>
      <c r="F2" s="7">
        <f>$B2 * IFERROR(VLOOKUP("industry|SO2|Premature mortality", US_national_yearly!$D:$AM, 14, FALSE) / VLOOKUP("industry|SO2|Premature mortality", US_national_yearly!$D:$AM, 10, FALSE), 1)</f>
        <v>3.325142222802932E-2</v>
      </c>
      <c r="G2" s="7">
        <f>$B2 * IFERROR(VLOOKUP("industry|SO2|Premature mortality", US_national_yearly!$D:$AM, 15, FALSE) / VLOOKUP("industry|SO2|Premature mortality", US_national_yearly!$D:$AM, 10, FALSE), 1)</f>
        <v>3.4024686052513013E-2</v>
      </c>
      <c r="H2" s="7">
        <f>$B2 * IFERROR(VLOOKUP("industry|SO2|Premature mortality", US_national_yearly!$D:$AM, 16, FALSE) / VLOOKUP("industry|SO2|Premature mortality", US_national_yearly!$D:$AM, 10, FALSE), 1)</f>
        <v>3.4797949876996713E-2</v>
      </c>
      <c r="I2" s="7">
        <f>$B2 * IFERROR(VLOOKUP("industry|SO2|Premature mortality", US_national_yearly!$D:$AM, 17, FALSE) / VLOOKUP("industry|SO2|Premature mortality", US_national_yearly!$D:$AM, 10, FALSE), 1)</f>
        <v>3.5309982548946378E-2</v>
      </c>
      <c r="J2" s="7">
        <f>$B2 * IFERROR(VLOOKUP("industry|SO2|Premature mortality", US_national_yearly!$D:$AM, 18, FALSE) / VLOOKUP("industry|SO2|Premature mortality", US_national_yearly!$D:$AM, 10, FALSE), 1)</f>
        <v>3.5822015220896029E-2</v>
      </c>
      <c r="K2" s="7">
        <f>$B2 * IFERROR(VLOOKUP("industry|SO2|Premature mortality", US_national_yearly!$D:$AM, 19, FALSE) / VLOOKUP("industry|SO2|Premature mortality", US_national_yearly!$D:$AM, 10, FALSE), 1)</f>
        <v>3.6334047892845688E-2</v>
      </c>
      <c r="L2" s="7">
        <f>$B2 * IFERROR(VLOOKUP("industry|SO2|Premature mortality", US_national_yearly!$D:$AM, 20, FALSE) / VLOOKUP("industry|SO2|Premature mortality", US_national_yearly!$D:$AM, 10, FALSE), 1)</f>
        <v>3.6846080564795353E-2</v>
      </c>
      <c r="M2" s="7">
        <f>$B2 * IFERROR(VLOOKUP("industry|SO2|Premature mortality", US_national_yearly!$D:$AM, 21, FALSE) / VLOOKUP("industry|SO2|Premature mortality", US_national_yearly!$D:$AM, 10, FALSE), 1)</f>
        <v>3.7358113236745011E-2</v>
      </c>
      <c r="N2" s="7">
        <f>$B2 * IFERROR(VLOOKUP("industry|SO2|Premature mortality", US_national_yearly!$D:$AM, 22, FALSE) / VLOOKUP("industry|SO2|Premature mortality", US_national_yearly!$D:$AM, 10, FALSE), 1)</f>
        <v>3.7758644527794795E-2</v>
      </c>
      <c r="O2" s="7">
        <f>$B2 * IFERROR(VLOOKUP("industry|SO2|Premature mortality", US_national_yearly!$D:$AM, 23, FALSE) / VLOOKUP("industry|SO2|Premature mortality", US_national_yearly!$D:$AM, 10, FALSE), 1)</f>
        <v>3.8159175818844586E-2</v>
      </c>
      <c r="P2" s="7">
        <f>$B2 * IFERROR(VLOOKUP("industry|SO2|Premature mortality", US_national_yearly!$D:$AM, 24, FALSE) / VLOOKUP("industry|SO2|Premature mortality", US_national_yearly!$D:$AM, 10, FALSE), 1)</f>
        <v>3.855970710989437E-2</v>
      </c>
      <c r="Q2" s="7">
        <f>$B2 * IFERROR(VLOOKUP("industry|SO2|Premature mortality", US_national_yearly!$D:$AM, 25, FALSE) / VLOOKUP("industry|SO2|Premature mortality", US_national_yearly!$D:$AM, 10, FALSE), 1)</f>
        <v>3.8960238400944161E-2</v>
      </c>
      <c r="R2" s="7">
        <f>$B2 * IFERROR(VLOOKUP("industry|SO2|Premature mortality", US_national_yearly!$D:$AM, 26, FALSE) / VLOOKUP("industry|SO2|Premature mortality", US_national_yearly!$D:$AM, 10, FALSE), 1)</f>
        <v>3.9360769691993945E-2</v>
      </c>
      <c r="S2" s="7">
        <f>$B2 * IFERROR(VLOOKUP("industry|SO2|Premature mortality", US_national_yearly!$D:$AM, 27, FALSE) / VLOOKUP("industry|SO2|Premature mortality", US_national_yearly!$D:$AM, 10, FALSE), 1)</f>
        <v>3.957703452361816E-2</v>
      </c>
      <c r="T2" s="7">
        <f>$B2 * IFERROR(VLOOKUP("industry|SO2|Premature mortality", US_national_yearly!$D:$AM, 28, FALSE) / VLOOKUP("industry|SO2|Premature mortality", US_national_yearly!$D:$AM, 10, FALSE), 1)</f>
        <v>3.9793299355242374E-2</v>
      </c>
      <c r="U2" s="7">
        <f>$B2 * IFERROR(VLOOKUP("industry|SO2|Premature mortality", US_national_yearly!$D:$AM, 29, FALSE) / VLOOKUP("industry|SO2|Premature mortality", US_national_yearly!$D:$AM, 10, FALSE), 1)</f>
        <v>4.0009564186866603E-2</v>
      </c>
      <c r="V2" s="7">
        <f>$B2 * IFERROR(VLOOKUP("industry|SO2|Premature mortality", US_national_yearly!$D:$AM, 30, FALSE) / VLOOKUP("industry|SO2|Premature mortality", US_national_yearly!$D:$AM, 10, FALSE), 1)</f>
        <v>4.0225829018490818E-2</v>
      </c>
      <c r="W2" s="7">
        <f>$B2 * IFERROR(VLOOKUP("industry|SO2|Premature mortality", US_national_yearly!$D:$AM, 31, FALSE) / VLOOKUP("industry|SO2|Premature mortality", US_national_yearly!$D:$AM, 10, FALSE), 1)</f>
        <v>4.0442093850115039E-2</v>
      </c>
      <c r="X2" s="7">
        <f>$B2 * IFERROR(VLOOKUP("industry|SO2|Premature mortality", US_national_yearly!$D:$AM, 32, FALSE) / VLOOKUP("industry|SO2|Premature mortality", US_national_yearly!$D:$AM, 10, FALSE), 1)</f>
        <v>4.0488640640965537E-2</v>
      </c>
      <c r="Y2" s="7">
        <f>$B2 * IFERROR(VLOOKUP("industry|SO2|Premature mortality", US_national_yearly!$D:$AM, 33, FALSE) / VLOOKUP("industry|SO2|Premature mortality", US_national_yearly!$D:$AM, 10, FALSE), 1)</f>
        <v>4.0535187431816035E-2</v>
      </c>
      <c r="Z2" s="7">
        <f>$B2 * IFERROR(VLOOKUP("industry|SO2|Premature mortality", US_national_yearly!$D:$AM, 34, FALSE) / VLOOKUP("industry|SO2|Premature mortality", US_national_yearly!$D:$AM, 10, FALSE), 1)</f>
        <v>4.0581734222666546E-2</v>
      </c>
      <c r="AA2" s="7">
        <f>$B2 * IFERROR(VLOOKUP("industry|SO2|Premature mortality", US_national_yearly!$D:$AM, 35, FALSE) / VLOOKUP("industry|SO2|Premature mortality", US_national_yearly!$D:$AM, 10, FALSE), 1)</f>
        <v>4.0628281013517044E-2</v>
      </c>
      <c r="AB2" s="7">
        <f>$B2 * IFERROR(VLOOKUP("industry|SO2|Premature mortality", US_national_yearly!$D:$AM, 36, FALSE) / VLOOKUP("industry|SO2|Premature mortality", US_national_yearly!$D:$AM, 10, FALSE), 1)</f>
        <v>4.0674827804367548E-2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7.5719017929560558E-5</v>
      </c>
      <c r="C3" s="7">
        <f>$B3 * IFERROR(VLOOKUP("industry|SO2|Infant mortality", US_national_yearly!$D:$AM, 11, FALSE) / VLOOKUP("industry|SO2|Infant mortality", US_national_yearly!$D:$AM, 10, FALSE), 1)</f>
        <v>7.5067601379107243E-5</v>
      </c>
      <c r="D3" s="7">
        <f>$B3 * IFERROR(VLOOKUP("industry|SO2|Infant mortality", US_national_yearly!$D:$AM, 12, FALSE) / VLOOKUP("industry|SO2|Infant mortality", US_national_yearly!$D:$AM, 10, FALSE), 1)</f>
        <v>7.4416184828653928E-5</v>
      </c>
      <c r="E3" s="7">
        <f>$B3 * IFERROR(VLOOKUP("industry|SO2|Infant mortality", US_national_yearly!$D:$AM, 13, FALSE) / VLOOKUP("industry|SO2|Infant mortality", US_national_yearly!$D:$AM, 10, FALSE), 1)</f>
        <v>7.3764768278200614E-5</v>
      </c>
      <c r="F3" s="7">
        <f>$B3 * IFERROR(VLOOKUP("industry|SO2|Infant mortality", US_national_yearly!$D:$AM, 14, FALSE) / VLOOKUP("industry|SO2|Infant mortality", US_national_yearly!$D:$AM, 10, FALSE), 1)</f>
        <v>7.3113351727747299E-5</v>
      </c>
      <c r="G3" s="7">
        <f>$B3 * IFERROR(VLOOKUP("industry|SO2|Infant mortality", US_national_yearly!$D:$AM, 15, FALSE) / VLOOKUP("industry|SO2|Infant mortality", US_national_yearly!$D:$AM, 10, FALSE), 1)</f>
        <v>4.8671437335218762E-5</v>
      </c>
      <c r="H3" s="7">
        <f>$B3 * IFERROR(VLOOKUP("industry|SO2|Infant mortality", US_national_yearly!$D:$AM, 16, FALSE) / VLOOKUP("industry|SO2|Infant mortality", US_national_yearly!$D:$AM, 10, FALSE), 1)</f>
        <v>2.422952294269022E-5</v>
      </c>
      <c r="I3" s="7">
        <f>$B3 * IFERROR(VLOOKUP("industry|SO2|Infant mortality", US_national_yearly!$D:$AM, 17, FALSE) / VLOOKUP("industry|SO2|Infant mortality", US_national_yearly!$D:$AM, 10, FALSE), 1)</f>
        <v>2.4075667538557894E-5</v>
      </c>
      <c r="J3" s="7">
        <f>$B3 * IFERROR(VLOOKUP("industry|SO2|Infant mortality", US_national_yearly!$D:$AM, 18, FALSE) / VLOOKUP("industry|SO2|Infant mortality", US_national_yearly!$D:$AM, 10, FALSE), 1)</f>
        <v>2.3921812134425563E-5</v>
      </c>
      <c r="K3" s="7">
        <f>$B3 * IFERROR(VLOOKUP("industry|SO2|Infant mortality", US_national_yearly!$D:$AM, 19, FALSE) / VLOOKUP("industry|SO2|Infant mortality", US_national_yearly!$D:$AM, 10, FALSE), 1)</f>
        <v>2.3767956730293237E-5</v>
      </c>
      <c r="L3" s="7">
        <f>$B3 * IFERROR(VLOOKUP("industry|SO2|Infant mortality", US_national_yearly!$D:$AM, 20, FALSE) / VLOOKUP("industry|SO2|Infant mortality", US_national_yearly!$D:$AM, 10, FALSE), 1)</f>
        <v>2.361410132616091E-5</v>
      </c>
      <c r="M3" s="7">
        <f>$B3 * IFERROR(VLOOKUP("industry|SO2|Infant mortality", US_national_yearly!$D:$AM, 21, FALSE) / VLOOKUP("industry|SO2|Infant mortality", US_national_yearly!$D:$AM, 10, FALSE), 1)</f>
        <v>2.346024592202858E-5</v>
      </c>
      <c r="N3" s="7">
        <f>$B3 * IFERROR(VLOOKUP("industry|SO2|Infant mortality", US_national_yearly!$D:$AM, 22, FALSE) / VLOOKUP("industry|SO2|Infant mortality", US_national_yearly!$D:$AM, 10, FALSE), 1)</f>
        <v>2.3362731644084874E-5</v>
      </c>
      <c r="O3" s="7">
        <f>$B3 * IFERROR(VLOOKUP("industry|SO2|Infant mortality", US_national_yearly!$D:$AM, 23, FALSE) / VLOOKUP("industry|SO2|Infant mortality", US_national_yearly!$D:$AM, 10, FALSE), 1)</f>
        <v>2.3265217366141164E-5</v>
      </c>
      <c r="P3" s="7">
        <f>$B3 * IFERROR(VLOOKUP("industry|SO2|Infant mortality", US_national_yearly!$D:$AM, 24, FALSE) / VLOOKUP("industry|SO2|Infant mortality", US_national_yearly!$D:$AM, 10, FALSE), 1)</f>
        <v>2.3167703088197458E-5</v>
      </c>
      <c r="Q3" s="7">
        <f>$B3 * IFERROR(VLOOKUP("industry|SO2|Infant mortality", US_national_yearly!$D:$AM, 25, FALSE) / VLOOKUP("industry|SO2|Infant mortality", US_national_yearly!$D:$AM, 10, FALSE), 1)</f>
        <v>2.3070188810253749E-5</v>
      </c>
      <c r="R3" s="7">
        <f>$B3 * IFERROR(VLOOKUP("industry|SO2|Infant mortality", US_national_yearly!$D:$AM, 26, FALSE) / VLOOKUP("industry|SO2|Infant mortality", US_national_yearly!$D:$AM, 10, FALSE), 1)</f>
        <v>2.2972674532310039E-5</v>
      </c>
      <c r="S3" s="7">
        <f>$B3 * IFERROR(VLOOKUP("industry|SO2|Infant mortality", US_national_yearly!$D:$AM, 27, FALSE) / VLOOKUP("industry|SO2|Infant mortality", US_national_yearly!$D:$AM, 10, FALSE), 1)</f>
        <v>2.2851319125821179E-5</v>
      </c>
      <c r="T3" s="7">
        <f>$B3 * IFERROR(VLOOKUP("industry|SO2|Infant mortality", US_national_yearly!$D:$AM, 28, FALSE) / VLOOKUP("industry|SO2|Infant mortality", US_national_yearly!$D:$AM, 10, FALSE), 1)</f>
        <v>2.2729963719332318E-5</v>
      </c>
      <c r="U3" s="7">
        <f>$B3 * IFERROR(VLOOKUP("industry|SO2|Infant mortality", US_national_yearly!$D:$AM, 29, FALSE) / VLOOKUP("industry|SO2|Infant mortality", US_national_yearly!$D:$AM, 10, FALSE), 1)</f>
        <v>2.2608608312843455E-5</v>
      </c>
      <c r="V3" s="7">
        <f>$B3 * IFERROR(VLOOKUP("industry|SO2|Infant mortality", US_national_yearly!$D:$AM, 30, FALSE) / VLOOKUP("industry|SO2|Infant mortality", US_national_yearly!$D:$AM, 10, FALSE), 1)</f>
        <v>2.2487252906354594E-5</v>
      </c>
      <c r="W3" s="7">
        <f>$B3 * IFERROR(VLOOKUP("industry|SO2|Infant mortality", US_national_yearly!$D:$AM, 31, FALSE) / VLOOKUP("industry|SO2|Infant mortality", US_national_yearly!$D:$AM, 10, FALSE), 1)</f>
        <v>2.236589749986573E-5</v>
      </c>
      <c r="X3" s="7">
        <f>$B3 * IFERROR(VLOOKUP("industry|SO2|Infant mortality", US_national_yearly!$D:$AM, 32, FALSE) / VLOOKUP("industry|SO2|Infant mortality", US_national_yearly!$D:$AM, 10, FALSE), 1)</f>
        <v>2.2234020388025277E-5</v>
      </c>
      <c r="Y3" s="7">
        <f>$B3 * IFERROR(VLOOKUP("industry|SO2|Infant mortality", US_national_yearly!$D:$AM, 33, FALSE) / VLOOKUP("industry|SO2|Infant mortality", US_national_yearly!$D:$AM, 10, FALSE), 1)</f>
        <v>2.2102143276184824E-5</v>
      </c>
      <c r="Z3" s="7">
        <f>$B3 * IFERROR(VLOOKUP("industry|SO2|Infant mortality", US_national_yearly!$D:$AM, 34, FALSE) / VLOOKUP("industry|SO2|Infant mortality", US_national_yearly!$D:$AM, 10, FALSE), 1)</f>
        <v>2.1970266164344371E-5</v>
      </c>
      <c r="AA3" s="7">
        <f>$B3 * IFERROR(VLOOKUP("industry|SO2|Infant mortality", US_national_yearly!$D:$AM, 35, FALSE) / VLOOKUP("industry|SO2|Infant mortality", US_national_yearly!$D:$AM, 10, FALSE), 1)</f>
        <v>2.1838389052503917E-5</v>
      </c>
      <c r="AB3" s="7">
        <f>$B3 * IFERROR(VLOOKUP("industry|SO2|Infant mortality", US_national_yearly!$D:$AM, 36, FALSE) / VLOOKUP("industry|SO2|Infant mortality", US_national_yearly!$D:$AM, 10, FALSE), 1)</f>
        <v>2.1706511940663464E-5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0.10585324740893555</v>
      </c>
      <c r="C6" s="7">
        <f>$B6 * IFERROR(VLOOKUP("industry|SO2|Asthma symptoms cough", US_national_yearly!$D:$AM, 11, FALSE) / VLOOKUP("industry|SO2|Asthma symptoms cough", US_national_yearly!$D:$AM, 10, FALSE), 1)</f>
        <v>0.10585324740893555</v>
      </c>
      <c r="D6" s="7">
        <f>$B6 * IFERROR(VLOOKUP("industry|SO2|Asthma symptoms cough", US_national_yearly!$D:$AM, 12, FALSE) / VLOOKUP("industry|SO2|Asthma symptoms cough", US_national_yearly!$D:$AM, 10, FALSE), 1)</f>
        <v>0.10585324740893555</v>
      </c>
      <c r="E6" s="7">
        <f>$B6 * IFERROR(VLOOKUP("industry|SO2|Asthma symptoms cough", US_national_yearly!$D:$AM, 13, FALSE) / VLOOKUP("industry|SO2|Asthma symptoms cough", US_national_yearly!$D:$AM, 10, FALSE), 1)</f>
        <v>0.10585324740893555</v>
      </c>
      <c r="F6" s="7">
        <f>$B6 * IFERROR(VLOOKUP("industry|SO2|Asthma symptoms cough", US_national_yearly!$D:$AM, 14, FALSE) / VLOOKUP("industry|SO2|Asthma symptoms cough", US_national_yearly!$D:$AM, 10, FALSE), 1)</f>
        <v>0.10585324740893555</v>
      </c>
      <c r="G6" s="7">
        <f>$B6 * IFERROR(VLOOKUP("industry|SO2|Asthma symptoms cough", US_national_yearly!$D:$AM, 15, FALSE) / VLOOKUP("industry|SO2|Asthma symptoms cough", US_national_yearly!$D:$AM, 10, FALSE), 1)</f>
        <v>0.10585324740893555</v>
      </c>
      <c r="H6" s="7">
        <f>$B6 * IFERROR(VLOOKUP("industry|SO2|Asthma symptoms cough", US_national_yearly!$D:$AM, 16, FALSE) / VLOOKUP("industry|SO2|Asthma symptoms cough", US_national_yearly!$D:$AM, 10, FALSE), 1)</f>
        <v>0.10585324740893555</v>
      </c>
      <c r="I6" s="7">
        <f>$B6 * IFERROR(VLOOKUP("industry|SO2|Asthma symptoms cough", US_national_yearly!$D:$AM, 17, FALSE) / VLOOKUP("industry|SO2|Asthma symptoms cough", US_national_yearly!$D:$AM, 10, FALSE), 1)</f>
        <v>0.10585324740893555</v>
      </c>
      <c r="J6" s="7">
        <f>$B6 * IFERROR(VLOOKUP("industry|SO2|Asthma symptoms cough", US_national_yearly!$D:$AM, 18, FALSE) / VLOOKUP("industry|SO2|Asthma symptoms cough", US_national_yearly!$D:$AM, 10, FALSE), 1)</f>
        <v>0.10585324740893555</v>
      </c>
      <c r="K6" s="7">
        <f>$B6 * IFERROR(VLOOKUP("industry|SO2|Asthma symptoms cough", US_national_yearly!$D:$AM, 19, FALSE) / VLOOKUP("industry|SO2|Asthma symptoms cough", US_national_yearly!$D:$AM, 10, FALSE), 1)</f>
        <v>0.10585324740893555</v>
      </c>
      <c r="L6" s="7">
        <f>$B6 * IFERROR(VLOOKUP("industry|SO2|Asthma symptoms cough", US_national_yearly!$D:$AM, 20, FALSE) / VLOOKUP("industry|SO2|Asthma symptoms cough", US_national_yearly!$D:$AM, 10, FALSE), 1)</f>
        <v>0.10585324740893555</v>
      </c>
      <c r="M6" s="7">
        <f>$B6 * IFERROR(VLOOKUP("industry|SO2|Asthma symptoms cough", US_national_yearly!$D:$AM, 21, FALSE) / VLOOKUP("industry|SO2|Asthma symptoms cough", US_national_yearly!$D:$AM, 10, FALSE), 1)</f>
        <v>0.10585324740893555</v>
      </c>
      <c r="N6" s="7">
        <f>$B6 * IFERROR(VLOOKUP("industry|SO2|Asthma symptoms cough", US_national_yearly!$D:$AM, 22, FALSE) / VLOOKUP("industry|SO2|Asthma symptoms cough", US_national_yearly!$D:$AM, 10, FALSE), 1)</f>
        <v>0.10585324740893555</v>
      </c>
      <c r="O6" s="7">
        <f>$B6 * IFERROR(VLOOKUP("industry|SO2|Asthma symptoms cough", US_national_yearly!$D:$AM, 23, FALSE) / VLOOKUP("industry|SO2|Asthma symptoms cough", US_national_yearly!$D:$AM, 10, FALSE), 1)</f>
        <v>0.10585324740893555</v>
      </c>
      <c r="P6" s="7">
        <f>$B6 * IFERROR(VLOOKUP("industry|SO2|Asthma symptoms cough", US_national_yearly!$D:$AM, 24, FALSE) / VLOOKUP("industry|SO2|Asthma symptoms cough", US_national_yearly!$D:$AM, 10, FALSE), 1)</f>
        <v>0.10585324740893555</v>
      </c>
      <c r="Q6" s="7">
        <f>$B6 * IFERROR(VLOOKUP("industry|SO2|Asthma symptoms cough", US_national_yearly!$D:$AM, 25, FALSE) / VLOOKUP("industry|SO2|Asthma symptoms cough", US_national_yearly!$D:$AM, 10, FALSE), 1)</f>
        <v>0.10585324740893555</v>
      </c>
      <c r="R6" s="7">
        <f>$B6 * IFERROR(VLOOKUP("industry|SO2|Asthma symptoms cough", US_national_yearly!$D:$AM, 26, FALSE) / VLOOKUP("industry|SO2|Asthma symptoms cough", US_national_yearly!$D:$AM, 10, FALSE), 1)</f>
        <v>0.10585324740893555</v>
      </c>
      <c r="S6" s="7">
        <f>$B6 * IFERROR(VLOOKUP("industry|SO2|Asthma symptoms cough", US_national_yearly!$D:$AM, 27, FALSE) / VLOOKUP("industry|SO2|Asthma symptoms cough", US_national_yearly!$D:$AM, 10, FALSE), 1)</f>
        <v>0.10585324740893555</v>
      </c>
      <c r="T6" s="7">
        <f>$B6 * IFERROR(VLOOKUP("industry|SO2|Asthma symptoms cough", US_national_yearly!$D:$AM, 28, FALSE) / VLOOKUP("industry|SO2|Asthma symptoms cough", US_national_yearly!$D:$AM, 10, FALSE), 1)</f>
        <v>0.10585324740893555</v>
      </c>
      <c r="U6" s="7">
        <f>$B6 * IFERROR(VLOOKUP("industry|SO2|Asthma symptoms cough", US_national_yearly!$D:$AM, 29, FALSE) / VLOOKUP("industry|SO2|Asthma symptoms cough", US_national_yearly!$D:$AM, 10, FALSE), 1)</f>
        <v>0.10585324740893555</v>
      </c>
      <c r="V6" s="7">
        <f>$B6 * IFERROR(VLOOKUP("industry|SO2|Asthma symptoms cough", US_national_yearly!$D:$AM, 30, FALSE) / VLOOKUP("industry|SO2|Asthma symptoms cough", US_national_yearly!$D:$AM, 10, FALSE), 1)</f>
        <v>0.10585324740893555</v>
      </c>
      <c r="W6" s="7">
        <f>$B6 * IFERROR(VLOOKUP("industry|SO2|Asthma symptoms cough", US_national_yearly!$D:$AM, 31, FALSE) / VLOOKUP("industry|SO2|Asthma symptoms cough", US_national_yearly!$D:$AM, 10, FALSE), 1)</f>
        <v>0.10585324740893555</v>
      </c>
      <c r="X6" s="7">
        <f>$B6 * IFERROR(VLOOKUP("industry|SO2|Asthma symptoms cough", US_national_yearly!$D:$AM, 32, FALSE) / VLOOKUP("industry|SO2|Asthma symptoms cough", US_national_yearly!$D:$AM, 10, FALSE), 1)</f>
        <v>0.10585324740893555</v>
      </c>
      <c r="Y6" s="7">
        <f>$B6 * IFERROR(VLOOKUP("industry|SO2|Asthma symptoms cough", US_national_yearly!$D:$AM, 33, FALSE) / VLOOKUP("industry|SO2|Asthma symptoms cough", US_national_yearly!$D:$AM, 10, FALSE), 1)</f>
        <v>0.10585324740893555</v>
      </c>
      <c r="Z6" s="7">
        <f>$B6 * IFERROR(VLOOKUP("industry|SO2|Asthma symptoms cough", US_national_yearly!$D:$AM, 34, FALSE) / VLOOKUP("industry|SO2|Asthma symptoms cough", US_national_yearly!$D:$AM, 10, FALSE), 1)</f>
        <v>0.10585324740893555</v>
      </c>
      <c r="AA6" s="7">
        <f>$B6 * IFERROR(VLOOKUP("industry|SO2|Asthma symptoms cough", US_national_yearly!$D:$AM, 35, FALSE) / VLOOKUP("industry|SO2|Asthma symptoms cough", US_national_yearly!$D:$AM, 10, FALSE), 1)</f>
        <v>0.10585324740893555</v>
      </c>
      <c r="AB6" s="7">
        <f>$B6 * IFERROR(VLOOKUP("industry|SO2|Asthma symptoms cough", US_national_yearly!$D:$AM, 36, FALSE) / VLOOKUP("industry|SO2|Asthma symptoms cough", US_national_yearly!$D:$AM, 10, FALSE), 1)</f>
        <v>0.10585324740893555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0.14254338829224866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0.14254338829224866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0.14254338829224866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0.14254338829224866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0.14254338829224866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0.14254338829224866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0.14254338829224866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0.14254338829224866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0.14254338829224866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0.14254338829224866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0.14254338829224866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0.14254338829224866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0.14254338829224866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0.14254338829224866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0.14254338829224866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0.14254338829224866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0.14254338829224866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0.14254338829224866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0.14254338829224866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0.14254338829224866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0.14254338829224866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0.14254338829224866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0.14254338829224866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0.14254338829224866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0.14254338829224866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0.14254338829224866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0.14254338829224866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0.21779415339372205</v>
      </c>
      <c r="C8" s="7">
        <f>$B8 * IFERROR(VLOOKUP("industry|SO2|Asthma symptoms wheeze", US_national_yearly!$D:$AM, 11, FALSE) / VLOOKUP("industry|SO2|Asthma symptoms wheeze", US_national_yearly!$D:$AM, 10, FALSE), 1)</f>
        <v>0.21779415339372205</v>
      </c>
      <c r="D8" s="7">
        <f>$B8 * IFERROR(VLOOKUP("industry|SO2|Asthma symptoms wheeze", US_national_yearly!$D:$AM, 12, FALSE) / VLOOKUP("industry|SO2|Asthma symptoms wheeze", US_national_yearly!$D:$AM, 10, FALSE), 1)</f>
        <v>0.21779415339372205</v>
      </c>
      <c r="E8" s="7">
        <f>$B8 * IFERROR(VLOOKUP("industry|SO2|Asthma symptoms wheeze", US_national_yearly!$D:$AM, 13, FALSE) / VLOOKUP("industry|SO2|Asthma symptoms wheeze", US_national_yearly!$D:$AM, 10, FALSE), 1)</f>
        <v>0.21779415339372205</v>
      </c>
      <c r="F8" s="7">
        <f>$B8 * IFERROR(VLOOKUP("industry|SO2|Asthma symptoms wheeze", US_national_yearly!$D:$AM, 14, FALSE) / VLOOKUP("industry|SO2|Asthma symptoms wheeze", US_national_yearly!$D:$AM, 10, FALSE), 1)</f>
        <v>0.21779415339372205</v>
      </c>
      <c r="G8" s="7">
        <f>$B8 * IFERROR(VLOOKUP("industry|SO2|Asthma symptoms wheeze", US_national_yearly!$D:$AM, 15, FALSE) / VLOOKUP("industry|SO2|Asthma symptoms wheeze", US_national_yearly!$D:$AM, 10, FALSE), 1)</f>
        <v>0.21779415339372205</v>
      </c>
      <c r="H8" s="7">
        <f>$B8 * IFERROR(VLOOKUP("industry|SO2|Asthma symptoms wheeze", US_national_yearly!$D:$AM, 16, FALSE) / VLOOKUP("industry|SO2|Asthma symptoms wheeze", US_national_yearly!$D:$AM, 10, FALSE), 1)</f>
        <v>0.21779415339372205</v>
      </c>
      <c r="I8" s="7">
        <f>$B8 * IFERROR(VLOOKUP("industry|SO2|Asthma symptoms wheeze", US_national_yearly!$D:$AM, 17, FALSE) / VLOOKUP("industry|SO2|Asthma symptoms wheeze", US_national_yearly!$D:$AM, 10, FALSE), 1)</f>
        <v>0.21779415339372205</v>
      </c>
      <c r="J8" s="7">
        <f>$B8 * IFERROR(VLOOKUP("industry|SO2|Asthma symptoms wheeze", US_national_yearly!$D:$AM, 18, FALSE) / VLOOKUP("industry|SO2|Asthma symptoms wheeze", US_national_yearly!$D:$AM, 10, FALSE), 1)</f>
        <v>0.21779415339372205</v>
      </c>
      <c r="K8" s="7">
        <f>$B8 * IFERROR(VLOOKUP("industry|SO2|Asthma symptoms wheeze", US_national_yearly!$D:$AM, 19, FALSE) / VLOOKUP("industry|SO2|Asthma symptoms wheeze", US_national_yearly!$D:$AM, 10, FALSE), 1)</f>
        <v>0.21779415339372205</v>
      </c>
      <c r="L8" s="7">
        <f>$B8 * IFERROR(VLOOKUP("industry|SO2|Asthma symptoms wheeze", US_national_yearly!$D:$AM, 20, FALSE) / VLOOKUP("industry|SO2|Asthma symptoms wheeze", US_national_yearly!$D:$AM, 10, FALSE), 1)</f>
        <v>0.21779415339372205</v>
      </c>
      <c r="M8" s="7">
        <f>$B8 * IFERROR(VLOOKUP("industry|SO2|Asthma symptoms wheeze", US_national_yearly!$D:$AM, 21, FALSE) / VLOOKUP("industry|SO2|Asthma symptoms wheeze", US_national_yearly!$D:$AM, 10, FALSE), 1)</f>
        <v>0.21779415339372205</v>
      </c>
      <c r="N8" s="7">
        <f>$B8 * IFERROR(VLOOKUP("industry|SO2|Asthma symptoms wheeze", US_national_yearly!$D:$AM, 22, FALSE) / VLOOKUP("industry|SO2|Asthma symptoms wheeze", US_national_yearly!$D:$AM, 10, FALSE), 1)</f>
        <v>0.21779415339372205</v>
      </c>
      <c r="O8" s="7">
        <f>$B8 * IFERROR(VLOOKUP("industry|SO2|Asthma symptoms wheeze", US_national_yearly!$D:$AM, 23, FALSE) / VLOOKUP("industry|SO2|Asthma symptoms wheeze", US_national_yearly!$D:$AM, 10, FALSE), 1)</f>
        <v>0.21779415339372205</v>
      </c>
      <c r="P8" s="7">
        <f>$B8 * IFERROR(VLOOKUP("industry|SO2|Asthma symptoms wheeze", US_national_yearly!$D:$AM, 24, FALSE) / VLOOKUP("industry|SO2|Asthma symptoms wheeze", US_national_yearly!$D:$AM, 10, FALSE), 1)</f>
        <v>0.21779415339372205</v>
      </c>
      <c r="Q8" s="7">
        <f>$B8 * IFERROR(VLOOKUP("industry|SO2|Asthma symptoms wheeze", US_national_yearly!$D:$AM, 25, FALSE) / VLOOKUP("industry|SO2|Asthma symptoms wheeze", US_national_yearly!$D:$AM, 10, FALSE), 1)</f>
        <v>0.21779415339372205</v>
      </c>
      <c r="R8" s="7">
        <f>$B8 * IFERROR(VLOOKUP("industry|SO2|Asthma symptoms wheeze", US_national_yearly!$D:$AM, 26, FALSE) / VLOOKUP("industry|SO2|Asthma symptoms wheeze", US_national_yearly!$D:$AM, 10, FALSE), 1)</f>
        <v>0.21779415339372205</v>
      </c>
      <c r="S8" s="7">
        <f>$B8 * IFERROR(VLOOKUP("industry|SO2|Asthma symptoms wheeze", US_national_yearly!$D:$AM, 27, FALSE) / VLOOKUP("industry|SO2|Asthma symptoms wheeze", US_national_yearly!$D:$AM, 10, FALSE), 1)</f>
        <v>0.21779415339372205</v>
      </c>
      <c r="T8" s="7">
        <f>$B8 * IFERROR(VLOOKUP("industry|SO2|Asthma symptoms wheeze", US_national_yearly!$D:$AM, 28, FALSE) / VLOOKUP("industry|SO2|Asthma symptoms wheeze", US_national_yearly!$D:$AM, 10, FALSE), 1)</f>
        <v>0.21779415339372205</v>
      </c>
      <c r="U8" s="7">
        <f>$B8 * IFERROR(VLOOKUP("industry|SO2|Asthma symptoms wheeze", US_national_yearly!$D:$AM, 29, FALSE) / VLOOKUP("industry|SO2|Asthma symptoms wheeze", US_national_yearly!$D:$AM, 10, FALSE), 1)</f>
        <v>0.21779415339372205</v>
      </c>
      <c r="V8" s="7">
        <f>$B8 * IFERROR(VLOOKUP("industry|SO2|Asthma symptoms wheeze", US_national_yearly!$D:$AM, 30, FALSE) / VLOOKUP("industry|SO2|Asthma symptoms wheeze", US_national_yearly!$D:$AM, 10, FALSE), 1)</f>
        <v>0.21779415339372205</v>
      </c>
      <c r="W8" s="7">
        <f>$B8 * IFERROR(VLOOKUP("industry|SO2|Asthma symptoms wheeze", US_national_yearly!$D:$AM, 31, FALSE) / VLOOKUP("industry|SO2|Asthma symptoms wheeze", US_national_yearly!$D:$AM, 10, FALSE), 1)</f>
        <v>0.21779415339372205</v>
      </c>
      <c r="X8" s="7">
        <f>$B8 * IFERROR(VLOOKUP("industry|SO2|Asthma symptoms wheeze", US_national_yearly!$D:$AM, 32, FALSE) / VLOOKUP("industry|SO2|Asthma symptoms wheeze", US_national_yearly!$D:$AM, 10, FALSE), 1)</f>
        <v>0.21779415339372205</v>
      </c>
      <c r="Y8" s="7">
        <f>$B8 * IFERROR(VLOOKUP("industry|SO2|Asthma symptoms wheeze", US_national_yearly!$D:$AM, 33, FALSE) / VLOOKUP("industry|SO2|Asthma symptoms wheeze", US_national_yearly!$D:$AM, 10, FALSE), 1)</f>
        <v>0.21779415339372205</v>
      </c>
      <c r="Z8" s="7">
        <f>$B8 * IFERROR(VLOOKUP("industry|SO2|Asthma symptoms wheeze", US_national_yearly!$D:$AM, 34, FALSE) / VLOOKUP("industry|SO2|Asthma symptoms wheeze", US_national_yearly!$D:$AM, 10, FALSE), 1)</f>
        <v>0.21779415339372205</v>
      </c>
      <c r="AA8" s="7">
        <f>$B8 * IFERROR(VLOOKUP("industry|SO2|Asthma symptoms wheeze", US_national_yearly!$D:$AM, 35, FALSE) / VLOOKUP("industry|SO2|Asthma symptoms wheeze", US_national_yearly!$D:$AM, 10, FALSE), 1)</f>
        <v>0.21779415339372205</v>
      </c>
      <c r="AB8" s="7">
        <f>$B8 * IFERROR(VLOOKUP("industry|SO2|Asthma symptoms wheeze", US_national_yearly!$D:$AM, 36, FALSE) / VLOOKUP("industry|SO2|Asthma symptoms wheeze", US_national_yearly!$D:$AM, 10, FALSE), 1)</f>
        <v>0.21779415339372205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2.6482770127972733E-3</v>
      </c>
      <c r="C12" s="7">
        <f>$B12 * IFERROR(VLOOKUP("industry|SO2|Respiratory hospital admissions", US_national_yearly!$D:$AM, 11, FALSE) / VLOOKUP("industry|SO2|Respiratory hospital admissions", US_national_yearly!$D:$AM, 10, FALSE), 1)</f>
        <v>2.6637908603948423E-3</v>
      </c>
      <c r="D12" s="7">
        <f>$B12 * IFERROR(VLOOKUP("industry|SO2|Respiratory hospital admissions", US_national_yearly!$D:$AM, 12, FALSE) / VLOOKUP("industry|SO2|Respiratory hospital admissions", US_national_yearly!$D:$AM, 10, FALSE), 1)</f>
        <v>2.6793047079924112E-3</v>
      </c>
      <c r="E12" s="7">
        <f>$B12 * IFERROR(VLOOKUP("industry|SO2|Respiratory hospital admissions", US_national_yearly!$D:$AM, 13, FALSE) / VLOOKUP("industry|SO2|Respiratory hospital admissions", US_national_yearly!$D:$AM, 10, FALSE), 1)</f>
        <v>2.6948185555899801E-3</v>
      </c>
      <c r="F12" s="7">
        <f>$B12 * IFERROR(VLOOKUP("industry|SO2|Respiratory hospital admissions", US_national_yearly!$D:$AM, 14, FALSE) / VLOOKUP("industry|SO2|Respiratory hospital admissions", US_national_yearly!$D:$AM, 10, FALSE), 1)</f>
        <v>2.7103324031875495E-3</v>
      </c>
      <c r="G12" s="7">
        <f>$B12 * IFERROR(VLOOKUP("industry|SO2|Respiratory hospital admissions", US_national_yearly!$D:$AM, 15, FALSE) / VLOOKUP("industry|SO2|Respiratory hospital admissions", US_national_yearly!$D:$AM, 10, FALSE), 1)</f>
        <v>2.7272454981014148E-3</v>
      </c>
      <c r="H12" s="7">
        <f>$B12 * IFERROR(VLOOKUP("industry|SO2|Respiratory hospital admissions", US_national_yearly!$D:$AM, 16, FALSE) / VLOOKUP("industry|SO2|Respiratory hospital admissions", US_national_yearly!$D:$AM, 10, FALSE), 1)</f>
        <v>2.7441585930152801E-3</v>
      </c>
      <c r="I12" s="7">
        <f>$B12 * IFERROR(VLOOKUP("industry|SO2|Respiratory hospital admissions", US_national_yearly!$D:$AM, 17, FALSE) / VLOOKUP("industry|SO2|Respiratory hospital admissions", US_national_yearly!$D:$AM, 10, FALSE), 1)</f>
        <v>2.7607700254798379E-3</v>
      </c>
      <c r="J12" s="7">
        <f>$B12 * IFERROR(VLOOKUP("industry|SO2|Respiratory hospital admissions", US_national_yearly!$D:$AM, 18, FALSE) / VLOOKUP("industry|SO2|Respiratory hospital admissions", US_national_yearly!$D:$AM, 10, FALSE), 1)</f>
        <v>2.7773814579443957E-3</v>
      </c>
      <c r="K12" s="7">
        <f>$B12 * IFERROR(VLOOKUP("industry|SO2|Respiratory hospital admissions", US_national_yearly!$D:$AM, 19, FALSE) / VLOOKUP("industry|SO2|Respiratory hospital admissions", US_national_yearly!$D:$AM, 10, FALSE), 1)</f>
        <v>2.7939928904089531E-3</v>
      </c>
      <c r="L12" s="7">
        <f>$B12 * IFERROR(VLOOKUP("industry|SO2|Respiratory hospital admissions", US_national_yearly!$D:$AM, 20, FALSE) / VLOOKUP("industry|SO2|Respiratory hospital admissions", US_national_yearly!$D:$AM, 10, FALSE), 1)</f>
        <v>2.8106043228735113E-3</v>
      </c>
      <c r="M12" s="7">
        <f>$B12 * IFERROR(VLOOKUP("industry|SO2|Respiratory hospital admissions", US_national_yearly!$D:$AM, 21, FALSE) / VLOOKUP("industry|SO2|Respiratory hospital admissions", US_national_yearly!$D:$AM, 10, FALSE), 1)</f>
        <v>2.8272157553380691E-3</v>
      </c>
      <c r="N12" s="7">
        <f>$B12 * IFERROR(VLOOKUP("industry|SO2|Respiratory hospital admissions", US_national_yearly!$D:$AM, 22, FALSE) / VLOOKUP("industry|SO2|Respiratory hospital admissions", US_national_yearly!$D:$AM, 10, FALSE), 1)</f>
        <v>2.839236021677502E-3</v>
      </c>
      <c r="O12" s="7">
        <f>$B12 * IFERROR(VLOOKUP("industry|SO2|Respiratory hospital admissions", US_national_yearly!$D:$AM, 23, FALSE) / VLOOKUP("industry|SO2|Respiratory hospital admissions", US_national_yearly!$D:$AM, 10, FALSE), 1)</f>
        <v>2.8512562880169349E-3</v>
      </c>
      <c r="P12" s="7">
        <f>$B12 * IFERROR(VLOOKUP("industry|SO2|Respiratory hospital admissions", US_national_yearly!$D:$AM, 24, FALSE) / VLOOKUP("industry|SO2|Respiratory hospital admissions", US_national_yearly!$D:$AM, 10, FALSE), 1)</f>
        <v>2.8632765543563673E-3</v>
      </c>
      <c r="Q12" s="7">
        <f>$B12 * IFERROR(VLOOKUP("industry|SO2|Respiratory hospital admissions", US_national_yearly!$D:$AM, 25, FALSE) / VLOOKUP("industry|SO2|Respiratory hospital admissions", US_national_yearly!$D:$AM, 10, FALSE), 1)</f>
        <v>2.8752968206958002E-3</v>
      </c>
      <c r="R12" s="7">
        <f>$B12 * IFERROR(VLOOKUP("industry|SO2|Respiratory hospital admissions", US_national_yearly!$D:$AM, 26, FALSE) / VLOOKUP("industry|SO2|Respiratory hospital admissions", US_national_yearly!$D:$AM, 10, FALSE), 1)</f>
        <v>2.8873170870352327E-3</v>
      </c>
      <c r="S12" s="7">
        <f>$B12 * IFERROR(VLOOKUP("industry|SO2|Respiratory hospital admissions", US_national_yearly!$D:$AM, 27, FALSE) / VLOOKUP("industry|SO2|Respiratory hospital admissions", US_national_yearly!$D:$AM, 10, FALSE), 1)</f>
        <v>2.8987405128027017E-3</v>
      </c>
      <c r="T12" s="7">
        <f>$B12 * IFERROR(VLOOKUP("industry|SO2|Respiratory hospital admissions", US_national_yearly!$D:$AM, 28, FALSE) / VLOOKUP("industry|SO2|Respiratory hospital admissions", US_national_yearly!$D:$AM, 10, FALSE), 1)</f>
        <v>2.9101639385701698E-3</v>
      </c>
      <c r="U12" s="7">
        <f>$B12 * IFERROR(VLOOKUP("industry|SO2|Respiratory hospital admissions", US_national_yearly!$D:$AM, 29, FALSE) / VLOOKUP("industry|SO2|Respiratory hospital admissions", US_national_yearly!$D:$AM, 10, FALSE), 1)</f>
        <v>2.9215873643376384E-3</v>
      </c>
      <c r="V12" s="7">
        <f>$B12 * IFERROR(VLOOKUP("industry|SO2|Respiratory hospital admissions", US_national_yearly!$D:$AM, 30, FALSE) / VLOOKUP("industry|SO2|Respiratory hospital admissions", US_national_yearly!$D:$AM, 10, FALSE), 1)</f>
        <v>2.9330107901051074E-3</v>
      </c>
      <c r="W12" s="7">
        <f>$B12 * IFERROR(VLOOKUP("industry|SO2|Respiratory hospital admissions", US_national_yearly!$D:$AM, 31, FALSE) / VLOOKUP("industry|SO2|Respiratory hospital admissions", US_national_yearly!$D:$AM, 10, FALSE), 1)</f>
        <v>2.9444342158725756E-3</v>
      </c>
      <c r="X12" s="7">
        <f>$B12 * IFERROR(VLOOKUP("industry|SO2|Respiratory hospital admissions", US_national_yearly!$D:$AM, 32, FALSE) / VLOOKUP("industry|SO2|Respiratory hospital admissions", US_national_yearly!$D:$AM, 10, FALSE), 1)</f>
        <v>2.9552820725827788E-3</v>
      </c>
      <c r="Y12" s="7">
        <f>$B12 * IFERROR(VLOOKUP("industry|SO2|Respiratory hospital admissions", US_national_yearly!$D:$AM, 33, FALSE) / VLOOKUP("industry|SO2|Respiratory hospital admissions", US_national_yearly!$D:$AM, 10, FALSE), 1)</f>
        <v>2.9661299292929825E-3</v>
      </c>
      <c r="Z12" s="7">
        <f>$B12 * IFERROR(VLOOKUP("industry|SO2|Respiratory hospital admissions", US_national_yearly!$D:$AM, 34, FALSE) / VLOOKUP("industry|SO2|Respiratory hospital admissions", US_national_yearly!$D:$AM, 10, FALSE), 1)</f>
        <v>2.9769777860031857E-3</v>
      </c>
      <c r="AA12" s="7">
        <f>$B12 * IFERROR(VLOOKUP("industry|SO2|Respiratory hospital admissions", US_national_yearly!$D:$AM, 35, FALSE) / VLOOKUP("industry|SO2|Respiratory hospital admissions", US_national_yearly!$D:$AM, 10, FALSE), 1)</f>
        <v>2.9878256427133885E-3</v>
      </c>
      <c r="AB12" s="7">
        <f>$B12 * IFERROR(VLOOKUP("industry|SO2|Respiratory hospital admissions", US_national_yearly!$D:$AM, 36, FALSE) / VLOOKUP("industry|SO2|Respiratory hospital admissions", US_national_yearly!$D:$AM, 10, FALSE), 1)</f>
        <v>2.9986734994235926E-3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7.7153579499685413E-3</v>
      </c>
      <c r="C13" s="7">
        <f>$B13 * IFERROR(VLOOKUP("industry|SO2|Non-fatal heart attacks", US_national_yearly!$D:$AM, 11, FALSE) / VLOOKUP("industry|SO2|Non-fatal heart attacks", US_national_yearly!$D:$AM, 10, FALSE), 1)</f>
        <v>7.9418519272846152E-3</v>
      </c>
      <c r="D13" s="7">
        <f>$B13 * IFERROR(VLOOKUP("industry|SO2|Non-fatal heart attacks", US_national_yearly!$D:$AM, 12, FALSE) / VLOOKUP("industry|SO2|Non-fatal heart attacks", US_national_yearly!$D:$AM, 10, FALSE), 1)</f>
        <v>8.1683459046006882E-3</v>
      </c>
      <c r="E13" s="7">
        <f>$B13 * IFERROR(VLOOKUP("industry|SO2|Non-fatal heart attacks", US_national_yearly!$D:$AM, 13, FALSE) / VLOOKUP("industry|SO2|Non-fatal heart attacks", US_national_yearly!$D:$AM, 10, FALSE), 1)</f>
        <v>8.3948398819167595E-3</v>
      </c>
      <c r="F13" s="7">
        <f>$B13 * IFERROR(VLOOKUP("industry|SO2|Non-fatal heart attacks", US_national_yearly!$D:$AM, 14, FALSE) / VLOOKUP("industry|SO2|Non-fatal heart attacks", US_national_yearly!$D:$AM, 10, FALSE), 1)</f>
        <v>8.6213338592328343E-3</v>
      </c>
      <c r="G13" s="7">
        <f>$B13 * IFERROR(VLOOKUP("industry|SO2|Non-fatal heart attacks", US_national_yearly!$D:$AM, 15, FALSE) / VLOOKUP("industry|SO2|Non-fatal heart attacks", US_national_yearly!$D:$AM, 10, FALSE), 1)</f>
        <v>8.8350807242262488E-3</v>
      </c>
      <c r="H13" s="7">
        <f>$B13 * IFERROR(VLOOKUP("industry|SO2|Non-fatal heart attacks", US_national_yearly!$D:$AM, 16, FALSE) / VLOOKUP("industry|SO2|Non-fatal heart attacks", US_national_yearly!$D:$AM, 10, FALSE), 1)</f>
        <v>9.0488275892196633E-3</v>
      </c>
      <c r="I13" s="7">
        <f>$B13 * IFERROR(VLOOKUP("industry|SO2|Non-fatal heart attacks", US_national_yearly!$D:$AM, 17, FALSE) / VLOOKUP("industry|SO2|Non-fatal heart attacks", US_national_yearly!$D:$AM, 10, FALSE), 1)</f>
        <v>9.221144560714269E-3</v>
      </c>
      <c r="J13" s="7">
        <f>$B13 * IFERROR(VLOOKUP("industry|SO2|Non-fatal heart attacks", US_national_yearly!$D:$AM, 18, FALSE) / VLOOKUP("industry|SO2|Non-fatal heart attacks", US_national_yearly!$D:$AM, 10, FALSE), 1)</f>
        <v>9.3934615322088782E-3</v>
      </c>
      <c r="K13" s="7">
        <f>$B13 * IFERROR(VLOOKUP("industry|SO2|Non-fatal heart attacks", US_national_yearly!$D:$AM, 19, FALSE) / VLOOKUP("industry|SO2|Non-fatal heart attacks", US_national_yearly!$D:$AM, 10, FALSE), 1)</f>
        <v>9.5657785037034856E-3</v>
      </c>
      <c r="L13" s="7">
        <f>$B13 * IFERROR(VLOOKUP("industry|SO2|Non-fatal heart attacks", US_national_yearly!$D:$AM, 20, FALSE) / VLOOKUP("industry|SO2|Non-fatal heart attacks", US_national_yearly!$D:$AM, 10, FALSE), 1)</f>
        <v>9.7380954751980931E-3</v>
      </c>
      <c r="M13" s="7">
        <f>$B13 * IFERROR(VLOOKUP("industry|SO2|Non-fatal heart attacks", US_national_yearly!$D:$AM, 21, FALSE) / VLOOKUP("industry|SO2|Non-fatal heart attacks", US_national_yearly!$D:$AM, 10, FALSE), 1)</f>
        <v>9.9104124466926988E-3</v>
      </c>
      <c r="N13" s="7">
        <f>$B13 * IFERROR(VLOOKUP("industry|SO2|Non-fatal heart attacks", US_national_yearly!$D:$AM, 22, FALSE) / VLOOKUP("industry|SO2|Non-fatal heart attacks", US_national_yearly!$D:$AM, 10, FALSE), 1)</f>
        <v>1.0022358731720702E-2</v>
      </c>
      <c r="O13" s="7">
        <f>$B13 * IFERROR(VLOOKUP("industry|SO2|Non-fatal heart attacks", US_national_yearly!$D:$AM, 23, FALSE) / VLOOKUP("industry|SO2|Non-fatal heart attacks", US_national_yearly!$D:$AM, 10, FALSE), 1)</f>
        <v>1.0134305016748706E-2</v>
      </c>
      <c r="P13" s="7">
        <f>$B13 * IFERROR(VLOOKUP("industry|SO2|Non-fatal heart attacks", US_national_yearly!$D:$AM, 24, FALSE) / VLOOKUP("industry|SO2|Non-fatal heart attacks", US_national_yearly!$D:$AM, 10, FALSE), 1)</f>
        <v>1.0246251301776707E-2</v>
      </c>
      <c r="Q13" s="7">
        <f>$B13 * IFERROR(VLOOKUP("industry|SO2|Non-fatal heart attacks", US_national_yearly!$D:$AM, 25, FALSE) / VLOOKUP("industry|SO2|Non-fatal heart attacks", US_national_yearly!$D:$AM, 10, FALSE), 1)</f>
        <v>1.0358197586804709E-2</v>
      </c>
      <c r="R13" s="7">
        <f>$B13 * IFERROR(VLOOKUP("industry|SO2|Non-fatal heart attacks", US_national_yearly!$D:$AM, 26, FALSE) / VLOOKUP("industry|SO2|Non-fatal heart attacks", US_national_yearly!$D:$AM, 10, FALSE), 1)</f>
        <v>1.0470143871832711E-2</v>
      </c>
      <c r="S13" s="7">
        <f>$B13 * IFERROR(VLOOKUP("industry|SO2|Non-fatal heart attacks", US_national_yearly!$D:$AM, 27, FALSE) / VLOOKUP("industry|SO2|Non-fatal heart attacks", US_national_yearly!$D:$AM, 10, FALSE), 1)</f>
        <v>1.0528939706672003E-2</v>
      </c>
      <c r="T13" s="7">
        <f>$B13 * IFERROR(VLOOKUP("industry|SO2|Non-fatal heart attacks", US_national_yearly!$D:$AM, 28, FALSE) / VLOOKUP("industry|SO2|Non-fatal heart attacks", US_national_yearly!$D:$AM, 10, FALSE), 1)</f>
        <v>1.0587735541511293E-2</v>
      </c>
      <c r="U13" s="7">
        <f>$B13 * IFERROR(VLOOKUP("industry|SO2|Non-fatal heart attacks", US_national_yearly!$D:$AM, 29, FALSE) / VLOOKUP("industry|SO2|Non-fatal heart attacks", US_national_yearly!$D:$AM, 10, FALSE), 1)</f>
        <v>1.0646531376350585E-2</v>
      </c>
      <c r="V13" s="7">
        <f>$B13 * IFERROR(VLOOKUP("industry|SO2|Non-fatal heart attacks", US_national_yearly!$D:$AM, 30, FALSE) / VLOOKUP("industry|SO2|Non-fatal heart attacks", US_national_yearly!$D:$AM, 10, FALSE), 1)</f>
        <v>1.0705327211189877E-2</v>
      </c>
      <c r="W13" s="7">
        <f>$B13 * IFERROR(VLOOKUP("industry|SO2|Non-fatal heart attacks", US_national_yearly!$D:$AM, 31, FALSE) / VLOOKUP("industry|SO2|Non-fatal heart attacks", US_national_yearly!$D:$AM, 10, FALSE), 1)</f>
        <v>1.0764123046029169E-2</v>
      </c>
      <c r="X13" s="7">
        <f>$B13 * IFERROR(VLOOKUP("industry|SO2|Non-fatal heart attacks", US_national_yearly!$D:$AM, 32, FALSE) / VLOOKUP("industry|SO2|Non-fatal heart attacks", US_national_yearly!$D:$AM, 10, FALSE), 1)</f>
        <v>1.080877678591244E-2</v>
      </c>
      <c r="Y13" s="7">
        <f>$B13 * IFERROR(VLOOKUP("industry|SO2|Non-fatal heart attacks", US_national_yearly!$D:$AM, 33, FALSE) / VLOOKUP("industry|SO2|Non-fatal heart attacks", US_national_yearly!$D:$AM, 10, FALSE), 1)</f>
        <v>1.0853430525795712E-2</v>
      </c>
      <c r="Z13" s="7">
        <f>$B13 * IFERROR(VLOOKUP("industry|SO2|Non-fatal heart attacks", US_national_yearly!$D:$AM, 34, FALSE) / VLOOKUP("industry|SO2|Non-fatal heart attacks", US_national_yearly!$D:$AM, 10, FALSE), 1)</f>
        <v>1.0898084265678983E-2</v>
      </c>
      <c r="AA13" s="7">
        <f>$B13 * IFERROR(VLOOKUP("industry|SO2|Non-fatal heart attacks", US_national_yearly!$D:$AM, 35, FALSE) / VLOOKUP("industry|SO2|Non-fatal heart attacks", US_national_yearly!$D:$AM, 10, FALSE), 1)</f>
        <v>1.0942738005562258E-2</v>
      </c>
      <c r="AB13" s="7">
        <f>$B13 * IFERROR(VLOOKUP("industry|SO2|Non-fatal heart attacks", US_national_yearly!$D:$AM, 36, FALSE) / VLOOKUP("industry|SO2|Non-fatal heart attacks", US_national_yearly!$D:$AM, 10, FALSE), 1)</f>
        <v>1.0987391745445529E-2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13.46727309007635</v>
      </c>
      <c r="C14" s="7">
        <f>$B14 * IFERROR(VLOOKUP("industry|SO2|Minor restricted activity days", US_national_yearly!$D:$AM, 11, FALSE) / VLOOKUP("industry|SO2|Minor restricted activity days", US_national_yearly!$D:$AM, 10, FALSE), 1)</f>
        <v>13.500959979460307</v>
      </c>
      <c r="D14" s="7">
        <f>$B14 * IFERROR(VLOOKUP("industry|SO2|Minor restricted activity days", US_national_yearly!$D:$AM, 12, FALSE) / VLOOKUP("industry|SO2|Minor restricted activity days", US_national_yearly!$D:$AM, 10, FALSE), 1)</f>
        <v>13.534646868844261</v>
      </c>
      <c r="E14" s="7">
        <f>$B14 * IFERROR(VLOOKUP("industry|SO2|Minor restricted activity days", US_national_yearly!$D:$AM, 13, FALSE) / VLOOKUP("industry|SO2|Minor restricted activity days", US_national_yearly!$D:$AM, 10, FALSE), 1)</f>
        <v>13.568333758228217</v>
      </c>
      <c r="F14" s="7">
        <f>$B14 * IFERROR(VLOOKUP("industry|SO2|Minor restricted activity days", US_national_yearly!$D:$AM, 14, FALSE) / VLOOKUP("industry|SO2|Minor restricted activity days", US_national_yearly!$D:$AM, 10, FALSE), 1)</f>
        <v>13.602020647612175</v>
      </c>
      <c r="G14" s="7">
        <f>$B14 * IFERROR(VLOOKUP("industry|SO2|Minor restricted activity days", US_national_yearly!$D:$AM, 15, FALSE) / VLOOKUP("industry|SO2|Minor restricted activity days", US_national_yearly!$D:$AM, 10, FALSE), 1)</f>
        <v>13.651577271828257</v>
      </c>
      <c r="H14" s="7">
        <f>$B14 * IFERROR(VLOOKUP("industry|SO2|Minor restricted activity days", US_national_yearly!$D:$AM, 16, FALSE) / VLOOKUP("industry|SO2|Minor restricted activity days", US_national_yearly!$D:$AM, 10, FALSE), 1)</f>
        <v>13.701133896044338</v>
      </c>
      <c r="I14" s="7">
        <f>$B14 * IFERROR(VLOOKUP("industry|SO2|Minor restricted activity days", US_national_yearly!$D:$AM, 17, FALSE) / VLOOKUP("industry|SO2|Minor restricted activity days", US_national_yearly!$D:$AM, 10, FALSE), 1)</f>
        <v>13.785642930081391</v>
      </c>
      <c r="J14" s="7">
        <f>$B14 * IFERROR(VLOOKUP("industry|SO2|Minor restricted activity days", US_national_yearly!$D:$AM, 18, FALSE) / VLOOKUP("industry|SO2|Minor restricted activity days", US_national_yearly!$D:$AM, 10, FALSE), 1)</f>
        <v>13.870151964118444</v>
      </c>
      <c r="K14" s="7">
        <f>$B14 * IFERROR(VLOOKUP("industry|SO2|Minor restricted activity days", US_national_yearly!$D:$AM, 19, FALSE) / VLOOKUP("industry|SO2|Minor restricted activity days", US_national_yearly!$D:$AM, 10, FALSE), 1)</f>
        <v>13.954660998155497</v>
      </c>
      <c r="L14" s="7">
        <f>$B14 * IFERROR(VLOOKUP("industry|SO2|Minor restricted activity days", US_national_yearly!$D:$AM, 20, FALSE) / VLOOKUP("industry|SO2|Minor restricted activity days", US_national_yearly!$D:$AM, 10, FALSE), 1)</f>
        <v>14.039170032192549</v>
      </c>
      <c r="M14" s="7">
        <f>$B14 * IFERROR(VLOOKUP("industry|SO2|Minor restricted activity days", US_national_yearly!$D:$AM, 21, FALSE) / VLOOKUP("industry|SO2|Minor restricted activity days", US_national_yearly!$D:$AM, 10, FALSE), 1)</f>
        <v>14.123679066229604</v>
      </c>
      <c r="N14" s="7">
        <f>$B14 * IFERROR(VLOOKUP("industry|SO2|Minor restricted activity days", US_national_yearly!$D:$AM, 22, FALSE) / VLOOKUP("industry|SO2|Minor restricted activity days", US_national_yearly!$D:$AM, 10, FALSE), 1)</f>
        <v>14.23955111556085</v>
      </c>
      <c r="O14" s="7">
        <f>$B14 * IFERROR(VLOOKUP("industry|SO2|Minor restricted activity days", US_national_yearly!$D:$AM, 23, FALSE) / VLOOKUP("industry|SO2|Minor restricted activity days", US_national_yearly!$D:$AM, 10, FALSE), 1)</f>
        <v>14.355423164892095</v>
      </c>
      <c r="P14" s="7">
        <f>$B14 * IFERROR(VLOOKUP("industry|SO2|Minor restricted activity days", US_national_yearly!$D:$AM, 24, FALSE) / VLOOKUP("industry|SO2|Minor restricted activity days", US_national_yearly!$D:$AM, 10, FALSE), 1)</f>
        <v>14.471295214223341</v>
      </c>
      <c r="Q14" s="7">
        <f>$B14 * IFERROR(VLOOKUP("industry|SO2|Minor restricted activity days", US_national_yearly!$D:$AM, 25, FALSE) / VLOOKUP("industry|SO2|Minor restricted activity days", US_national_yearly!$D:$AM, 10, FALSE), 1)</f>
        <v>14.587167263554591</v>
      </c>
      <c r="R14" s="7">
        <f>$B14 * IFERROR(VLOOKUP("industry|SO2|Minor restricted activity days", US_national_yearly!$D:$AM, 26, FALSE) / VLOOKUP("industry|SO2|Minor restricted activity days", US_national_yearly!$D:$AM, 10, FALSE), 1)</f>
        <v>14.703039312885837</v>
      </c>
      <c r="S14" s="7">
        <f>$B14 * IFERROR(VLOOKUP("industry|SO2|Minor restricted activity days", US_national_yearly!$D:$AM, 27, FALSE) / VLOOKUP("industry|SO2|Minor restricted activity days", US_national_yearly!$D:$AM, 10, FALSE), 1)</f>
        <v>14.821296097284973</v>
      </c>
      <c r="T14" s="7">
        <f>$B14 * IFERROR(VLOOKUP("industry|SO2|Minor restricted activity days", US_national_yearly!$D:$AM, 28, FALSE) / VLOOKUP("industry|SO2|Minor restricted activity days", US_national_yearly!$D:$AM, 10, FALSE), 1)</f>
        <v>14.939552881684115</v>
      </c>
      <c r="U14" s="7">
        <f>$B14 * IFERROR(VLOOKUP("industry|SO2|Minor restricted activity days", US_national_yearly!$D:$AM, 29, FALSE) / VLOOKUP("industry|SO2|Minor restricted activity days", US_national_yearly!$D:$AM, 10, FALSE), 1)</f>
        <v>15.057809666083251</v>
      </c>
      <c r="V14" s="7">
        <f>$B14 * IFERROR(VLOOKUP("industry|SO2|Minor restricted activity days", US_national_yearly!$D:$AM, 30, FALSE) / VLOOKUP("industry|SO2|Minor restricted activity days", US_national_yearly!$D:$AM, 10, FALSE), 1)</f>
        <v>15.176066450482393</v>
      </c>
      <c r="W14" s="7">
        <f>$B14 * IFERROR(VLOOKUP("industry|SO2|Minor restricted activity days", US_national_yearly!$D:$AM, 31, FALSE) / VLOOKUP("industry|SO2|Minor restricted activity days", US_national_yearly!$D:$AM, 10, FALSE), 1)</f>
        <v>15.29432323488153</v>
      </c>
      <c r="X14" s="7">
        <f>$B14 * IFERROR(VLOOKUP("industry|SO2|Minor restricted activity days", US_national_yearly!$D:$AM, 32, FALSE) / VLOOKUP("industry|SO2|Minor restricted activity days", US_national_yearly!$D:$AM, 10, FALSE), 1)</f>
        <v>15.398305492053396</v>
      </c>
      <c r="Y14" s="7">
        <f>$B14 * IFERROR(VLOOKUP("industry|SO2|Minor restricted activity days", US_national_yearly!$D:$AM, 33, FALSE) / VLOOKUP("industry|SO2|Minor restricted activity days", US_national_yearly!$D:$AM, 10, FALSE), 1)</f>
        <v>15.502287749225259</v>
      </c>
      <c r="Z14" s="7">
        <f>$B14 * IFERROR(VLOOKUP("industry|SO2|Minor restricted activity days", US_national_yearly!$D:$AM, 34, FALSE) / VLOOKUP("industry|SO2|Minor restricted activity days", US_national_yearly!$D:$AM, 10, FALSE), 1)</f>
        <v>15.606270006397121</v>
      </c>
      <c r="AA14" s="7">
        <f>$B14 * IFERROR(VLOOKUP("industry|SO2|Minor restricted activity days", US_national_yearly!$D:$AM, 35, FALSE) / VLOOKUP("industry|SO2|Minor restricted activity days", US_national_yearly!$D:$AM, 10, FALSE), 1)</f>
        <v>15.710252263568984</v>
      </c>
      <c r="AB14" s="7">
        <f>$B14 * IFERROR(VLOOKUP("industry|SO2|Minor restricted activity days", US_national_yearly!$D:$AM, 36, FALSE) / VLOOKUP("industry|SO2|Minor restricted activity days", US_national_yearly!$D:$AM, 10, FALSE), 1)</f>
        <v>15.81423452074085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2.2904654110873666</v>
      </c>
      <c r="C15" s="7">
        <f>$B15 * IFERROR(VLOOKUP("industry|SO2|Work loss days", US_national_yearly!$D:$AM, 11, FALSE) / VLOOKUP("industry|SO2|Work loss days", US_national_yearly!$D:$AM, 10, FALSE), 1)</f>
        <v>2.2978312890798089</v>
      </c>
      <c r="D15" s="7">
        <f>$B15 * IFERROR(VLOOKUP("industry|SO2|Work loss days", US_national_yearly!$D:$AM, 12, FALSE) / VLOOKUP("industry|SO2|Work loss days", US_national_yearly!$D:$AM, 10, FALSE), 1)</f>
        <v>2.3051971670722526</v>
      </c>
      <c r="E15" s="7">
        <f>$B15 * IFERROR(VLOOKUP("industry|SO2|Work loss days", US_national_yearly!$D:$AM, 13, FALSE) / VLOOKUP("industry|SO2|Work loss days", US_national_yearly!$D:$AM, 10, FALSE), 1)</f>
        <v>2.312563045064695</v>
      </c>
      <c r="F15" s="7">
        <f>$B15 * IFERROR(VLOOKUP("industry|SO2|Work loss days", US_national_yearly!$D:$AM, 14, FALSE) / VLOOKUP("industry|SO2|Work loss days", US_national_yearly!$D:$AM, 10, FALSE), 1)</f>
        <v>2.3199289230571387</v>
      </c>
      <c r="G15" s="7">
        <f>$B15 * IFERROR(VLOOKUP("industry|SO2|Work loss days", US_national_yearly!$D:$AM, 15, FALSE) / VLOOKUP("industry|SO2|Work loss days", US_national_yearly!$D:$AM, 10, FALSE), 1)</f>
        <v>2.3295433843789519</v>
      </c>
      <c r="H15" s="7">
        <f>$B15 * IFERROR(VLOOKUP("industry|SO2|Work loss days", US_national_yearly!$D:$AM, 16, FALSE) / VLOOKUP("industry|SO2|Work loss days", US_national_yearly!$D:$AM, 10, FALSE), 1)</f>
        <v>2.3391578457007656</v>
      </c>
      <c r="I15" s="7">
        <f>$B15 * IFERROR(VLOOKUP("industry|SO2|Work loss days", US_national_yearly!$D:$AM, 17, FALSE) / VLOOKUP("industry|SO2|Work loss days", US_national_yearly!$D:$AM, 10, FALSE), 1)</f>
        <v>2.3532114789339174</v>
      </c>
      <c r="J15" s="7">
        <f>$B15 * IFERROR(VLOOKUP("industry|SO2|Work loss days", US_national_yearly!$D:$AM, 18, FALSE) / VLOOKUP("industry|SO2|Work loss days", US_national_yearly!$D:$AM, 10, FALSE), 1)</f>
        <v>2.3672651121670683</v>
      </c>
      <c r="K15" s="7">
        <f>$B15 * IFERROR(VLOOKUP("industry|SO2|Work loss days", US_national_yearly!$D:$AM, 19, FALSE) / VLOOKUP("industry|SO2|Work loss days", US_national_yearly!$D:$AM, 10, FALSE), 1)</f>
        <v>2.3813187454002192</v>
      </c>
      <c r="L15" s="7">
        <f>$B15 * IFERROR(VLOOKUP("industry|SO2|Work loss days", US_national_yearly!$D:$AM, 20, FALSE) / VLOOKUP("industry|SO2|Work loss days", US_national_yearly!$D:$AM, 10, FALSE), 1)</f>
        <v>2.3953723786333709</v>
      </c>
      <c r="M15" s="7">
        <f>$B15 * IFERROR(VLOOKUP("industry|SO2|Work loss days", US_national_yearly!$D:$AM, 21, FALSE) / VLOOKUP("industry|SO2|Work loss days", US_national_yearly!$D:$AM, 10, FALSE), 1)</f>
        <v>2.4094260118665218</v>
      </c>
      <c r="N15" s="7">
        <f>$B15 * IFERROR(VLOOKUP("industry|SO2|Work loss days", US_national_yearly!$D:$AM, 22, FALSE) / VLOOKUP("industry|SO2|Work loss days", US_national_yearly!$D:$AM, 10, FALSE), 1)</f>
        <v>2.4270893598740875</v>
      </c>
      <c r="O15" s="7">
        <f>$B15 * IFERROR(VLOOKUP("industry|SO2|Work loss days", US_national_yearly!$D:$AM, 23, FALSE) / VLOOKUP("industry|SO2|Work loss days", US_national_yearly!$D:$AM, 10, FALSE), 1)</f>
        <v>2.4447527078816531</v>
      </c>
      <c r="P15" s="7">
        <f>$B15 * IFERROR(VLOOKUP("industry|SO2|Work loss days", US_national_yearly!$D:$AM, 24, FALSE) / VLOOKUP("industry|SO2|Work loss days", US_national_yearly!$D:$AM, 10, FALSE), 1)</f>
        <v>2.4624160558892183</v>
      </c>
      <c r="Q15" s="7">
        <f>$B15 * IFERROR(VLOOKUP("industry|SO2|Work loss days", US_national_yearly!$D:$AM, 25, FALSE) / VLOOKUP("industry|SO2|Work loss days", US_national_yearly!$D:$AM, 10, FALSE), 1)</f>
        <v>2.4800794038967839</v>
      </c>
      <c r="R15" s="7">
        <f>$B15 * IFERROR(VLOOKUP("industry|SO2|Work loss days", US_national_yearly!$D:$AM, 26, FALSE) / VLOOKUP("industry|SO2|Work loss days", US_national_yearly!$D:$AM, 10, FALSE), 1)</f>
        <v>2.4977427519043491</v>
      </c>
      <c r="S15" s="7">
        <f>$B15 * IFERROR(VLOOKUP("industry|SO2|Work loss days", US_national_yearly!$D:$AM, 27, FALSE) / VLOOKUP("industry|SO2|Work loss days", US_national_yearly!$D:$AM, 10, FALSE), 1)</f>
        <v>2.5175073103719741</v>
      </c>
      <c r="T15" s="7">
        <f>$B15 * IFERROR(VLOOKUP("industry|SO2|Work loss days", US_national_yearly!$D:$AM, 28, FALSE) / VLOOKUP("industry|SO2|Work loss days", US_national_yearly!$D:$AM, 10, FALSE), 1)</f>
        <v>2.537271868839599</v>
      </c>
      <c r="U15" s="7">
        <f>$B15 * IFERROR(VLOOKUP("industry|SO2|Work loss days", US_national_yearly!$D:$AM, 29, FALSE) / VLOOKUP("industry|SO2|Work loss days", US_national_yearly!$D:$AM, 10, FALSE), 1)</f>
        <v>2.5570364273072244</v>
      </c>
      <c r="V15" s="7">
        <f>$B15 * IFERROR(VLOOKUP("industry|SO2|Work loss days", US_national_yearly!$D:$AM, 30, FALSE) / VLOOKUP("industry|SO2|Work loss days", US_national_yearly!$D:$AM, 10, FALSE), 1)</f>
        <v>2.5768009857748488</v>
      </c>
      <c r="W15" s="7">
        <f>$B15 * IFERROR(VLOOKUP("industry|SO2|Work loss days", US_national_yearly!$D:$AM, 31, FALSE) / VLOOKUP("industry|SO2|Work loss days", US_national_yearly!$D:$AM, 10, FALSE), 1)</f>
        <v>2.5965655442424742</v>
      </c>
      <c r="X15" s="7">
        <f>$B15 * IFERROR(VLOOKUP("industry|SO2|Work loss days", US_national_yearly!$D:$AM, 32, FALSE) / VLOOKUP("industry|SO2|Work loss days", US_national_yearly!$D:$AM, 10, FALSE), 1)</f>
        <v>2.6143175349131527</v>
      </c>
      <c r="Y15" s="7">
        <f>$B15 * IFERROR(VLOOKUP("industry|SO2|Work loss days", US_national_yearly!$D:$AM, 33, FALSE) / VLOOKUP("industry|SO2|Work loss days", US_national_yearly!$D:$AM, 10, FALSE), 1)</f>
        <v>2.6320695255838316</v>
      </c>
      <c r="Z15" s="7">
        <f>$B15 * IFERROR(VLOOKUP("industry|SO2|Work loss days", US_national_yearly!$D:$AM, 34, FALSE) / VLOOKUP("industry|SO2|Work loss days", US_national_yearly!$D:$AM, 10, FALSE), 1)</f>
        <v>2.6498215162545096</v>
      </c>
      <c r="AA15" s="7">
        <f>$B15 * IFERROR(VLOOKUP("industry|SO2|Work loss days", US_national_yearly!$D:$AM, 35, FALSE) / VLOOKUP("industry|SO2|Work loss days", US_national_yearly!$D:$AM, 10, FALSE), 1)</f>
        <v>2.6675735069251889</v>
      </c>
      <c r="AB15" s="7">
        <f>$B15 * IFERROR(VLOOKUP("industry|SO2|Work loss days", US_national_yearly!$D:$AM, 36, FALSE) / VLOOKUP("industry|SO2|Work loss days", US_national_yearly!$D:$AM, 10, FALSE), 1)</f>
        <v>2.6853254975958674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2.8621571858355485E-3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2.948700795122031E-3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3.0352444044085139E-3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3.1217880136949969E-3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3.2083316229814802E-3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3.2912716161698947E-3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3.3742116093583097E-3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3.4453770277846252E-3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3.5165424462109416E-3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3.5877078646372579E-3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3.6588732830635743E-3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3.7300387014898898E-3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3.7778514872375056E-3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3.8256642729851214E-3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3.8734770587327367E-3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3.9212898444803525E-3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3.9691026302279683E-3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3.9943841777056819E-3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4.0196657251833972E-3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4.0449472726611117E-3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4.070228820138827E-3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4.0955103676165406E-3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4.1126073967931278E-3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4.1297044259697149E-3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4.1468014551463029E-3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4.16389848432289E-3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4.1809955134994772E-3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5.4144712128733575E-3</v>
      </c>
      <c r="C2" s="7">
        <f>$B2 * IFERROR(VLOOKUP("LULUCF|PM25|Premature mortality", US_national_yearly!$D:$AM, 11, FALSE) / VLOOKUP("LULUCF|PM25|Premature mortality", US_national_yearly!$D:$AM, 10, FALSE), 1)</f>
        <v>5.4815987901744015E-3</v>
      </c>
      <c r="D2" s="7">
        <f>$B2 * IFERROR(VLOOKUP("LULUCF|PM25|Premature mortality", US_national_yearly!$D:$AM, 12, FALSE) / VLOOKUP("LULUCF|PM25|Premature mortality", US_national_yearly!$D:$AM, 10, FALSE), 1)</f>
        <v>5.5487263674754445E-3</v>
      </c>
      <c r="E2" s="7">
        <f>$B2 * IFERROR(VLOOKUP("LULUCF|PM25|Premature mortality", US_national_yearly!$D:$AM, 13, FALSE) / VLOOKUP("LULUCF|PM25|Premature mortality", US_national_yearly!$D:$AM, 10, FALSE), 1)</f>
        <v>5.6158539447764876E-3</v>
      </c>
      <c r="F2" s="7">
        <f>$B2 * IFERROR(VLOOKUP("LULUCF|PM25|Premature mortality", US_national_yearly!$D:$AM, 14, FALSE) / VLOOKUP("LULUCF|PM25|Premature mortality", US_national_yearly!$D:$AM, 10, FALSE), 1)</f>
        <v>5.6829815220775298E-3</v>
      </c>
      <c r="G2" s="7">
        <f>$B2 * IFERROR(VLOOKUP("LULUCF|PM25|Premature mortality", US_national_yearly!$D:$AM, 15, FALSE) / VLOOKUP("LULUCF|PM25|Premature mortality", US_national_yearly!$D:$AM, 10, FALSE), 1)</f>
        <v>5.8137119726071078E-3</v>
      </c>
      <c r="H2" s="7">
        <f>$B2 * IFERROR(VLOOKUP("LULUCF|PM25|Premature mortality", US_national_yearly!$D:$AM, 16, FALSE) / VLOOKUP("LULUCF|PM25|Premature mortality", US_national_yearly!$D:$AM, 10, FALSE), 1)</f>
        <v>5.9444424231366857E-3</v>
      </c>
      <c r="I2" s="7">
        <f>$B2 * IFERROR(VLOOKUP("LULUCF|PM25|Premature mortality", US_national_yearly!$D:$AM, 17, FALSE) / VLOOKUP("LULUCF|PM25|Premature mortality", US_national_yearly!$D:$AM, 10, FALSE), 1)</f>
        <v>6.0303116861605329E-3</v>
      </c>
      <c r="J2" s="7">
        <f>$B2 * IFERROR(VLOOKUP("LULUCF|PM25|Premature mortality", US_national_yearly!$D:$AM, 18, FALSE) / VLOOKUP("LULUCF|PM25|Premature mortality", US_national_yearly!$D:$AM, 10, FALSE), 1)</f>
        <v>6.1161809491843818E-3</v>
      </c>
      <c r="K2" s="7">
        <f>$B2 * IFERROR(VLOOKUP("LULUCF|PM25|Premature mortality", US_national_yearly!$D:$AM, 19, FALSE) / VLOOKUP("LULUCF|PM25|Premature mortality", US_national_yearly!$D:$AM, 10, FALSE), 1)</f>
        <v>6.2020502122082299E-3</v>
      </c>
      <c r="L2" s="7">
        <f>$B2 * IFERROR(VLOOKUP("LULUCF|PM25|Premature mortality", US_national_yearly!$D:$AM, 20, FALSE) / VLOOKUP("LULUCF|PM25|Premature mortality", US_national_yearly!$D:$AM, 10, FALSE), 1)</f>
        <v>6.2879194752320788E-3</v>
      </c>
      <c r="M2" s="7">
        <f>$B2 * IFERROR(VLOOKUP("LULUCF|PM25|Premature mortality", US_national_yearly!$D:$AM, 21, FALSE) / VLOOKUP("LULUCF|PM25|Premature mortality", US_national_yearly!$D:$AM, 10, FALSE), 1)</f>
        <v>6.3737887382559269E-3</v>
      </c>
      <c r="N2" s="7">
        <f>$B2 * IFERROR(VLOOKUP("LULUCF|PM25|Premature mortality", US_national_yearly!$D:$AM, 22, FALSE) / VLOOKUP("LULUCF|PM25|Premature mortality", US_national_yearly!$D:$AM, 10, FALSE), 1)</f>
        <v>6.4404607559271848E-3</v>
      </c>
      <c r="O2" s="7">
        <f>$B2 * IFERROR(VLOOKUP("LULUCF|PM25|Premature mortality", US_national_yearly!$D:$AM, 23, FALSE) / VLOOKUP("LULUCF|PM25|Premature mortality", US_national_yearly!$D:$AM, 10, FALSE), 1)</f>
        <v>6.5071327735984428E-3</v>
      </c>
      <c r="P2" s="7">
        <f>$B2 * IFERROR(VLOOKUP("LULUCF|PM25|Premature mortality", US_national_yearly!$D:$AM, 24, FALSE) / VLOOKUP("LULUCF|PM25|Premature mortality", US_national_yearly!$D:$AM, 10, FALSE), 1)</f>
        <v>6.5738047912697016E-3</v>
      </c>
      <c r="Q2" s="7">
        <f>$B2 * IFERROR(VLOOKUP("LULUCF|PM25|Premature mortality", US_national_yearly!$D:$AM, 25, FALSE) / VLOOKUP("LULUCF|PM25|Premature mortality", US_national_yearly!$D:$AM, 10, FALSE), 1)</f>
        <v>6.6404768089409595E-3</v>
      </c>
      <c r="R2" s="7">
        <f>$B2 * IFERROR(VLOOKUP("LULUCF|PM25|Premature mortality", US_national_yearly!$D:$AM, 26, FALSE) / VLOOKUP("LULUCF|PM25|Premature mortality", US_national_yearly!$D:$AM, 10, FALSE), 1)</f>
        <v>6.7071488266122184E-3</v>
      </c>
      <c r="S2" s="7">
        <f>$B2 * IFERROR(VLOOKUP("LULUCF|PM25|Premature mortality", US_national_yearly!$D:$AM, 27, FALSE) / VLOOKUP("LULUCF|PM25|Premature mortality", US_national_yearly!$D:$AM, 10, FALSE), 1)</f>
        <v>6.7424696806827819E-3</v>
      </c>
      <c r="T2" s="7">
        <f>$B2 * IFERROR(VLOOKUP("LULUCF|PM25|Premature mortality", US_national_yearly!$D:$AM, 28, FALSE) / VLOOKUP("LULUCF|PM25|Premature mortality", US_national_yearly!$D:$AM, 10, FALSE), 1)</f>
        <v>6.7777905347533437E-3</v>
      </c>
      <c r="U2" s="7">
        <f>$B2 * IFERROR(VLOOKUP("LULUCF|PM25|Premature mortality", US_national_yearly!$D:$AM, 29, FALSE) / VLOOKUP("LULUCF|PM25|Premature mortality", US_national_yearly!$D:$AM, 10, FALSE), 1)</f>
        <v>6.8131113888239064E-3</v>
      </c>
      <c r="V2" s="7">
        <f>$B2 * IFERROR(VLOOKUP("LULUCF|PM25|Premature mortality", US_national_yearly!$D:$AM, 30, FALSE) / VLOOKUP("LULUCF|PM25|Premature mortality", US_national_yearly!$D:$AM, 10, FALSE), 1)</f>
        <v>6.8484322428944682E-3</v>
      </c>
      <c r="W2" s="7">
        <f>$B2 * IFERROR(VLOOKUP("LULUCF|PM25|Premature mortality", US_national_yearly!$D:$AM, 31, FALSE) / VLOOKUP("LULUCF|PM25|Premature mortality", US_national_yearly!$D:$AM, 10, FALSE), 1)</f>
        <v>6.88375309696503E-3</v>
      </c>
      <c r="X2" s="7">
        <f>$B2 * IFERROR(VLOOKUP("LULUCF|PM25|Premature mortality", US_national_yearly!$D:$AM, 32, FALSE) / VLOOKUP("LULUCF|PM25|Premature mortality", US_national_yearly!$D:$AM, 10, FALSE), 1)</f>
        <v>6.8899292215250018E-3</v>
      </c>
      <c r="Y2" s="7">
        <f>$B2 * IFERROR(VLOOKUP("LULUCF|PM25|Premature mortality", US_national_yearly!$D:$AM, 33, FALSE) / VLOOKUP("LULUCF|PM25|Premature mortality", US_national_yearly!$D:$AM, 10, FALSE), 1)</f>
        <v>6.8961053460849745E-3</v>
      </c>
      <c r="Z2" s="7">
        <f>$B2 * IFERROR(VLOOKUP("LULUCF|PM25|Premature mortality", US_national_yearly!$D:$AM, 34, FALSE) / VLOOKUP("LULUCF|PM25|Premature mortality", US_national_yearly!$D:$AM, 10, FALSE), 1)</f>
        <v>6.9022814706449463E-3</v>
      </c>
      <c r="AA2" s="7">
        <f>$B2 * IFERROR(VLOOKUP("LULUCF|PM25|Premature mortality", US_national_yearly!$D:$AM, 35, FALSE) / VLOOKUP("LULUCF|PM25|Premature mortality", US_national_yearly!$D:$AM, 10, FALSE), 1)</f>
        <v>6.908457595204919E-3</v>
      </c>
      <c r="AB2" s="7">
        <f>$B2 * IFERROR(VLOOKUP("LULUCF|PM25|Premature mortality", US_national_yearly!$D:$AM, 36, FALSE) / VLOOKUP("LULUCF|PM25|Premature mortality", US_national_yearly!$D:$AM, 10, FALSE), 1)</f>
        <v>6.9146337197648908E-3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1.2599696381954191E-5</v>
      </c>
      <c r="C3" s="7">
        <f>$B3 * IFERROR(VLOOKUP("LULUCF|PM25|Infant mortality", US_national_yearly!$D:$AM, 11, FALSE) / VLOOKUP("LULUCF|PM25|Infant mortality", US_national_yearly!$D:$AM, 10, FALSE), 1)</f>
        <v>1.2489838526808449E-5</v>
      </c>
      <c r="D3" s="7">
        <f>$B3 * IFERROR(VLOOKUP("LULUCF|PM25|Infant mortality", US_national_yearly!$D:$AM, 12, FALSE) / VLOOKUP("LULUCF|PM25|Infant mortality", US_national_yearly!$D:$AM, 10, FALSE), 1)</f>
        <v>1.2379980671662707E-5</v>
      </c>
      <c r="E3" s="7">
        <f>$B3 * IFERROR(VLOOKUP("LULUCF|PM25|Infant mortality", US_national_yearly!$D:$AM, 13, FALSE) / VLOOKUP("LULUCF|PM25|Infant mortality", US_national_yearly!$D:$AM, 10, FALSE), 1)</f>
        <v>1.2270122816516966E-5</v>
      </c>
      <c r="F3" s="7">
        <f>$B3 * IFERROR(VLOOKUP("LULUCF|PM25|Infant mortality", US_national_yearly!$D:$AM, 14, FALSE) / VLOOKUP("LULUCF|PM25|Infant mortality", US_national_yearly!$D:$AM, 10, FALSE), 1)</f>
        <v>1.2160264961371222E-5</v>
      </c>
      <c r="G3" s="7">
        <f>$B3 * IFERROR(VLOOKUP("LULUCF|PM25|Infant mortality", US_national_yearly!$D:$AM, 15, FALSE) / VLOOKUP("LULUCF|PM25|Infant mortality", US_national_yearly!$D:$AM, 10, FALSE), 1)</f>
        <v>8.0872266756711454E-6</v>
      </c>
      <c r="H3" s="7">
        <f>$B3 * IFERROR(VLOOKUP("LULUCF|PM25|Infant mortality", US_national_yearly!$D:$AM, 16, FALSE) / VLOOKUP("LULUCF|PM25|Infant mortality", US_national_yearly!$D:$AM, 10, FALSE), 1)</f>
        <v>4.0141883899710663E-6</v>
      </c>
      <c r="I3" s="7">
        <f>$B3 * IFERROR(VLOOKUP("LULUCF|PM25|Infant mortality", US_national_yearly!$D:$AM, 17, FALSE) / VLOOKUP("LULUCF|PM25|Infant mortality", US_national_yearly!$D:$AM, 10, FALSE), 1)</f>
        <v>3.9879490379947244E-6</v>
      </c>
      <c r="J3" s="7">
        <f>$B3 * IFERROR(VLOOKUP("LULUCF|PM25|Infant mortality", US_national_yearly!$D:$AM, 18, FALSE) / VLOOKUP("LULUCF|PM25|Infant mortality", US_national_yearly!$D:$AM, 10, FALSE), 1)</f>
        <v>3.9617096860183826E-6</v>
      </c>
      <c r="K3" s="7">
        <f>$B3 * IFERROR(VLOOKUP("LULUCF|PM25|Infant mortality", US_national_yearly!$D:$AM, 19, FALSE) / VLOOKUP("LULUCF|PM25|Infant mortality", US_national_yearly!$D:$AM, 10, FALSE), 1)</f>
        <v>3.93547033404204E-6</v>
      </c>
      <c r="L3" s="7">
        <f>$B3 * IFERROR(VLOOKUP("LULUCF|PM25|Infant mortality", US_national_yearly!$D:$AM, 20, FALSE) / VLOOKUP("LULUCF|PM25|Infant mortality", US_national_yearly!$D:$AM, 10, FALSE), 1)</f>
        <v>3.909230982065699E-6</v>
      </c>
      <c r="M3" s="7">
        <f>$B3 * IFERROR(VLOOKUP("LULUCF|PM25|Infant mortality", US_national_yearly!$D:$AM, 21, FALSE) / VLOOKUP("LULUCF|PM25|Infant mortality", US_national_yearly!$D:$AM, 10, FALSE), 1)</f>
        <v>3.8829916300893572E-6</v>
      </c>
      <c r="N3" s="7">
        <f>$B3 * IFERROR(VLOOKUP("LULUCF|PM25|Infant mortality", US_national_yearly!$D:$AM, 22, FALSE) / VLOOKUP("LULUCF|PM25|Infant mortality", US_national_yearly!$D:$AM, 10, FALSE), 1)</f>
        <v>3.8665104120682372E-6</v>
      </c>
      <c r="O3" s="7">
        <f>$B3 * IFERROR(VLOOKUP("LULUCF|PM25|Infant mortality", US_national_yearly!$D:$AM, 23, FALSE) / VLOOKUP("LULUCF|PM25|Infant mortality", US_national_yearly!$D:$AM, 10, FALSE), 1)</f>
        <v>3.8500291940471181E-6</v>
      </c>
      <c r="P3" s="7">
        <f>$B3 * IFERROR(VLOOKUP("LULUCF|PM25|Infant mortality", US_national_yearly!$D:$AM, 24, FALSE) / VLOOKUP("LULUCF|PM25|Infant mortality", US_national_yearly!$D:$AM, 10, FALSE), 1)</f>
        <v>3.8335479760259973E-6</v>
      </c>
      <c r="Q3" s="7">
        <f>$B3 * IFERROR(VLOOKUP("LULUCF|PM25|Infant mortality", US_national_yearly!$D:$AM, 25, FALSE) / VLOOKUP("LULUCF|PM25|Infant mortality", US_national_yearly!$D:$AM, 10, FALSE), 1)</f>
        <v>3.8170667580048774E-6</v>
      </c>
      <c r="R3" s="7">
        <f>$B3 * IFERROR(VLOOKUP("LULUCF|PM25|Infant mortality", US_national_yearly!$D:$AM, 26, FALSE) / VLOOKUP("LULUCF|PM25|Infant mortality", US_national_yearly!$D:$AM, 10, FALSE), 1)</f>
        <v>3.8005855399837579E-6</v>
      </c>
      <c r="S3" s="7">
        <f>$B3 * IFERROR(VLOOKUP("LULUCF|PM25|Infant mortality", US_national_yearly!$D:$AM, 27, FALSE) / VLOOKUP("LULUCF|PM25|Infant mortality", US_national_yearly!$D:$AM, 10, FALSE), 1)</f>
        <v>3.780041364735582E-6</v>
      </c>
      <c r="T3" s="7">
        <f>$B3 * IFERROR(VLOOKUP("LULUCF|PM25|Infant mortality", US_national_yearly!$D:$AM, 28, FALSE) / VLOOKUP("LULUCF|PM25|Infant mortality", US_national_yearly!$D:$AM, 10, FALSE), 1)</f>
        <v>3.7594971894874057E-6</v>
      </c>
      <c r="U3" s="7">
        <f>$B3 * IFERROR(VLOOKUP("LULUCF|PM25|Infant mortality", US_national_yearly!$D:$AM, 29, FALSE) / VLOOKUP("LULUCF|PM25|Infant mortality", US_national_yearly!$D:$AM, 10, FALSE), 1)</f>
        <v>3.7389530142392298E-6</v>
      </c>
      <c r="V3" s="7">
        <f>$B3 * IFERROR(VLOOKUP("LULUCF|PM25|Infant mortality", US_national_yearly!$D:$AM, 30, FALSE) / VLOOKUP("LULUCF|PM25|Infant mortality", US_national_yearly!$D:$AM, 10, FALSE), 1)</f>
        <v>3.7184088389910543E-6</v>
      </c>
      <c r="W3" s="7">
        <f>$B3 * IFERROR(VLOOKUP("LULUCF|PM25|Infant mortality", US_national_yearly!$D:$AM, 31, FALSE) / VLOOKUP("LULUCF|PM25|Infant mortality", US_national_yearly!$D:$AM, 10, FALSE), 1)</f>
        <v>3.697864663742878E-6</v>
      </c>
      <c r="X3" s="7">
        <f>$B3 * IFERROR(VLOOKUP("LULUCF|PM25|Infant mortality", US_national_yearly!$D:$AM, 32, FALSE) / VLOOKUP("LULUCF|PM25|Infant mortality", US_national_yearly!$D:$AM, 10, FALSE), 1)</f>
        <v>3.6757154606934125E-6</v>
      </c>
      <c r="Y3" s="7">
        <f>$B3 * IFERROR(VLOOKUP("LULUCF|PM25|Infant mortality", US_national_yearly!$D:$AM, 33, FALSE) / VLOOKUP("LULUCF|PM25|Infant mortality", US_national_yearly!$D:$AM, 10, FALSE), 1)</f>
        <v>3.6535662576439457E-6</v>
      </c>
      <c r="Z3" s="7">
        <f>$B3 * IFERROR(VLOOKUP("LULUCF|PM25|Infant mortality", US_national_yearly!$D:$AM, 34, FALSE) / VLOOKUP("LULUCF|PM25|Infant mortality", US_national_yearly!$D:$AM, 10, FALSE), 1)</f>
        <v>3.6314170545944802E-6</v>
      </c>
      <c r="AA3" s="7">
        <f>$B3 * IFERROR(VLOOKUP("LULUCF|PM25|Infant mortality", US_national_yearly!$D:$AM, 35, FALSE) / VLOOKUP("LULUCF|PM25|Infant mortality", US_national_yearly!$D:$AM, 10, FALSE), 1)</f>
        <v>3.6092678515450143E-6</v>
      </c>
      <c r="AB3" s="7">
        <f>$B3 * IFERROR(VLOOKUP("LULUCF|PM25|Infant mortality", US_national_yearly!$D:$AM, 36, FALSE) / VLOOKUP("LULUCF|PM25|Infant mortality", US_national_yearly!$D:$AM, 10, FALSE), 1)</f>
        <v>3.5871186484955488E-6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1.7868803099182574E-2</v>
      </c>
      <c r="C6" s="7">
        <f>$B6 * IFERROR(VLOOKUP("LULUCF|PM25|Asthma symptoms cough", US_national_yearly!$D:$AM, 11, FALSE) / VLOOKUP("LULUCF|PM25|Asthma symptoms cough", US_national_yearly!$D:$AM, 10, FALSE), 1)</f>
        <v>1.7868803099182574E-2</v>
      </c>
      <c r="D6" s="7">
        <f>$B6 * IFERROR(VLOOKUP("LULUCF|PM25|Asthma symptoms cough", US_national_yearly!$D:$AM, 12, FALSE) / VLOOKUP("LULUCF|PM25|Asthma symptoms cough", US_national_yearly!$D:$AM, 10, FALSE), 1)</f>
        <v>1.7868803099182574E-2</v>
      </c>
      <c r="E6" s="7">
        <f>$B6 * IFERROR(VLOOKUP("LULUCF|PM25|Asthma symptoms cough", US_national_yearly!$D:$AM, 13, FALSE) / VLOOKUP("LULUCF|PM25|Asthma symptoms cough", US_national_yearly!$D:$AM, 10, FALSE), 1)</f>
        <v>1.7868803099182574E-2</v>
      </c>
      <c r="F6" s="7">
        <f>$B6 * IFERROR(VLOOKUP("LULUCF|PM25|Asthma symptoms cough", US_national_yearly!$D:$AM, 14, FALSE) / VLOOKUP("LULUCF|PM25|Asthma symptoms cough", US_national_yearly!$D:$AM, 10, FALSE), 1)</f>
        <v>1.7868803099182574E-2</v>
      </c>
      <c r="G6" s="7">
        <f>$B6 * IFERROR(VLOOKUP("LULUCF|PM25|Asthma symptoms cough", US_national_yearly!$D:$AM, 15, FALSE) / VLOOKUP("LULUCF|PM25|Asthma symptoms cough", US_national_yearly!$D:$AM, 10, FALSE), 1)</f>
        <v>1.7868803099182574E-2</v>
      </c>
      <c r="H6" s="7">
        <f>$B6 * IFERROR(VLOOKUP("LULUCF|PM25|Asthma symptoms cough", US_national_yearly!$D:$AM, 16, FALSE) / VLOOKUP("LULUCF|PM25|Asthma symptoms cough", US_national_yearly!$D:$AM, 10, FALSE), 1)</f>
        <v>1.7868803099182574E-2</v>
      </c>
      <c r="I6" s="7">
        <f>$B6 * IFERROR(VLOOKUP("LULUCF|PM25|Asthma symptoms cough", US_national_yearly!$D:$AM, 17, FALSE) / VLOOKUP("LULUCF|PM25|Asthma symptoms cough", US_national_yearly!$D:$AM, 10, FALSE), 1)</f>
        <v>1.7868803099182574E-2</v>
      </c>
      <c r="J6" s="7">
        <f>$B6 * IFERROR(VLOOKUP("LULUCF|PM25|Asthma symptoms cough", US_national_yearly!$D:$AM, 18, FALSE) / VLOOKUP("LULUCF|PM25|Asthma symptoms cough", US_national_yearly!$D:$AM, 10, FALSE), 1)</f>
        <v>1.7868803099182574E-2</v>
      </c>
      <c r="K6" s="7">
        <f>$B6 * IFERROR(VLOOKUP("LULUCF|PM25|Asthma symptoms cough", US_national_yearly!$D:$AM, 19, FALSE) / VLOOKUP("LULUCF|PM25|Asthma symptoms cough", US_national_yearly!$D:$AM, 10, FALSE), 1)</f>
        <v>1.7868803099182574E-2</v>
      </c>
      <c r="L6" s="7">
        <f>$B6 * IFERROR(VLOOKUP("LULUCF|PM25|Asthma symptoms cough", US_national_yearly!$D:$AM, 20, FALSE) / VLOOKUP("LULUCF|PM25|Asthma symptoms cough", US_national_yearly!$D:$AM, 10, FALSE), 1)</f>
        <v>1.7868803099182574E-2</v>
      </c>
      <c r="M6" s="7">
        <f>$B6 * IFERROR(VLOOKUP("LULUCF|PM25|Asthma symptoms cough", US_national_yearly!$D:$AM, 21, FALSE) / VLOOKUP("LULUCF|PM25|Asthma symptoms cough", US_national_yearly!$D:$AM, 10, FALSE), 1)</f>
        <v>1.7868803099182574E-2</v>
      </c>
      <c r="N6" s="7">
        <f>$B6 * IFERROR(VLOOKUP("LULUCF|PM25|Asthma symptoms cough", US_national_yearly!$D:$AM, 22, FALSE) / VLOOKUP("LULUCF|PM25|Asthma symptoms cough", US_national_yearly!$D:$AM, 10, FALSE), 1)</f>
        <v>1.7868803099182574E-2</v>
      </c>
      <c r="O6" s="7">
        <f>$B6 * IFERROR(VLOOKUP("LULUCF|PM25|Asthma symptoms cough", US_national_yearly!$D:$AM, 23, FALSE) / VLOOKUP("LULUCF|PM25|Asthma symptoms cough", US_national_yearly!$D:$AM, 10, FALSE), 1)</f>
        <v>1.7868803099182574E-2</v>
      </c>
      <c r="P6" s="7">
        <f>$B6 * IFERROR(VLOOKUP("LULUCF|PM25|Asthma symptoms cough", US_national_yearly!$D:$AM, 24, FALSE) / VLOOKUP("LULUCF|PM25|Asthma symptoms cough", US_national_yearly!$D:$AM, 10, FALSE), 1)</f>
        <v>1.7868803099182574E-2</v>
      </c>
      <c r="Q6" s="7">
        <f>$B6 * IFERROR(VLOOKUP("LULUCF|PM25|Asthma symptoms cough", US_national_yearly!$D:$AM, 25, FALSE) / VLOOKUP("LULUCF|PM25|Asthma symptoms cough", US_national_yearly!$D:$AM, 10, FALSE), 1)</f>
        <v>1.7868803099182574E-2</v>
      </c>
      <c r="R6" s="7">
        <f>$B6 * IFERROR(VLOOKUP("LULUCF|PM25|Asthma symptoms cough", US_national_yearly!$D:$AM, 26, FALSE) / VLOOKUP("LULUCF|PM25|Asthma symptoms cough", US_national_yearly!$D:$AM, 10, FALSE), 1)</f>
        <v>1.7868803099182574E-2</v>
      </c>
      <c r="S6" s="7">
        <f>$B6 * IFERROR(VLOOKUP("LULUCF|PM25|Asthma symptoms cough", US_national_yearly!$D:$AM, 27, FALSE) / VLOOKUP("LULUCF|PM25|Asthma symptoms cough", US_national_yearly!$D:$AM, 10, FALSE), 1)</f>
        <v>1.7868803099182574E-2</v>
      </c>
      <c r="T6" s="7">
        <f>$B6 * IFERROR(VLOOKUP("LULUCF|PM25|Asthma symptoms cough", US_national_yearly!$D:$AM, 28, FALSE) / VLOOKUP("LULUCF|PM25|Asthma symptoms cough", US_national_yearly!$D:$AM, 10, FALSE), 1)</f>
        <v>1.7868803099182574E-2</v>
      </c>
      <c r="U6" s="7">
        <f>$B6 * IFERROR(VLOOKUP("LULUCF|PM25|Asthma symptoms cough", US_national_yearly!$D:$AM, 29, FALSE) / VLOOKUP("LULUCF|PM25|Asthma symptoms cough", US_national_yearly!$D:$AM, 10, FALSE), 1)</f>
        <v>1.7868803099182574E-2</v>
      </c>
      <c r="V6" s="7">
        <f>$B6 * IFERROR(VLOOKUP("LULUCF|PM25|Asthma symptoms cough", US_national_yearly!$D:$AM, 30, FALSE) / VLOOKUP("LULUCF|PM25|Asthma symptoms cough", US_national_yearly!$D:$AM, 10, FALSE), 1)</f>
        <v>1.7868803099182574E-2</v>
      </c>
      <c r="W6" s="7">
        <f>$B6 * IFERROR(VLOOKUP("LULUCF|PM25|Asthma symptoms cough", US_national_yearly!$D:$AM, 31, FALSE) / VLOOKUP("LULUCF|PM25|Asthma symptoms cough", US_national_yearly!$D:$AM, 10, FALSE), 1)</f>
        <v>1.7868803099182574E-2</v>
      </c>
      <c r="X6" s="7">
        <f>$B6 * IFERROR(VLOOKUP("LULUCF|PM25|Asthma symptoms cough", US_national_yearly!$D:$AM, 32, FALSE) / VLOOKUP("LULUCF|PM25|Asthma symptoms cough", US_national_yearly!$D:$AM, 10, FALSE), 1)</f>
        <v>1.7868803099182574E-2</v>
      </c>
      <c r="Y6" s="7">
        <f>$B6 * IFERROR(VLOOKUP("LULUCF|PM25|Asthma symptoms cough", US_national_yearly!$D:$AM, 33, FALSE) / VLOOKUP("LULUCF|PM25|Asthma symptoms cough", US_national_yearly!$D:$AM, 10, FALSE), 1)</f>
        <v>1.7868803099182574E-2</v>
      </c>
      <c r="Z6" s="7">
        <f>$B6 * IFERROR(VLOOKUP("LULUCF|PM25|Asthma symptoms cough", US_national_yearly!$D:$AM, 34, FALSE) / VLOOKUP("LULUCF|PM25|Asthma symptoms cough", US_national_yearly!$D:$AM, 10, FALSE), 1)</f>
        <v>1.7868803099182574E-2</v>
      </c>
      <c r="AA6" s="7">
        <f>$B6 * IFERROR(VLOOKUP("LULUCF|PM25|Asthma symptoms cough", US_national_yearly!$D:$AM, 35, FALSE) / VLOOKUP("LULUCF|PM25|Asthma symptoms cough", US_national_yearly!$D:$AM, 10, FALSE), 1)</f>
        <v>1.7868803099182574E-2</v>
      </c>
      <c r="AB6" s="7">
        <f>$B6 * IFERROR(VLOOKUP("LULUCF|PM25|Asthma symptoms cough", US_national_yearly!$D:$AM, 36, FALSE) / VLOOKUP("LULUCF|PM25|Asthma symptoms cough", US_national_yearly!$D:$AM, 10, FALSE), 1)</f>
        <v>1.7868803099182574E-2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2.4062269484036541E-2</v>
      </c>
      <c r="C7" s="7">
        <f>$B7 * IFERROR(VLOOKUP("LULUCF|PM25|Asthma symptoms shortness of breath", US_national_yearly!$D:$AM, 11, FALSE) / VLOOKUP("LULUCF|PM25|Asthma symptoms shortness of breath", US_national_yearly!$D:$AM, 10, FALSE), 1)</f>
        <v>2.4062269484036541E-2</v>
      </c>
      <c r="D7" s="7">
        <f>$B7 * IFERROR(VLOOKUP("LULUCF|PM25|Asthma symptoms shortness of breath", US_national_yearly!$D:$AM, 12, FALSE) / VLOOKUP("LULUCF|PM25|Asthma symptoms shortness of breath", US_national_yearly!$D:$AM, 10, FALSE), 1)</f>
        <v>2.4062269484036541E-2</v>
      </c>
      <c r="E7" s="7">
        <f>$B7 * IFERROR(VLOOKUP("LULUCF|PM25|Asthma symptoms shortness of breath", US_national_yearly!$D:$AM, 13, FALSE) / VLOOKUP("LULUCF|PM25|Asthma symptoms shortness of breath", US_national_yearly!$D:$AM, 10, FALSE), 1)</f>
        <v>2.4062269484036541E-2</v>
      </c>
      <c r="F7" s="7">
        <f>$B7 * IFERROR(VLOOKUP("LULUCF|PM25|Asthma symptoms shortness of breath", US_national_yearly!$D:$AM, 14, FALSE) / VLOOKUP("LULUCF|PM25|Asthma symptoms shortness of breath", US_national_yearly!$D:$AM, 10, FALSE), 1)</f>
        <v>2.4062269484036541E-2</v>
      </c>
      <c r="G7" s="7">
        <f>$B7 * IFERROR(VLOOKUP("LULUCF|PM25|Asthma symptoms shortness of breath", US_national_yearly!$D:$AM, 15, FALSE) / VLOOKUP("LULUCF|PM25|Asthma symptoms shortness of breath", US_national_yearly!$D:$AM, 10, FALSE), 1)</f>
        <v>2.4062269484036541E-2</v>
      </c>
      <c r="H7" s="7">
        <f>$B7 * IFERROR(VLOOKUP("LULUCF|PM25|Asthma symptoms shortness of breath", US_national_yearly!$D:$AM, 16, FALSE) / VLOOKUP("LULUCF|PM25|Asthma symptoms shortness of breath", US_national_yearly!$D:$AM, 10, FALSE), 1)</f>
        <v>2.4062269484036541E-2</v>
      </c>
      <c r="I7" s="7">
        <f>$B7 * IFERROR(VLOOKUP("LULUCF|PM25|Asthma symptoms shortness of breath", US_national_yearly!$D:$AM, 17, FALSE) / VLOOKUP("LULUCF|PM25|Asthma symptoms shortness of breath", US_national_yearly!$D:$AM, 10, FALSE), 1)</f>
        <v>2.4062269484036541E-2</v>
      </c>
      <c r="J7" s="7">
        <f>$B7 * IFERROR(VLOOKUP("LULUCF|PM25|Asthma symptoms shortness of breath", US_national_yearly!$D:$AM, 18, FALSE) / VLOOKUP("LULUCF|PM25|Asthma symptoms shortness of breath", US_national_yearly!$D:$AM, 10, FALSE), 1)</f>
        <v>2.4062269484036541E-2</v>
      </c>
      <c r="K7" s="7">
        <f>$B7 * IFERROR(VLOOKUP("LULUCF|PM25|Asthma symptoms shortness of breath", US_national_yearly!$D:$AM, 19, FALSE) / VLOOKUP("LULUCF|PM25|Asthma symptoms shortness of breath", US_national_yearly!$D:$AM, 10, FALSE), 1)</f>
        <v>2.4062269484036541E-2</v>
      </c>
      <c r="L7" s="7">
        <f>$B7 * IFERROR(VLOOKUP("LULUCF|PM25|Asthma symptoms shortness of breath", US_national_yearly!$D:$AM, 20, FALSE) / VLOOKUP("LULUCF|PM25|Asthma symptoms shortness of breath", US_national_yearly!$D:$AM, 10, FALSE), 1)</f>
        <v>2.4062269484036541E-2</v>
      </c>
      <c r="M7" s="7">
        <f>$B7 * IFERROR(VLOOKUP("LULUCF|PM25|Asthma symptoms shortness of breath", US_national_yearly!$D:$AM, 21, FALSE) / VLOOKUP("LULUCF|PM25|Asthma symptoms shortness of breath", US_national_yearly!$D:$AM, 10, FALSE), 1)</f>
        <v>2.4062269484036541E-2</v>
      </c>
      <c r="N7" s="7">
        <f>$B7 * IFERROR(VLOOKUP("LULUCF|PM25|Asthma symptoms shortness of breath", US_national_yearly!$D:$AM, 22, FALSE) / VLOOKUP("LULUCF|PM25|Asthma symptoms shortness of breath", US_national_yearly!$D:$AM, 10, FALSE), 1)</f>
        <v>2.4062269484036541E-2</v>
      </c>
      <c r="O7" s="7">
        <f>$B7 * IFERROR(VLOOKUP("LULUCF|PM25|Asthma symptoms shortness of breath", US_national_yearly!$D:$AM, 23, FALSE) / VLOOKUP("LULUCF|PM25|Asthma symptoms shortness of breath", US_national_yearly!$D:$AM, 10, FALSE), 1)</f>
        <v>2.4062269484036541E-2</v>
      </c>
      <c r="P7" s="7">
        <f>$B7 * IFERROR(VLOOKUP("LULUCF|PM25|Asthma symptoms shortness of breath", US_national_yearly!$D:$AM, 24, FALSE) / VLOOKUP("LULUCF|PM25|Asthma symptoms shortness of breath", US_national_yearly!$D:$AM, 10, FALSE), 1)</f>
        <v>2.4062269484036541E-2</v>
      </c>
      <c r="Q7" s="7">
        <f>$B7 * IFERROR(VLOOKUP("LULUCF|PM25|Asthma symptoms shortness of breath", US_national_yearly!$D:$AM, 25, FALSE) / VLOOKUP("LULUCF|PM25|Asthma symptoms shortness of breath", US_national_yearly!$D:$AM, 10, FALSE), 1)</f>
        <v>2.4062269484036541E-2</v>
      </c>
      <c r="R7" s="7">
        <f>$B7 * IFERROR(VLOOKUP("LULUCF|PM25|Asthma symptoms shortness of breath", US_national_yearly!$D:$AM, 26, FALSE) / VLOOKUP("LULUCF|PM25|Asthma symptoms shortness of breath", US_national_yearly!$D:$AM, 10, FALSE), 1)</f>
        <v>2.4062269484036541E-2</v>
      </c>
      <c r="S7" s="7">
        <f>$B7 * IFERROR(VLOOKUP("LULUCF|PM25|Asthma symptoms shortness of breath", US_national_yearly!$D:$AM, 27, FALSE) / VLOOKUP("LULUCF|PM25|Asthma symptoms shortness of breath", US_national_yearly!$D:$AM, 10, FALSE), 1)</f>
        <v>2.4062269484036541E-2</v>
      </c>
      <c r="T7" s="7">
        <f>$B7 * IFERROR(VLOOKUP("LULUCF|PM25|Asthma symptoms shortness of breath", US_national_yearly!$D:$AM, 28, FALSE) / VLOOKUP("LULUCF|PM25|Asthma symptoms shortness of breath", US_national_yearly!$D:$AM, 10, FALSE), 1)</f>
        <v>2.4062269484036541E-2</v>
      </c>
      <c r="U7" s="7">
        <f>$B7 * IFERROR(VLOOKUP("LULUCF|PM25|Asthma symptoms shortness of breath", US_national_yearly!$D:$AM, 29, FALSE) / VLOOKUP("LULUCF|PM25|Asthma symptoms shortness of breath", US_national_yearly!$D:$AM, 10, FALSE), 1)</f>
        <v>2.4062269484036541E-2</v>
      </c>
      <c r="V7" s="7">
        <f>$B7 * IFERROR(VLOOKUP("LULUCF|PM25|Asthma symptoms shortness of breath", US_national_yearly!$D:$AM, 30, FALSE) / VLOOKUP("LULUCF|PM25|Asthma symptoms shortness of breath", US_national_yearly!$D:$AM, 10, FALSE), 1)</f>
        <v>2.4062269484036541E-2</v>
      </c>
      <c r="W7" s="7">
        <f>$B7 * IFERROR(VLOOKUP("LULUCF|PM25|Asthma symptoms shortness of breath", US_national_yearly!$D:$AM, 31, FALSE) / VLOOKUP("LULUCF|PM25|Asthma symptoms shortness of breath", US_national_yearly!$D:$AM, 10, FALSE), 1)</f>
        <v>2.4062269484036541E-2</v>
      </c>
      <c r="X7" s="7">
        <f>$B7 * IFERROR(VLOOKUP("LULUCF|PM25|Asthma symptoms shortness of breath", US_national_yearly!$D:$AM, 32, FALSE) / VLOOKUP("LULUCF|PM25|Asthma symptoms shortness of breath", US_national_yearly!$D:$AM, 10, FALSE), 1)</f>
        <v>2.4062269484036541E-2</v>
      </c>
      <c r="Y7" s="7">
        <f>$B7 * IFERROR(VLOOKUP("LULUCF|PM25|Asthma symptoms shortness of breath", US_national_yearly!$D:$AM, 33, FALSE) / VLOOKUP("LULUCF|PM25|Asthma symptoms shortness of breath", US_national_yearly!$D:$AM, 10, FALSE), 1)</f>
        <v>2.4062269484036541E-2</v>
      </c>
      <c r="Z7" s="7">
        <f>$B7 * IFERROR(VLOOKUP("LULUCF|PM25|Asthma symptoms shortness of breath", US_national_yearly!$D:$AM, 34, FALSE) / VLOOKUP("LULUCF|PM25|Asthma symptoms shortness of breath", US_national_yearly!$D:$AM, 10, FALSE), 1)</f>
        <v>2.4062269484036541E-2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2.4062269484036541E-2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2.4062269484036541E-2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3.676544704459489E-2</v>
      </c>
      <c r="C8" s="7">
        <f>$B8 * IFERROR(VLOOKUP("LULUCF|PM25|Asthma symptoms wheeze", US_national_yearly!$D:$AM, 11, FALSE) / VLOOKUP("LULUCF|PM25|Asthma symptoms wheeze", US_national_yearly!$D:$AM, 10, FALSE), 1)</f>
        <v>3.676544704459489E-2</v>
      </c>
      <c r="D8" s="7">
        <f>$B8 * IFERROR(VLOOKUP("LULUCF|PM25|Asthma symptoms wheeze", US_national_yearly!$D:$AM, 12, FALSE) / VLOOKUP("LULUCF|PM25|Asthma symptoms wheeze", US_national_yearly!$D:$AM, 10, FALSE), 1)</f>
        <v>3.676544704459489E-2</v>
      </c>
      <c r="E8" s="7">
        <f>$B8 * IFERROR(VLOOKUP("LULUCF|PM25|Asthma symptoms wheeze", US_national_yearly!$D:$AM, 13, FALSE) / VLOOKUP("LULUCF|PM25|Asthma symptoms wheeze", US_national_yearly!$D:$AM, 10, FALSE), 1)</f>
        <v>3.676544704459489E-2</v>
      </c>
      <c r="F8" s="7">
        <f>$B8 * IFERROR(VLOOKUP("LULUCF|PM25|Asthma symptoms wheeze", US_national_yearly!$D:$AM, 14, FALSE) / VLOOKUP("LULUCF|PM25|Asthma symptoms wheeze", US_national_yearly!$D:$AM, 10, FALSE), 1)</f>
        <v>3.676544704459489E-2</v>
      </c>
      <c r="G8" s="7">
        <f>$B8 * IFERROR(VLOOKUP("LULUCF|PM25|Asthma symptoms wheeze", US_national_yearly!$D:$AM, 15, FALSE) / VLOOKUP("LULUCF|PM25|Asthma symptoms wheeze", US_national_yearly!$D:$AM, 10, FALSE), 1)</f>
        <v>3.676544704459489E-2</v>
      </c>
      <c r="H8" s="7">
        <f>$B8 * IFERROR(VLOOKUP("LULUCF|PM25|Asthma symptoms wheeze", US_national_yearly!$D:$AM, 16, FALSE) / VLOOKUP("LULUCF|PM25|Asthma symptoms wheeze", US_national_yearly!$D:$AM, 10, FALSE), 1)</f>
        <v>3.676544704459489E-2</v>
      </c>
      <c r="I8" s="7">
        <f>$B8 * IFERROR(VLOOKUP("LULUCF|PM25|Asthma symptoms wheeze", US_national_yearly!$D:$AM, 17, FALSE) / VLOOKUP("LULUCF|PM25|Asthma symptoms wheeze", US_national_yearly!$D:$AM, 10, FALSE), 1)</f>
        <v>3.676544704459489E-2</v>
      </c>
      <c r="J8" s="7">
        <f>$B8 * IFERROR(VLOOKUP("LULUCF|PM25|Asthma symptoms wheeze", US_national_yearly!$D:$AM, 18, FALSE) / VLOOKUP("LULUCF|PM25|Asthma symptoms wheeze", US_national_yearly!$D:$AM, 10, FALSE), 1)</f>
        <v>3.676544704459489E-2</v>
      </c>
      <c r="K8" s="7">
        <f>$B8 * IFERROR(VLOOKUP("LULUCF|PM25|Asthma symptoms wheeze", US_national_yearly!$D:$AM, 19, FALSE) / VLOOKUP("LULUCF|PM25|Asthma symptoms wheeze", US_national_yearly!$D:$AM, 10, FALSE), 1)</f>
        <v>3.676544704459489E-2</v>
      </c>
      <c r="L8" s="7">
        <f>$B8 * IFERROR(VLOOKUP("LULUCF|PM25|Asthma symptoms wheeze", US_national_yearly!$D:$AM, 20, FALSE) / VLOOKUP("LULUCF|PM25|Asthma symptoms wheeze", US_national_yearly!$D:$AM, 10, FALSE), 1)</f>
        <v>3.676544704459489E-2</v>
      </c>
      <c r="M8" s="7">
        <f>$B8 * IFERROR(VLOOKUP("LULUCF|PM25|Asthma symptoms wheeze", US_national_yearly!$D:$AM, 21, FALSE) / VLOOKUP("LULUCF|PM25|Asthma symptoms wheeze", US_national_yearly!$D:$AM, 10, FALSE), 1)</f>
        <v>3.676544704459489E-2</v>
      </c>
      <c r="N8" s="7">
        <f>$B8 * IFERROR(VLOOKUP("LULUCF|PM25|Asthma symptoms wheeze", US_national_yearly!$D:$AM, 22, FALSE) / VLOOKUP("LULUCF|PM25|Asthma symptoms wheeze", US_national_yearly!$D:$AM, 10, FALSE), 1)</f>
        <v>3.676544704459489E-2</v>
      </c>
      <c r="O8" s="7">
        <f>$B8 * IFERROR(VLOOKUP("LULUCF|PM25|Asthma symptoms wheeze", US_national_yearly!$D:$AM, 23, FALSE) / VLOOKUP("LULUCF|PM25|Asthma symptoms wheeze", US_national_yearly!$D:$AM, 10, FALSE), 1)</f>
        <v>3.676544704459489E-2</v>
      </c>
      <c r="P8" s="7">
        <f>$B8 * IFERROR(VLOOKUP("LULUCF|PM25|Asthma symptoms wheeze", US_national_yearly!$D:$AM, 24, FALSE) / VLOOKUP("LULUCF|PM25|Asthma symptoms wheeze", US_national_yearly!$D:$AM, 10, FALSE), 1)</f>
        <v>3.676544704459489E-2</v>
      </c>
      <c r="Q8" s="7">
        <f>$B8 * IFERROR(VLOOKUP("LULUCF|PM25|Asthma symptoms wheeze", US_national_yearly!$D:$AM, 25, FALSE) / VLOOKUP("LULUCF|PM25|Asthma symptoms wheeze", US_national_yearly!$D:$AM, 10, FALSE), 1)</f>
        <v>3.676544704459489E-2</v>
      </c>
      <c r="R8" s="7">
        <f>$B8 * IFERROR(VLOOKUP("LULUCF|PM25|Asthma symptoms wheeze", US_national_yearly!$D:$AM, 26, FALSE) / VLOOKUP("LULUCF|PM25|Asthma symptoms wheeze", US_national_yearly!$D:$AM, 10, FALSE), 1)</f>
        <v>3.676544704459489E-2</v>
      </c>
      <c r="S8" s="7">
        <f>$B8 * IFERROR(VLOOKUP("LULUCF|PM25|Asthma symptoms wheeze", US_national_yearly!$D:$AM, 27, FALSE) / VLOOKUP("LULUCF|PM25|Asthma symptoms wheeze", US_national_yearly!$D:$AM, 10, FALSE), 1)</f>
        <v>3.676544704459489E-2</v>
      </c>
      <c r="T8" s="7">
        <f>$B8 * IFERROR(VLOOKUP("LULUCF|PM25|Asthma symptoms wheeze", US_national_yearly!$D:$AM, 28, FALSE) / VLOOKUP("LULUCF|PM25|Asthma symptoms wheeze", US_national_yearly!$D:$AM, 10, FALSE), 1)</f>
        <v>3.676544704459489E-2</v>
      </c>
      <c r="U8" s="7">
        <f>$B8 * IFERROR(VLOOKUP("LULUCF|PM25|Asthma symptoms wheeze", US_national_yearly!$D:$AM, 29, FALSE) / VLOOKUP("LULUCF|PM25|Asthma symptoms wheeze", US_national_yearly!$D:$AM, 10, FALSE), 1)</f>
        <v>3.676544704459489E-2</v>
      </c>
      <c r="V8" s="7">
        <f>$B8 * IFERROR(VLOOKUP("LULUCF|PM25|Asthma symptoms wheeze", US_national_yearly!$D:$AM, 30, FALSE) / VLOOKUP("LULUCF|PM25|Asthma symptoms wheeze", US_national_yearly!$D:$AM, 10, FALSE), 1)</f>
        <v>3.676544704459489E-2</v>
      </c>
      <c r="W8" s="7">
        <f>$B8 * IFERROR(VLOOKUP("LULUCF|PM25|Asthma symptoms wheeze", US_national_yearly!$D:$AM, 31, FALSE) / VLOOKUP("LULUCF|PM25|Asthma symptoms wheeze", US_national_yearly!$D:$AM, 10, FALSE), 1)</f>
        <v>3.676544704459489E-2</v>
      </c>
      <c r="X8" s="7">
        <f>$B8 * IFERROR(VLOOKUP("LULUCF|PM25|Asthma symptoms wheeze", US_national_yearly!$D:$AM, 32, FALSE) / VLOOKUP("LULUCF|PM25|Asthma symptoms wheeze", US_national_yearly!$D:$AM, 10, FALSE), 1)</f>
        <v>3.676544704459489E-2</v>
      </c>
      <c r="Y8" s="7">
        <f>$B8 * IFERROR(VLOOKUP("LULUCF|PM25|Asthma symptoms wheeze", US_national_yearly!$D:$AM, 33, FALSE) / VLOOKUP("LULUCF|PM25|Asthma symptoms wheeze", US_national_yearly!$D:$AM, 10, FALSE), 1)</f>
        <v>3.676544704459489E-2</v>
      </c>
      <c r="Z8" s="7">
        <f>$B8 * IFERROR(VLOOKUP("LULUCF|PM25|Asthma symptoms wheeze", US_national_yearly!$D:$AM, 34, FALSE) / VLOOKUP("LULUCF|PM25|Asthma symptoms wheeze", US_national_yearly!$D:$AM, 10, FALSE), 1)</f>
        <v>3.676544704459489E-2</v>
      </c>
      <c r="AA8" s="7">
        <f>$B8 * IFERROR(VLOOKUP("LULUCF|PM25|Asthma symptoms wheeze", US_national_yearly!$D:$AM, 35, FALSE) / VLOOKUP("LULUCF|PM25|Asthma symptoms wheeze", US_national_yearly!$D:$AM, 10, FALSE), 1)</f>
        <v>3.676544704459489E-2</v>
      </c>
      <c r="AB8" s="7">
        <f>$B8 * IFERROR(VLOOKUP("LULUCF|PM25|Asthma symptoms wheeze", US_national_yearly!$D:$AM, 36, FALSE) / VLOOKUP("LULUCF|PM25|Asthma symptoms wheeze", US_national_yearly!$D:$AM, 10, FALSE), 1)</f>
        <v>3.676544704459489E-2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4.4471160180614152E-4</v>
      </c>
      <c r="C12" s="7">
        <f>$B12 * IFERROR(VLOOKUP("LULUCF|PM25|Respiratory hospital admissions", US_national_yearly!$D:$AM, 11, FALSE) / VLOOKUP("LULUCF|PM25|Respiratory hospital admissions", US_national_yearly!$D:$AM, 10, FALSE), 1)</f>
        <v>4.4726050946359137E-4</v>
      </c>
      <c r="D12" s="7">
        <f>$B12 * IFERROR(VLOOKUP("LULUCF|PM25|Respiratory hospital admissions", US_national_yearly!$D:$AM, 12, FALSE) / VLOOKUP("LULUCF|PM25|Respiratory hospital admissions", US_national_yearly!$D:$AM, 10, FALSE), 1)</f>
        <v>4.4980941712104117E-4</v>
      </c>
      <c r="E12" s="7">
        <f>$B12 * IFERROR(VLOOKUP("LULUCF|PM25|Respiratory hospital admissions", US_national_yearly!$D:$AM, 13, FALSE) / VLOOKUP("LULUCF|PM25|Respiratory hospital admissions", US_national_yearly!$D:$AM, 10, FALSE), 1)</f>
        <v>4.5235832477849103E-4</v>
      </c>
      <c r="F12" s="7">
        <f>$B12 * IFERROR(VLOOKUP("LULUCF|PM25|Respiratory hospital admissions", US_national_yearly!$D:$AM, 14, FALSE) / VLOOKUP("LULUCF|PM25|Respiratory hospital admissions", US_national_yearly!$D:$AM, 10, FALSE), 1)</f>
        <v>4.5490723243594083E-4</v>
      </c>
      <c r="G12" s="7">
        <f>$B12 * IFERROR(VLOOKUP("LULUCF|PM25|Respiratory hospital admissions", US_national_yearly!$D:$AM, 15, FALSE) / VLOOKUP("LULUCF|PM25|Respiratory hospital admissions", US_national_yearly!$D:$AM, 10, FALSE), 1)</f>
        <v>4.5766016143034547E-4</v>
      </c>
      <c r="H12" s="7">
        <f>$B12 * IFERROR(VLOOKUP("LULUCF|PM25|Respiratory hospital admissions", US_national_yearly!$D:$AM, 16, FALSE) / VLOOKUP("LULUCF|PM25|Respiratory hospital admissions", US_national_yearly!$D:$AM, 10, FALSE), 1)</f>
        <v>4.6041309042475011E-4</v>
      </c>
      <c r="I12" s="7">
        <f>$B12 * IFERROR(VLOOKUP("LULUCF|PM25|Respiratory hospital admissions", US_national_yearly!$D:$AM, 17, FALSE) / VLOOKUP("LULUCF|PM25|Respiratory hospital admissions", US_national_yearly!$D:$AM, 10, FALSE), 1)</f>
        <v>4.6304340948546296E-4</v>
      </c>
      <c r="J12" s="7">
        <f>$B12 * IFERROR(VLOOKUP("LULUCF|PM25|Respiratory hospital admissions", US_national_yearly!$D:$AM, 18, FALSE) / VLOOKUP("LULUCF|PM25|Respiratory hospital admissions", US_national_yearly!$D:$AM, 10, FALSE), 1)</f>
        <v>4.6567372854617608E-4</v>
      </c>
      <c r="K12" s="7">
        <f>$B12 * IFERROR(VLOOKUP("LULUCF|PM25|Respiratory hospital admissions", US_national_yearly!$D:$AM, 19, FALSE) / VLOOKUP("LULUCF|PM25|Respiratory hospital admissions", US_national_yearly!$D:$AM, 10, FALSE), 1)</f>
        <v>4.6830404760688903E-4</v>
      </c>
      <c r="L12" s="7">
        <f>$B12 * IFERROR(VLOOKUP("LULUCF|PM25|Respiratory hospital admissions", US_national_yearly!$D:$AM, 20, FALSE) / VLOOKUP("LULUCF|PM25|Respiratory hospital admissions", US_national_yearly!$D:$AM, 10, FALSE), 1)</f>
        <v>4.709343666676021E-4</v>
      </c>
      <c r="M12" s="7">
        <f>$B12 * IFERROR(VLOOKUP("LULUCF|PM25|Respiratory hospital admissions", US_national_yearly!$D:$AM, 21, FALSE) / VLOOKUP("LULUCF|PM25|Respiratory hospital admissions", US_national_yearly!$D:$AM, 10, FALSE), 1)</f>
        <v>4.73564685728315E-4</v>
      </c>
      <c r="N12" s="7">
        <f>$B12 * IFERROR(VLOOKUP("LULUCF|PM25|Respiratory hospital admissions", US_national_yearly!$D:$AM, 22, FALSE) / VLOOKUP("LULUCF|PM25|Respiratory hospital admissions", US_national_yearly!$D:$AM, 10, FALSE), 1)</f>
        <v>4.7545254247570982E-4</v>
      </c>
      <c r="O12" s="7">
        <f>$B12 * IFERROR(VLOOKUP("LULUCF|PM25|Respiratory hospital admissions", US_national_yearly!$D:$AM, 23, FALSE) / VLOOKUP("LULUCF|PM25|Respiratory hospital admissions", US_national_yearly!$D:$AM, 10, FALSE), 1)</f>
        <v>4.7734039922310453E-4</v>
      </c>
      <c r="P12" s="7">
        <f>$B12 * IFERROR(VLOOKUP("LULUCF|PM25|Respiratory hospital admissions", US_national_yearly!$D:$AM, 24, FALSE) / VLOOKUP("LULUCF|PM25|Respiratory hospital admissions", US_national_yearly!$D:$AM, 10, FALSE), 1)</f>
        <v>4.7922825597049919E-4</v>
      </c>
      <c r="Q12" s="7">
        <f>$B12 * IFERROR(VLOOKUP("LULUCF|PM25|Respiratory hospital admissions", US_national_yearly!$D:$AM, 25, FALSE) / VLOOKUP("LULUCF|PM25|Respiratory hospital admissions", US_national_yearly!$D:$AM, 10, FALSE), 1)</f>
        <v>4.811161127178939E-4</v>
      </c>
      <c r="R12" s="7">
        <f>$B12 * IFERROR(VLOOKUP("LULUCF|PM25|Respiratory hospital admissions", US_national_yearly!$D:$AM, 26, FALSE) / VLOOKUP("LULUCF|PM25|Respiratory hospital admissions", US_national_yearly!$D:$AM, 10, FALSE), 1)</f>
        <v>4.8300396946528872E-4</v>
      </c>
      <c r="S12" s="7">
        <f>$B12 * IFERROR(VLOOKUP("LULUCF|PM25|Respiratory hospital admissions", US_national_yearly!$D:$AM, 27, FALSE) / VLOOKUP("LULUCF|PM25|Respiratory hospital admissions", US_national_yearly!$D:$AM, 10, FALSE), 1)</f>
        <v>4.8480145784767116E-4</v>
      </c>
      <c r="T12" s="7">
        <f>$B12 * IFERROR(VLOOKUP("LULUCF|PM25|Respiratory hospital admissions", US_national_yearly!$D:$AM, 28, FALSE) / VLOOKUP("LULUCF|PM25|Respiratory hospital admissions", US_national_yearly!$D:$AM, 10, FALSE), 1)</f>
        <v>4.8659894623005371E-4</v>
      </c>
      <c r="U12" s="7">
        <f>$B12 * IFERROR(VLOOKUP("LULUCF|PM25|Respiratory hospital admissions", US_national_yearly!$D:$AM, 29, FALSE) / VLOOKUP("LULUCF|PM25|Respiratory hospital admissions", US_national_yearly!$D:$AM, 10, FALSE), 1)</f>
        <v>4.883964346124362E-4</v>
      </c>
      <c r="V12" s="7">
        <f>$B12 * IFERROR(VLOOKUP("LULUCF|PM25|Respiratory hospital admissions", US_national_yearly!$D:$AM, 30, FALSE) / VLOOKUP("LULUCF|PM25|Respiratory hospital admissions", US_national_yearly!$D:$AM, 10, FALSE), 1)</f>
        <v>4.9019392299481858E-4</v>
      </c>
      <c r="W12" s="7">
        <f>$B12 * IFERROR(VLOOKUP("LULUCF|PM25|Respiratory hospital admissions", US_national_yearly!$D:$AM, 31, FALSE) / VLOOKUP("LULUCF|PM25|Respiratory hospital admissions", US_national_yearly!$D:$AM, 10, FALSE), 1)</f>
        <v>4.9199141137720108E-4</v>
      </c>
      <c r="X12" s="7">
        <f>$B12 * IFERROR(VLOOKUP("LULUCF|PM25|Respiratory hospital admissions", US_national_yearly!$D:$AM, 32, FALSE) / VLOOKUP("LULUCF|PM25|Respiratory hospital admissions", US_national_yearly!$D:$AM, 10, FALSE), 1)</f>
        <v>4.9372061813012067E-4</v>
      </c>
      <c r="Y12" s="7">
        <f>$B12 * IFERROR(VLOOKUP("LULUCF|PM25|Respiratory hospital admissions", US_national_yearly!$D:$AM, 33, FALSE) / VLOOKUP("LULUCF|PM25|Respiratory hospital admissions", US_national_yearly!$D:$AM, 10, FALSE), 1)</f>
        <v>4.9544982488304015E-4</v>
      </c>
      <c r="Z12" s="7">
        <f>$B12 * IFERROR(VLOOKUP("LULUCF|PM25|Respiratory hospital admissions", US_national_yearly!$D:$AM, 34, FALSE) / VLOOKUP("LULUCF|PM25|Respiratory hospital admissions", US_national_yearly!$D:$AM, 10, FALSE), 1)</f>
        <v>4.9717903163595974E-4</v>
      </c>
      <c r="AA12" s="7">
        <f>$B12 * IFERROR(VLOOKUP("LULUCF|PM25|Respiratory hospital admissions", US_national_yearly!$D:$AM, 35, FALSE) / VLOOKUP("LULUCF|PM25|Respiratory hospital admissions", US_national_yearly!$D:$AM, 10, FALSE), 1)</f>
        <v>4.9890823838887911E-4</v>
      </c>
      <c r="AB12" s="7">
        <f>$B12 * IFERROR(VLOOKUP("LULUCF|PM25|Respiratory hospital admissions", US_national_yearly!$D:$AM, 36, FALSE) / VLOOKUP("LULUCF|PM25|Respiratory hospital admissions", US_national_yearly!$D:$AM, 10, FALSE), 1)</f>
        <v>5.006374451417987E-4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1.2857157364591868E-3</v>
      </c>
      <c r="C13" s="7">
        <f>$B13 * IFERROR(VLOOKUP("LULUCF|PM25|Non-fatal heart attacks", US_national_yearly!$D:$AM, 11, FALSE) / VLOOKUP("LULUCF|PM25|Non-fatal heart attacks", US_national_yearly!$D:$AM, 10, FALSE), 1)</f>
        <v>1.3230949048171283E-3</v>
      </c>
      <c r="D13" s="7">
        <f>$B13 * IFERROR(VLOOKUP("LULUCF|PM25|Non-fatal heart attacks", US_national_yearly!$D:$AM, 12, FALSE) / VLOOKUP("LULUCF|PM25|Non-fatal heart attacks", US_national_yearly!$D:$AM, 10, FALSE), 1)</f>
        <v>1.3604740731750699E-3</v>
      </c>
      <c r="E13" s="7">
        <f>$B13 * IFERROR(VLOOKUP("LULUCF|PM25|Non-fatal heart attacks", US_national_yearly!$D:$AM, 13, FALSE) / VLOOKUP("LULUCF|PM25|Non-fatal heart attacks", US_national_yearly!$D:$AM, 10, FALSE), 1)</f>
        <v>1.3978532415330112E-3</v>
      </c>
      <c r="F13" s="7">
        <f>$B13 * IFERROR(VLOOKUP("LULUCF|PM25|Non-fatal heart attacks", US_national_yearly!$D:$AM, 14, FALSE) / VLOOKUP("LULUCF|PM25|Non-fatal heart attacks", US_national_yearly!$D:$AM, 10, FALSE), 1)</f>
        <v>1.4352324098909528E-3</v>
      </c>
      <c r="G13" s="7">
        <f>$B13 * IFERROR(VLOOKUP("LULUCF|PM25|Non-fatal heart attacks", US_national_yearly!$D:$AM, 15, FALSE) / VLOOKUP("LULUCF|PM25|Non-fatal heart attacks", US_national_yearly!$D:$AM, 10, FALSE), 1)</f>
        <v>1.4704833287177022E-3</v>
      </c>
      <c r="H13" s="7">
        <f>$B13 * IFERROR(VLOOKUP("LULUCF|PM25|Non-fatal heart attacks", US_national_yearly!$D:$AM, 16, FALSE) / VLOOKUP("LULUCF|PM25|Non-fatal heart attacks", US_national_yearly!$D:$AM, 10, FALSE), 1)</f>
        <v>1.5057342475444514E-3</v>
      </c>
      <c r="I13" s="7">
        <f>$B13 * IFERROR(VLOOKUP("LULUCF|PM25|Non-fatal heart attacks", US_national_yearly!$D:$AM, 17, FALSE) / VLOOKUP("LULUCF|PM25|Non-fatal heart attacks", US_national_yearly!$D:$AM, 10, FALSE), 1)</f>
        <v>1.5340642563614665E-3</v>
      </c>
      <c r="J13" s="7">
        <f>$B13 * IFERROR(VLOOKUP("LULUCF|PM25|Non-fatal heart attacks", US_national_yearly!$D:$AM, 18, FALSE) / VLOOKUP("LULUCF|PM25|Non-fatal heart attacks", US_national_yearly!$D:$AM, 10, FALSE), 1)</f>
        <v>1.5623942651784815E-3</v>
      </c>
      <c r="K13" s="7">
        <f>$B13 * IFERROR(VLOOKUP("LULUCF|PM25|Non-fatal heart attacks", US_national_yearly!$D:$AM, 19, FALSE) / VLOOKUP("LULUCF|PM25|Non-fatal heart attacks", US_national_yearly!$D:$AM, 10, FALSE), 1)</f>
        <v>1.5907242739954968E-3</v>
      </c>
      <c r="L13" s="7">
        <f>$B13 * IFERROR(VLOOKUP("LULUCF|PM25|Non-fatal heart attacks", US_national_yearly!$D:$AM, 20, FALSE) / VLOOKUP("LULUCF|PM25|Non-fatal heart attacks", US_national_yearly!$D:$AM, 10, FALSE), 1)</f>
        <v>1.6190542828125119E-3</v>
      </c>
      <c r="M13" s="7">
        <f>$B13 * IFERROR(VLOOKUP("LULUCF|PM25|Non-fatal heart attacks", US_national_yearly!$D:$AM, 21, FALSE) / VLOOKUP("LULUCF|PM25|Non-fatal heart attacks", US_national_yearly!$D:$AM, 10, FALSE), 1)</f>
        <v>1.6473842916295274E-3</v>
      </c>
      <c r="N13" s="7">
        <f>$B13 * IFERROR(VLOOKUP("LULUCF|PM25|Non-fatal heart attacks", US_national_yearly!$D:$AM, 22, FALSE) / VLOOKUP("LULUCF|PM25|Non-fatal heart attacks", US_national_yearly!$D:$AM, 10, FALSE), 1)</f>
        <v>1.6656543498561921E-3</v>
      </c>
      <c r="O13" s="7">
        <f>$B13 * IFERROR(VLOOKUP("LULUCF|PM25|Non-fatal heart attacks", US_national_yearly!$D:$AM, 23, FALSE) / VLOOKUP("LULUCF|PM25|Non-fatal heart attacks", US_national_yearly!$D:$AM, 10, FALSE), 1)</f>
        <v>1.6839244080828573E-3</v>
      </c>
      <c r="P13" s="7">
        <f>$B13 * IFERROR(VLOOKUP("LULUCF|PM25|Non-fatal heart attacks", US_national_yearly!$D:$AM, 24, FALSE) / VLOOKUP("LULUCF|PM25|Non-fatal heart attacks", US_national_yearly!$D:$AM, 10, FALSE), 1)</f>
        <v>1.7021944663095224E-3</v>
      </c>
      <c r="Q13" s="7">
        <f>$B13 * IFERROR(VLOOKUP("LULUCF|PM25|Non-fatal heart attacks", US_national_yearly!$D:$AM, 25, FALSE) / VLOOKUP("LULUCF|PM25|Non-fatal heart attacks", US_national_yearly!$D:$AM, 10, FALSE), 1)</f>
        <v>1.7204645245361874E-3</v>
      </c>
      <c r="R13" s="7">
        <f>$B13 * IFERROR(VLOOKUP("LULUCF|PM25|Non-fatal heart attacks", US_national_yearly!$D:$AM, 26, FALSE) / VLOOKUP("LULUCF|PM25|Non-fatal heart attacks", US_national_yearly!$D:$AM, 10, FALSE), 1)</f>
        <v>1.7387345827628525E-3</v>
      </c>
      <c r="S13" s="7">
        <f>$B13 * IFERROR(VLOOKUP("LULUCF|PM25|Non-fatal heart attacks", US_national_yearly!$D:$AM, 27, FALSE) / VLOOKUP("LULUCF|PM25|Non-fatal heart attacks", US_national_yearly!$D:$AM, 10, FALSE), 1)</f>
        <v>1.7483561173965941E-3</v>
      </c>
      <c r="T13" s="7">
        <f>$B13 * IFERROR(VLOOKUP("LULUCF|PM25|Non-fatal heart attacks", US_national_yearly!$D:$AM, 28, FALSE) / VLOOKUP("LULUCF|PM25|Non-fatal heart attacks", US_national_yearly!$D:$AM, 10, FALSE), 1)</f>
        <v>1.7579776520303366E-3</v>
      </c>
      <c r="U13" s="7">
        <f>$B13 * IFERROR(VLOOKUP("LULUCF|PM25|Non-fatal heart attacks", US_national_yearly!$D:$AM, 29, FALSE) / VLOOKUP("LULUCF|PM25|Non-fatal heart attacks", US_national_yearly!$D:$AM, 10, FALSE), 1)</f>
        <v>1.7675991866640788E-3</v>
      </c>
      <c r="V13" s="7">
        <f>$B13 * IFERROR(VLOOKUP("LULUCF|PM25|Non-fatal heart attacks", US_national_yearly!$D:$AM, 30, FALSE) / VLOOKUP("LULUCF|PM25|Non-fatal heart attacks", US_national_yearly!$D:$AM, 10, FALSE), 1)</f>
        <v>1.7772207212978209E-3</v>
      </c>
      <c r="W13" s="7">
        <f>$B13 * IFERROR(VLOOKUP("LULUCF|PM25|Non-fatal heart attacks", US_national_yearly!$D:$AM, 31, FALSE) / VLOOKUP("LULUCF|PM25|Non-fatal heart attacks", US_national_yearly!$D:$AM, 10, FALSE), 1)</f>
        <v>1.7868422559315629E-3</v>
      </c>
      <c r="X13" s="7">
        <f>$B13 * IFERROR(VLOOKUP("LULUCF|PM25|Non-fatal heart attacks", US_national_yearly!$D:$AM, 32, FALSE) / VLOOKUP("LULUCF|PM25|Non-fatal heart attacks", US_national_yearly!$D:$AM, 10, FALSE), 1)</f>
        <v>1.7941463919638881E-3</v>
      </c>
      <c r="Y13" s="7">
        <f>$B13 * IFERROR(VLOOKUP("LULUCF|PM25|Non-fatal heart attacks", US_national_yearly!$D:$AM, 33, FALSE) / VLOOKUP("LULUCF|PM25|Non-fatal heart attacks", US_national_yearly!$D:$AM, 10, FALSE), 1)</f>
        <v>1.8014505279962138E-3</v>
      </c>
      <c r="Z13" s="7">
        <f>$B13 * IFERROR(VLOOKUP("LULUCF|PM25|Non-fatal heart attacks", US_national_yearly!$D:$AM, 34, FALSE) / VLOOKUP("LULUCF|PM25|Non-fatal heart attacks", US_national_yearly!$D:$AM, 10, FALSE), 1)</f>
        <v>1.8087546640285391E-3</v>
      </c>
      <c r="AA13" s="7">
        <f>$B13 * IFERROR(VLOOKUP("LULUCF|PM25|Non-fatal heart attacks", US_national_yearly!$D:$AM, 35, FALSE) / VLOOKUP("LULUCF|PM25|Non-fatal heart attacks", US_national_yearly!$D:$AM, 10, FALSE), 1)</f>
        <v>1.8160588000608647E-3</v>
      </c>
      <c r="AB13" s="7">
        <f>$B13 * IFERROR(VLOOKUP("LULUCF|PM25|Non-fatal heart attacks", US_national_yearly!$D:$AM, 36, FALSE) / VLOOKUP("LULUCF|PM25|Non-fatal heart attacks", US_national_yearly!$D:$AM, 10, FALSE), 1)</f>
        <v>1.8233629360931902E-3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2.2813136784238304</v>
      </c>
      <c r="C14" s="7">
        <f>$B14 * IFERROR(VLOOKUP("LULUCF|PM25|Minor restricted activity days", US_national_yearly!$D:$AM, 11, FALSE) / VLOOKUP("LULUCF|PM25|Minor restricted activity days", US_national_yearly!$D:$AM, 10, FALSE), 1)</f>
        <v>2.2868849169695467</v>
      </c>
      <c r="D14" s="7">
        <f>$B14 * IFERROR(VLOOKUP("LULUCF|PM25|Minor restricted activity days", US_national_yearly!$D:$AM, 12, FALSE) / VLOOKUP("LULUCF|PM25|Minor restricted activity days", US_national_yearly!$D:$AM, 10, FALSE), 1)</f>
        <v>2.2924561555152634</v>
      </c>
      <c r="E14" s="7">
        <f>$B14 * IFERROR(VLOOKUP("LULUCF|PM25|Minor restricted activity days", US_national_yearly!$D:$AM, 13, FALSE) / VLOOKUP("LULUCF|PM25|Minor restricted activity days", US_national_yearly!$D:$AM, 10, FALSE), 1)</f>
        <v>2.2980273940609801</v>
      </c>
      <c r="F14" s="7">
        <f>$B14 * IFERROR(VLOOKUP("LULUCF|PM25|Minor restricted activity days", US_national_yearly!$D:$AM, 14, FALSE) / VLOOKUP("LULUCF|PM25|Minor restricted activity days", US_national_yearly!$D:$AM, 10, FALSE), 1)</f>
        <v>2.303598632606696</v>
      </c>
      <c r="G14" s="7">
        <f>$B14 * IFERROR(VLOOKUP("LULUCF|PM25|Minor restricted activity days", US_national_yearly!$D:$AM, 15, FALSE) / VLOOKUP("LULUCF|PM25|Minor restricted activity days", US_national_yearly!$D:$AM, 10, FALSE), 1)</f>
        <v>2.3118188283481795</v>
      </c>
      <c r="H14" s="7">
        <f>$B14 * IFERROR(VLOOKUP("LULUCF|PM25|Minor restricted activity days", US_national_yearly!$D:$AM, 16, FALSE) / VLOOKUP("LULUCF|PM25|Minor restricted activity days", US_national_yearly!$D:$AM, 10, FALSE), 1)</f>
        <v>2.3200390240896631</v>
      </c>
      <c r="I14" s="7">
        <f>$B14 * IFERROR(VLOOKUP("LULUCF|PM25|Minor restricted activity days", US_national_yearly!$D:$AM, 17, FALSE) / VLOOKUP("LULUCF|PM25|Minor restricted activity days", US_national_yearly!$D:$AM, 10, FALSE), 1)</f>
        <v>2.3340917945401936</v>
      </c>
      <c r="J14" s="7">
        <f>$B14 * IFERROR(VLOOKUP("LULUCF|PM25|Minor restricted activity days", US_national_yearly!$D:$AM, 18, FALSE) / VLOOKUP("LULUCF|PM25|Minor restricted activity days", US_national_yearly!$D:$AM, 10, FALSE), 1)</f>
        <v>2.3481445649907227</v>
      </c>
      <c r="K14" s="7">
        <f>$B14 * IFERROR(VLOOKUP("LULUCF|PM25|Minor restricted activity days", US_national_yearly!$D:$AM, 19, FALSE) / VLOOKUP("LULUCF|PM25|Minor restricted activity days", US_national_yearly!$D:$AM, 10, FALSE), 1)</f>
        <v>2.3621973354412527</v>
      </c>
      <c r="L14" s="7">
        <f>$B14 * IFERROR(VLOOKUP("LULUCF|PM25|Minor restricted activity days", US_national_yearly!$D:$AM, 20, FALSE) / VLOOKUP("LULUCF|PM25|Minor restricted activity days", US_national_yearly!$D:$AM, 10, FALSE), 1)</f>
        <v>2.3762501058917822</v>
      </c>
      <c r="M14" s="7">
        <f>$B14 * IFERROR(VLOOKUP("LULUCF|PM25|Minor restricted activity days", US_national_yearly!$D:$AM, 21, FALSE) / VLOOKUP("LULUCF|PM25|Minor restricted activity days", US_national_yearly!$D:$AM, 10, FALSE), 1)</f>
        <v>2.3903028763423118</v>
      </c>
      <c r="N14" s="7">
        <f>$B14 * IFERROR(VLOOKUP("LULUCF|PM25|Minor restricted activity days", US_national_yearly!$D:$AM, 22, FALSE) / VLOOKUP("LULUCF|PM25|Minor restricted activity days", US_national_yearly!$D:$AM, 10, FALSE), 1)</f>
        <v>2.4094455475975542</v>
      </c>
      <c r="O14" s="7">
        <f>$B14 * IFERROR(VLOOKUP("LULUCF|PM25|Minor restricted activity days", US_national_yearly!$D:$AM, 23, FALSE) / VLOOKUP("LULUCF|PM25|Minor restricted activity days", US_national_yearly!$D:$AM, 10, FALSE), 1)</f>
        <v>2.4285882188527959</v>
      </c>
      <c r="P14" s="7">
        <f>$B14 * IFERROR(VLOOKUP("LULUCF|PM25|Minor restricted activity days", US_national_yearly!$D:$AM, 24, FALSE) / VLOOKUP("LULUCF|PM25|Minor restricted activity days", US_national_yearly!$D:$AM, 10, FALSE), 1)</f>
        <v>2.4477308901080383</v>
      </c>
      <c r="Q14" s="7">
        <f>$B14 * IFERROR(VLOOKUP("LULUCF|PM25|Minor restricted activity days", US_national_yearly!$D:$AM, 25, FALSE) / VLOOKUP("LULUCF|PM25|Minor restricted activity days", US_national_yearly!$D:$AM, 10, FALSE), 1)</f>
        <v>2.4668735613632804</v>
      </c>
      <c r="R14" s="7">
        <f>$B14 * IFERROR(VLOOKUP("LULUCF|PM25|Minor restricted activity days", US_national_yearly!$D:$AM, 26, FALSE) / VLOOKUP("LULUCF|PM25|Minor restricted activity days", US_national_yearly!$D:$AM, 10, FALSE), 1)</f>
        <v>2.486016232618522</v>
      </c>
      <c r="S14" s="7">
        <f>$B14 * IFERROR(VLOOKUP("LULUCF|PM25|Minor restricted activity days", US_national_yearly!$D:$AM, 27, FALSE) / VLOOKUP("LULUCF|PM25|Minor restricted activity days", US_national_yearly!$D:$AM, 10, FALSE), 1)</f>
        <v>2.5052907331780401</v>
      </c>
      <c r="T14" s="7">
        <f>$B14 * IFERROR(VLOOKUP("LULUCF|PM25|Minor restricted activity days", US_national_yearly!$D:$AM, 28, FALSE) / VLOOKUP("LULUCF|PM25|Minor restricted activity days", US_national_yearly!$D:$AM, 10, FALSE), 1)</f>
        <v>2.5245652337375581</v>
      </c>
      <c r="U14" s="7">
        <f>$B14 * IFERROR(VLOOKUP("LULUCF|PM25|Minor restricted activity days", US_national_yearly!$D:$AM, 29, FALSE) / VLOOKUP("LULUCF|PM25|Minor restricted activity days", US_national_yearly!$D:$AM, 10, FALSE), 1)</f>
        <v>2.5438397342970758</v>
      </c>
      <c r="V14" s="7">
        <f>$B14 * IFERROR(VLOOKUP("LULUCF|PM25|Minor restricted activity days", US_national_yearly!$D:$AM, 30, FALSE) / VLOOKUP("LULUCF|PM25|Minor restricted activity days", US_national_yearly!$D:$AM, 10, FALSE), 1)</f>
        <v>2.5631142348565938</v>
      </c>
      <c r="W14" s="7">
        <f>$B14 * IFERROR(VLOOKUP("LULUCF|PM25|Minor restricted activity days", US_national_yearly!$D:$AM, 31, FALSE) / VLOOKUP("LULUCF|PM25|Minor restricted activity days", US_national_yearly!$D:$AM, 10, FALSE), 1)</f>
        <v>2.5823887354161119</v>
      </c>
      <c r="X14" s="7">
        <f>$B14 * IFERROR(VLOOKUP("LULUCF|PM25|Minor restricted activity days", US_national_yearly!$D:$AM, 32, FALSE) / VLOOKUP("LULUCF|PM25|Minor restricted activity days", US_national_yearly!$D:$AM, 10, FALSE), 1)</f>
        <v>2.5991209409534224</v>
      </c>
      <c r="Y14" s="7">
        <f>$B14 * IFERROR(VLOOKUP("LULUCF|PM25|Minor restricted activity days", US_national_yearly!$D:$AM, 33, FALSE) / VLOOKUP("LULUCF|PM25|Minor restricted activity days", US_national_yearly!$D:$AM, 10, FALSE), 1)</f>
        <v>2.6158531464907329</v>
      </c>
      <c r="Z14" s="7">
        <f>$B14 * IFERROR(VLOOKUP("LULUCF|PM25|Minor restricted activity days", US_national_yearly!$D:$AM, 34, FALSE) / VLOOKUP("LULUCF|PM25|Minor restricted activity days", US_national_yearly!$D:$AM, 10, FALSE), 1)</f>
        <v>2.6325853520280438</v>
      </c>
      <c r="AA14" s="7">
        <f>$B14 * IFERROR(VLOOKUP("LULUCF|PM25|Minor restricted activity days", US_national_yearly!$D:$AM, 35, FALSE) / VLOOKUP("LULUCF|PM25|Minor restricted activity days", US_national_yearly!$D:$AM, 10, FALSE), 1)</f>
        <v>2.6493175575653538</v>
      </c>
      <c r="AB14" s="7">
        <f>$B14 * IFERROR(VLOOKUP("LULUCF|PM25|Minor restricted activity days", US_national_yearly!$D:$AM, 36, FALSE) / VLOOKUP("LULUCF|PM25|Minor restricted activity days", US_national_yearly!$D:$AM, 10, FALSE), 1)</f>
        <v>2.6660497631026643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0.38783167377129818</v>
      </c>
      <c r="C15" s="7">
        <f>$B15 * IFERROR(VLOOKUP("LULUCF|PM25|Work loss days", US_national_yearly!$D:$AM, 11, FALSE) / VLOOKUP("LULUCF|PM25|Work loss days", US_national_yearly!$D:$AM, 10, FALSE), 1)</f>
        <v>0.3890338122743468</v>
      </c>
      <c r="D15" s="7">
        <f>$B15 * IFERROR(VLOOKUP("LULUCF|PM25|Work loss days", US_national_yearly!$D:$AM, 12, FALSE) / VLOOKUP("LULUCF|PM25|Work loss days", US_national_yearly!$D:$AM, 10, FALSE), 1)</f>
        <v>0.39023595077739553</v>
      </c>
      <c r="E15" s="7">
        <f>$B15 * IFERROR(VLOOKUP("LULUCF|PM25|Work loss days", US_national_yearly!$D:$AM, 13, FALSE) / VLOOKUP("LULUCF|PM25|Work loss days", US_national_yearly!$D:$AM, 10, FALSE), 1)</f>
        <v>0.39143808928044416</v>
      </c>
      <c r="F15" s="7">
        <f>$B15 * IFERROR(VLOOKUP("LULUCF|PM25|Work loss days", US_national_yearly!$D:$AM, 14, FALSE) / VLOOKUP("LULUCF|PM25|Work loss days", US_national_yearly!$D:$AM, 10, FALSE), 1)</f>
        <v>0.39264022778349283</v>
      </c>
      <c r="G15" s="7">
        <f>$B15 * IFERROR(VLOOKUP("LULUCF|PM25|Work loss days", US_national_yearly!$D:$AM, 15, FALSE) / VLOOKUP("LULUCF|PM25|Work loss days", US_national_yearly!$D:$AM, 10, FALSE), 1)</f>
        <v>0.39421630807060043</v>
      </c>
      <c r="H15" s="7">
        <f>$B15 * IFERROR(VLOOKUP("LULUCF|PM25|Work loss days", US_national_yearly!$D:$AM, 16, FALSE) / VLOOKUP("LULUCF|PM25|Work loss days", US_national_yearly!$D:$AM, 10, FALSE), 1)</f>
        <v>0.39579238835770814</v>
      </c>
      <c r="I15" s="7">
        <f>$B15 * IFERROR(VLOOKUP("LULUCF|PM25|Work loss days", US_national_yearly!$D:$AM, 17, FALSE) / VLOOKUP("LULUCF|PM25|Work loss days", US_national_yearly!$D:$AM, 10, FALSE), 1)</f>
        <v>0.39811333992551934</v>
      </c>
      <c r="J15" s="7">
        <f>$B15 * IFERROR(VLOOKUP("LULUCF|PM25|Work loss days", US_national_yearly!$D:$AM, 18, FALSE) / VLOOKUP("LULUCF|PM25|Work loss days", US_national_yearly!$D:$AM, 10, FALSE), 1)</f>
        <v>0.40043429149333054</v>
      </c>
      <c r="K15" s="7">
        <f>$B15 * IFERROR(VLOOKUP("LULUCF|PM25|Work loss days", US_national_yearly!$D:$AM, 19, FALSE) / VLOOKUP("LULUCF|PM25|Work loss days", US_national_yearly!$D:$AM, 10, FALSE), 1)</f>
        <v>0.40275524306114174</v>
      </c>
      <c r="L15" s="7">
        <f>$B15 * IFERROR(VLOOKUP("LULUCF|PM25|Work loss days", US_national_yearly!$D:$AM, 20, FALSE) / VLOOKUP("LULUCF|PM25|Work loss days", US_national_yearly!$D:$AM, 10, FALSE), 1)</f>
        <v>0.40507619462895295</v>
      </c>
      <c r="M15" s="7">
        <f>$B15 * IFERROR(VLOOKUP("LULUCF|PM25|Work loss days", US_national_yearly!$D:$AM, 21, FALSE) / VLOOKUP("LULUCF|PM25|Work loss days", US_national_yearly!$D:$AM, 10, FALSE), 1)</f>
        <v>0.40739714619676415</v>
      </c>
      <c r="N15" s="7">
        <f>$B15 * IFERROR(VLOOKUP("LULUCF|PM25|Work loss days", US_national_yearly!$D:$AM, 22, FALSE) / VLOOKUP("LULUCF|PM25|Work loss days", US_national_yearly!$D:$AM, 10, FALSE), 1)</f>
        <v>0.41031823941489609</v>
      </c>
      <c r="O15" s="7">
        <f>$B15 * IFERROR(VLOOKUP("LULUCF|PM25|Work loss days", US_national_yearly!$D:$AM, 23, FALSE) / VLOOKUP("LULUCF|PM25|Work loss days", US_national_yearly!$D:$AM, 10, FALSE), 1)</f>
        <v>0.41323933263302792</v>
      </c>
      <c r="P15" s="7">
        <f>$B15 * IFERROR(VLOOKUP("LULUCF|PM25|Work loss days", US_national_yearly!$D:$AM, 24, FALSE) / VLOOKUP("LULUCF|PM25|Work loss days", US_national_yearly!$D:$AM, 10, FALSE), 1)</f>
        <v>0.41616042585115987</v>
      </c>
      <c r="Q15" s="7">
        <f>$B15 * IFERROR(VLOOKUP("LULUCF|PM25|Work loss days", US_national_yearly!$D:$AM, 25, FALSE) / VLOOKUP("LULUCF|PM25|Work loss days", US_national_yearly!$D:$AM, 10, FALSE), 1)</f>
        <v>0.4190815190692917</v>
      </c>
      <c r="R15" s="7">
        <f>$B15 * IFERROR(VLOOKUP("LULUCF|PM25|Work loss days", US_national_yearly!$D:$AM, 26, FALSE) / VLOOKUP("LULUCF|PM25|Work loss days", US_national_yearly!$D:$AM, 10, FALSE), 1)</f>
        <v>0.42200261228742364</v>
      </c>
      <c r="S15" s="7">
        <f>$B15 * IFERROR(VLOOKUP("LULUCF|PM25|Work loss days", US_national_yearly!$D:$AM, 27, FALSE) / VLOOKUP("LULUCF|PM25|Work loss days", US_national_yearly!$D:$AM, 10, FALSE), 1)</f>
        <v>0.42523346609823381</v>
      </c>
      <c r="T15" s="7">
        <f>$B15 * IFERROR(VLOOKUP("LULUCF|PM25|Work loss days", US_national_yearly!$D:$AM, 28, FALSE) / VLOOKUP("LULUCF|PM25|Work loss days", US_national_yearly!$D:$AM, 10, FALSE), 1)</f>
        <v>0.4284643199090441</v>
      </c>
      <c r="U15" s="7">
        <f>$B15 * IFERROR(VLOOKUP("LULUCF|PM25|Work loss days", US_national_yearly!$D:$AM, 29, FALSE) / VLOOKUP("LULUCF|PM25|Work loss days", US_national_yearly!$D:$AM, 10, FALSE), 1)</f>
        <v>0.43169517371985416</v>
      </c>
      <c r="V15" s="7">
        <f>$B15 * IFERROR(VLOOKUP("LULUCF|PM25|Work loss days", US_national_yearly!$D:$AM, 30, FALSE) / VLOOKUP("LULUCF|PM25|Work loss days", US_national_yearly!$D:$AM, 10, FALSE), 1)</f>
        <v>0.43492602753066439</v>
      </c>
      <c r="W15" s="7">
        <f>$B15 * IFERROR(VLOOKUP("LULUCF|PM25|Work loss days", US_national_yearly!$D:$AM, 31, FALSE) / VLOOKUP("LULUCF|PM25|Work loss days", US_national_yearly!$D:$AM, 10, FALSE), 1)</f>
        <v>0.43815688134147457</v>
      </c>
      <c r="X15" s="7">
        <f>$B15 * IFERROR(VLOOKUP("LULUCF|PM25|Work loss days", US_national_yearly!$D:$AM, 32, FALSE) / VLOOKUP("LULUCF|PM25|Work loss days", US_national_yearly!$D:$AM, 10, FALSE), 1)</f>
        <v>0.44102352004463935</v>
      </c>
      <c r="Y15" s="7">
        <f>$B15 * IFERROR(VLOOKUP("LULUCF|PM25|Work loss days", US_national_yearly!$D:$AM, 33, FALSE) / VLOOKUP("LULUCF|PM25|Work loss days", US_national_yearly!$D:$AM, 10, FALSE), 1)</f>
        <v>0.44389015874780419</v>
      </c>
      <c r="Z15" s="7">
        <f>$B15 * IFERROR(VLOOKUP("LULUCF|PM25|Work loss days", US_national_yearly!$D:$AM, 34, FALSE) / VLOOKUP("LULUCF|PM25|Work loss days", US_national_yearly!$D:$AM, 10, FALSE), 1)</f>
        <v>0.44675679745096908</v>
      </c>
      <c r="AA15" s="7">
        <f>$B15 * IFERROR(VLOOKUP("LULUCF|PM25|Work loss days", US_national_yearly!$D:$AM, 35, FALSE) / VLOOKUP("LULUCF|PM25|Work loss days", US_national_yearly!$D:$AM, 10, FALSE), 1)</f>
        <v>0.44962343615413397</v>
      </c>
      <c r="AB15" s="7">
        <f>$B15 * IFERROR(VLOOKUP("LULUCF|PM25|Work loss days", US_national_yearly!$D:$AM, 36, FALSE) / VLOOKUP("LULUCF|PM25|Work loss days", US_national_yearly!$D:$AM, 10, FALSE), 1)</f>
        <v>0.45249007485729875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4.7454935646033835E-4</v>
      </c>
      <c r="C17" s="7">
        <f>$B17 * IFERROR(VLOOKUP("LULUCF|PM25|Cardiovascular hospital admissions", US_national_yearly!$D:$AM, 11, FALSE) / VLOOKUP("LULUCF|PM25|Cardiovascular hospital admissions", US_national_yearly!$D:$AM, 10, FALSE), 1)</f>
        <v>4.8872922214263862E-4</v>
      </c>
      <c r="D17" s="7">
        <f>$B17 * IFERROR(VLOOKUP("LULUCF|PM25|Cardiovascular hospital admissions", US_national_yearly!$D:$AM, 12, FALSE) / VLOOKUP("LULUCF|PM25|Cardiovascular hospital admissions", US_national_yearly!$D:$AM, 10, FALSE), 1)</f>
        <v>5.02909087824939E-4</v>
      </c>
      <c r="E17" s="7">
        <f>$B17 * IFERROR(VLOOKUP("LULUCF|PM25|Cardiovascular hospital admissions", US_national_yearly!$D:$AM, 13, FALSE) / VLOOKUP("LULUCF|PM25|Cardiovascular hospital admissions", US_national_yearly!$D:$AM, 10, FALSE), 1)</f>
        <v>5.1708895350723928E-4</v>
      </c>
      <c r="F17" s="7">
        <f>$B17 * IFERROR(VLOOKUP("LULUCF|PM25|Cardiovascular hospital admissions", US_national_yearly!$D:$AM, 14, FALSE) / VLOOKUP("LULUCF|PM25|Cardiovascular hospital admissions", US_national_yearly!$D:$AM, 10, FALSE), 1)</f>
        <v>5.3126881918953966E-4</v>
      </c>
      <c r="G17" s="7">
        <f>$B17 * IFERROR(VLOOKUP("LULUCF|PM25|Cardiovascular hospital admissions", US_national_yearly!$D:$AM, 15, FALSE) / VLOOKUP("LULUCF|PM25|Cardiovascular hospital admissions", US_national_yearly!$D:$AM, 10, FALSE), 1)</f>
        <v>5.4485059760985379E-4</v>
      </c>
      <c r="H17" s="7">
        <f>$B17 * IFERROR(VLOOKUP("LULUCF|PM25|Cardiovascular hospital admissions", US_national_yearly!$D:$AM, 16, FALSE) / VLOOKUP("LULUCF|PM25|Cardiovascular hospital admissions", US_national_yearly!$D:$AM, 10, FALSE), 1)</f>
        <v>5.5843237603016814E-4</v>
      </c>
      <c r="I17" s="7">
        <f>$B17 * IFERROR(VLOOKUP("LULUCF|PM25|Cardiovascular hospital admissions", US_national_yearly!$D:$AM, 17, FALSE) / VLOOKUP("LULUCF|PM25|Cardiovascular hospital admissions", US_national_yearly!$D:$AM, 10, FALSE), 1)</f>
        <v>5.7004825860474783E-4</v>
      </c>
      <c r="J17" s="7">
        <f>$B17 * IFERROR(VLOOKUP("LULUCF|PM25|Cardiovascular hospital admissions", US_national_yearly!$D:$AM, 18, FALSE) / VLOOKUP("LULUCF|PM25|Cardiovascular hospital admissions", US_national_yearly!$D:$AM, 10, FALSE), 1)</f>
        <v>5.8166414117932731E-4</v>
      </c>
      <c r="K17" s="7">
        <f>$B17 * IFERROR(VLOOKUP("LULUCF|PM25|Cardiovascular hospital admissions", US_national_yearly!$D:$AM, 19, FALSE) / VLOOKUP("LULUCF|PM25|Cardiovascular hospital admissions", US_national_yearly!$D:$AM, 10, FALSE), 1)</f>
        <v>5.9328002375390689E-4</v>
      </c>
      <c r="L17" s="7">
        <f>$B17 * IFERROR(VLOOKUP("LULUCF|PM25|Cardiovascular hospital admissions", US_national_yearly!$D:$AM, 20, FALSE) / VLOOKUP("LULUCF|PM25|Cardiovascular hospital admissions", US_national_yearly!$D:$AM, 10, FALSE), 1)</f>
        <v>6.0489590632848659E-4</v>
      </c>
      <c r="M17" s="7">
        <f>$B17 * IFERROR(VLOOKUP("LULUCF|PM25|Cardiovascular hospital admissions", US_national_yearly!$D:$AM, 21, FALSE) / VLOOKUP("LULUCF|PM25|Cardiovascular hospital admissions", US_national_yearly!$D:$AM, 10, FALSE), 1)</f>
        <v>6.1651178890306617E-4</v>
      </c>
      <c r="N17" s="7">
        <f>$B17 * IFERROR(VLOOKUP("LULUCF|PM25|Cardiovascular hospital admissions", US_national_yearly!$D:$AM, 22, FALSE) / VLOOKUP("LULUCF|PM25|Cardiovascular hospital admissions", US_national_yearly!$D:$AM, 10, FALSE), 1)</f>
        <v>6.2425636302162308E-4</v>
      </c>
      <c r="O17" s="7">
        <f>$B17 * IFERROR(VLOOKUP("LULUCF|PM25|Cardiovascular hospital admissions", US_national_yearly!$D:$AM, 23, FALSE) / VLOOKUP("LULUCF|PM25|Cardiovascular hospital admissions", US_national_yearly!$D:$AM, 10, FALSE), 1)</f>
        <v>6.3200093714017999E-4</v>
      </c>
      <c r="P17" s="7">
        <f>$B17 * IFERROR(VLOOKUP("LULUCF|PM25|Cardiovascular hospital admissions", US_national_yearly!$D:$AM, 24, FALSE) / VLOOKUP("LULUCF|PM25|Cardiovascular hospital admissions", US_national_yearly!$D:$AM, 10, FALSE), 1)</f>
        <v>6.3974551125873678E-4</v>
      </c>
      <c r="Q17" s="7">
        <f>$B17 * IFERROR(VLOOKUP("LULUCF|PM25|Cardiovascular hospital admissions", US_national_yearly!$D:$AM, 25, FALSE) / VLOOKUP("LULUCF|PM25|Cardiovascular hospital admissions", US_national_yearly!$D:$AM, 10, FALSE), 1)</f>
        <v>6.474900853772938E-4</v>
      </c>
      <c r="R17" s="7">
        <f>$B17 * IFERROR(VLOOKUP("LULUCF|PM25|Cardiovascular hospital admissions", US_national_yearly!$D:$AM, 26, FALSE) / VLOOKUP("LULUCF|PM25|Cardiovascular hospital admissions", US_national_yearly!$D:$AM, 10, FALSE), 1)</f>
        <v>6.552346594958506E-4</v>
      </c>
      <c r="S17" s="7">
        <f>$B17 * IFERROR(VLOOKUP("LULUCF|PM25|Cardiovascular hospital admissions", US_national_yearly!$D:$AM, 27, FALSE) / VLOOKUP("LULUCF|PM25|Cardiovascular hospital admissions", US_national_yearly!$D:$AM, 10, FALSE), 1)</f>
        <v>6.5933226224628393E-4</v>
      </c>
      <c r="T17" s="7">
        <f>$B17 * IFERROR(VLOOKUP("LULUCF|PM25|Cardiovascular hospital admissions", US_national_yearly!$D:$AM, 28, FALSE) / VLOOKUP("LULUCF|PM25|Cardiovascular hospital admissions", US_national_yearly!$D:$AM, 10, FALSE), 1)</f>
        <v>6.6342986499671715E-4</v>
      </c>
      <c r="U17" s="7">
        <f>$B17 * IFERROR(VLOOKUP("LULUCF|PM25|Cardiovascular hospital admissions", US_national_yearly!$D:$AM, 29, FALSE) / VLOOKUP("LULUCF|PM25|Cardiovascular hospital admissions", US_national_yearly!$D:$AM, 10, FALSE), 1)</f>
        <v>6.6752746774715026E-4</v>
      </c>
      <c r="V17" s="7">
        <f>$B17 * IFERROR(VLOOKUP("LULUCF|PM25|Cardiovascular hospital admissions", US_national_yearly!$D:$AM, 30, FALSE) / VLOOKUP("LULUCF|PM25|Cardiovascular hospital admissions", US_national_yearly!$D:$AM, 10, FALSE), 1)</f>
        <v>6.7162507049758338E-4</v>
      </c>
      <c r="W17" s="7">
        <f>$B17 * IFERROR(VLOOKUP("LULUCF|PM25|Cardiovascular hospital admissions", US_national_yearly!$D:$AM, 31, FALSE) / VLOOKUP("LULUCF|PM25|Cardiovascular hospital admissions", US_national_yearly!$D:$AM, 10, FALSE), 1)</f>
        <v>6.757226732480166E-4</v>
      </c>
      <c r="X17" s="7">
        <f>$B17 * IFERROR(VLOOKUP("LULUCF|PM25|Cardiovascular hospital admissions", US_national_yearly!$D:$AM, 32, FALSE) / VLOOKUP("LULUCF|PM25|Cardiovascular hospital admissions", US_national_yearly!$D:$AM, 10, FALSE), 1)</f>
        <v>6.7848123331935243E-4</v>
      </c>
      <c r="Y17" s="7">
        <f>$B17 * IFERROR(VLOOKUP("LULUCF|PM25|Cardiovascular hospital admissions", US_national_yearly!$D:$AM, 33, FALSE) / VLOOKUP("LULUCF|PM25|Cardiovascular hospital admissions", US_national_yearly!$D:$AM, 10, FALSE), 1)</f>
        <v>6.8123979339068815E-4</v>
      </c>
      <c r="Z17" s="7">
        <f>$B17 * IFERROR(VLOOKUP("LULUCF|PM25|Cardiovascular hospital admissions", US_national_yearly!$D:$AM, 34, FALSE) / VLOOKUP("LULUCF|PM25|Cardiovascular hospital admissions", US_national_yearly!$D:$AM, 10, FALSE), 1)</f>
        <v>6.8399835346202398E-4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6.8675691353335981E-4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6.8951547360469553E-4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5.4144712128733575E-3</v>
      </c>
      <c r="C2" s="7">
        <f>$B2 * IFERROR(VLOOKUP("LULUCF|NOx|Premature mortality", US_national_yearly!$D:$AM, 11, FALSE) / VLOOKUP("LULUCF|NOx|Premature mortality", US_national_yearly!$D:$AM, 10, FALSE), 1)</f>
        <v>5.4940006431627789E-3</v>
      </c>
      <c r="D2" s="7">
        <f>$B2 * IFERROR(VLOOKUP("LULUCF|NOx|Premature mortality", US_national_yearly!$D:$AM, 12, FALSE) / VLOOKUP("LULUCF|NOx|Premature mortality", US_national_yearly!$D:$AM, 10, FALSE), 1)</f>
        <v>5.5735300734521993E-3</v>
      </c>
      <c r="E2" s="7">
        <f>$B2 * IFERROR(VLOOKUP("LULUCF|NOx|Premature mortality", US_national_yearly!$D:$AM, 13, FALSE) / VLOOKUP("LULUCF|NOx|Premature mortality", US_national_yearly!$D:$AM, 10, FALSE), 1)</f>
        <v>5.6530595037416207E-3</v>
      </c>
      <c r="F2" s="7">
        <f>$B2 * IFERROR(VLOOKUP("LULUCF|NOx|Premature mortality", US_national_yearly!$D:$AM, 14, FALSE) / VLOOKUP("LULUCF|NOx|Premature mortality", US_national_yearly!$D:$AM, 10, FALSE), 1)</f>
        <v>5.732588934031042E-3</v>
      </c>
      <c r="G2" s="7">
        <f>$B2 * IFERROR(VLOOKUP("LULUCF|NOx|Premature mortality", US_national_yearly!$D:$AM, 15, FALSE) / VLOOKUP("LULUCF|NOx|Premature mortality", US_national_yearly!$D:$AM, 10, FALSE), 1)</f>
        <v>5.8754425935131195E-3</v>
      </c>
      <c r="H2" s="7">
        <f>$B2 * IFERROR(VLOOKUP("LULUCF|NOx|Premature mortality", US_national_yearly!$D:$AM, 16, FALSE) / VLOOKUP("LULUCF|NOx|Premature mortality", US_national_yearly!$D:$AM, 10, FALSE), 1)</f>
        <v>6.0182962529951988E-3</v>
      </c>
      <c r="I2" s="7">
        <f>$B2 * IFERROR(VLOOKUP("LULUCF|NOx|Premature mortality", US_national_yearly!$D:$AM, 17, FALSE) / VLOOKUP("LULUCF|NOx|Premature mortality", US_national_yearly!$D:$AM, 10, FALSE), 1)</f>
        <v>6.1105109999298043E-3</v>
      </c>
      <c r="J2" s="7">
        <f>$B2 * IFERROR(VLOOKUP("LULUCF|NOx|Premature mortality", US_national_yearly!$D:$AM, 18, FALSE) / VLOOKUP("LULUCF|NOx|Premature mortality", US_national_yearly!$D:$AM, 10, FALSE), 1)</f>
        <v>6.2027257468644107E-3</v>
      </c>
      <c r="K2" s="7">
        <f>$B2 * IFERROR(VLOOKUP("LULUCF|NOx|Premature mortality", US_national_yearly!$D:$AM, 19, FALSE) / VLOOKUP("LULUCF|NOx|Premature mortality", US_national_yearly!$D:$AM, 10, FALSE), 1)</f>
        <v>6.2949404937990162E-3</v>
      </c>
      <c r="L2" s="7">
        <f>$B2 * IFERROR(VLOOKUP("LULUCF|NOx|Premature mortality", US_national_yearly!$D:$AM, 20, FALSE) / VLOOKUP("LULUCF|NOx|Premature mortality", US_national_yearly!$D:$AM, 10, FALSE), 1)</f>
        <v>6.3871552407336217E-3</v>
      </c>
      <c r="M2" s="7">
        <f>$B2 * IFERROR(VLOOKUP("LULUCF|NOx|Premature mortality", US_national_yearly!$D:$AM, 21, FALSE) / VLOOKUP("LULUCF|NOx|Premature mortality", US_national_yearly!$D:$AM, 10, FALSE), 1)</f>
        <v>6.4793699876682289E-3</v>
      </c>
      <c r="N2" s="7">
        <f>$B2 * IFERROR(VLOOKUP("LULUCF|NOx|Premature mortality", US_national_yearly!$D:$AM, 22, FALSE) / VLOOKUP("LULUCF|NOx|Premature mortality", US_national_yearly!$D:$AM, 10, FALSE), 1)</f>
        <v>6.5476823137085262E-3</v>
      </c>
      <c r="O2" s="7">
        <f>$B2 * IFERROR(VLOOKUP("LULUCF|NOx|Premature mortality", US_national_yearly!$D:$AM, 23, FALSE) / VLOOKUP("LULUCF|NOx|Premature mortality", US_national_yearly!$D:$AM, 10, FALSE), 1)</f>
        <v>6.6159946397488234E-3</v>
      </c>
      <c r="P2" s="7">
        <f>$B2 * IFERROR(VLOOKUP("LULUCF|NOx|Premature mortality", US_national_yearly!$D:$AM, 24, FALSE) / VLOOKUP("LULUCF|NOx|Premature mortality", US_national_yearly!$D:$AM, 10, FALSE), 1)</f>
        <v>6.6843069657891207E-3</v>
      </c>
      <c r="Q2" s="7">
        <f>$B2 * IFERROR(VLOOKUP("LULUCF|NOx|Premature mortality", US_national_yearly!$D:$AM, 25, FALSE) / VLOOKUP("LULUCF|NOx|Premature mortality", US_national_yearly!$D:$AM, 10, FALSE), 1)</f>
        <v>6.7526192918294196E-3</v>
      </c>
      <c r="R2" s="7">
        <f>$B2 * IFERROR(VLOOKUP("LULUCF|NOx|Premature mortality", US_national_yearly!$D:$AM, 26, FALSE) / VLOOKUP("LULUCF|NOx|Premature mortality", US_national_yearly!$D:$AM, 10, FALSE), 1)</f>
        <v>6.8209316178697169E-3</v>
      </c>
      <c r="S2" s="7">
        <f>$B2 * IFERROR(VLOOKUP("LULUCF|NOx|Premature mortality", US_national_yearly!$D:$AM, 27, FALSE) / VLOOKUP("LULUCF|NOx|Premature mortality", US_national_yearly!$D:$AM, 10, FALSE), 1)</f>
        <v>6.8519802579510144E-3</v>
      </c>
      <c r="T2" s="7">
        <f>$B2 * IFERROR(VLOOKUP("LULUCF|NOx|Premature mortality", US_national_yearly!$D:$AM, 28, FALSE) / VLOOKUP("LULUCF|NOx|Premature mortality", US_national_yearly!$D:$AM, 10, FALSE), 1)</f>
        <v>6.8830288980323119E-3</v>
      </c>
      <c r="U2" s="7">
        <f>$B2 * IFERROR(VLOOKUP("LULUCF|NOx|Premature mortality", US_national_yearly!$D:$AM, 29, FALSE) / VLOOKUP("LULUCF|NOx|Premature mortality", US_national_yearly!$D:$AM, 10, FALSE), 1)</f>
        <v>6.9140775381136086E-3</v>
      </c>
      <c r="V2" s="7">
        <f>$B2 * IFERROR(VLOOKUP("LULUCF|NOx|Premature mortality", US_national_yearly!$D:$AM, 30, FALSE) / VLOOKUP("LULUCF|NOx|Premature mortality", US_national_yearly!$D:$AM, 10, FALSE), 1)</f>
        <v>6.9451261781949061E-3</v>
      </c>
      <c r="W2" s="7">
        <f>$B2 * IFERROR(VLOOKUP("LULUCF|NOx|Premature mortality", US_national_yearly!$D:$AM, 31, FALSE) / VLOOKUP("LULUCF|NOx|Premature mortality", US_national_yearly!$D:$AM, 10, FALSE), 1)</f>
        <v>6.9761748182762037E-3</v>
      </c>
      <c r="X2" s="7">
        <f>$B2 * IFERROR(VLOOKUP("LULUCF|NOx|Premature mortality", US_national_yearly!$D:$AM, 32, FALSE) / VLOOKUP("LULUCF|NOx|Premature mortality", US_national_yearly!$D:$AM, 10, FALSE), 1)</f>
        <v>6.9772503253465578E-3</v>
      </c>
      <c r="Y2" s="7">
        <f>$B2 * IFERROR(VLOOKUP("LULUCF|NOx|Premature mortality", US_national_yearly!$D:$AM, 33, FALSE) / VLOOKUP("LULUCF|NOx|Premature mortality", US_national_yearly!$D:$AM, 10, FALSE), 1)</f>
        <v>6.9783258324169119E-3</v>
      </c>
      <c r="Z2" s="7">
        <f>$B2 * IFERROR(VLOOKUP("LULUCF|NOx|Premature mortality", US_national_yearly!$D:$AM, 34, FALSE) / VLOOKUP("LULUCF|NOx|Premature mortality", US_national_yearly!$D:$AM, 10, FALSE), 1)</f>
        <v>6.9794013394872652E-3</v>
      </c>
      <c r="AA2" s="7">
        <f>$B2 * IFERROR(VLOOKUP("LULUCF|NOx|Premature mortality", US_national_yearly!$D:$AM, 35, FALSE) / VLOOKUP("LULUCF|NOx|Premature mortality", US_national_yearly!$D:$AM, 10, FALSE), 1)</f>
        <v>6.9804768465576211E-3</v>
      </c>
      <c r="AB2" s="7">
        <f>$B2 * IFERROR(VLOOKUP("LULUCF|NOx|Premature mortality", US_national_yearly!$D:$AM, 36, FALSE) / VLOOKUP("LULUCF|NOx|Premature mortality", US_national_yearly!$D:$AM, 10, FALSE), 1)</f>
        <v>6.9815523536279752E-3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1.2599696381954191E-5</v>
      </c>
      <c r="C3" s="7">
        <f>$B3 * IFERROR(VLOOKUP("LULUCF|NOx|Infant mortality", US_national_yearly!$D:$AM, 11, FALSE) / VLOOKUP("LULUCF|NOx|Infant mortality", US_national_yearly!$D:$AM, 10, FALSE), 1)</f>
        <v>1.2479652167842208E-5</v>
      </c>
      <c r="D3" s="7">
        <f>$B3 * IFERROR(VLOOKUP("LULUCF|NOx|Infant mortality", US_national_yearly!$D:$AM, 12, FALSE) / VLOOKUP("LULUCF|NOx|Infant mortality", US_national_yearly!$D:$AM, 10, FALSE), 1)</f>
        <v>1.2359607953730223E-5</v>
      </c>
      <c r="E3" s="7">
        <f>$B3 * IFERROR(VLOOKUP("LULUCF|NOx|Infant mortality", US_national_yearly!$D:$AM, 13, FALSE) / VLOOKUP("LULUCF|NOx|Infant mortality", US_national_yearly!$D:$AM, 10, FALSE), 1)</f>
        <v>1.2239563739618239E-5</v>
      </c>
      <c r="F3" s="7">
        <f>$B3 * IFERROR(VLOOKUP("LULUCF|NOx|Infant mortality", US_national_yearly!$D:$AM, 14, FALSE) / VLOOKUP("LULUCF|NOx|Infant mortality", US_national_yearly!$D:$AM, 10, FALSE), 1)</f>
        <v>1.2119519525506256E-5</v>
      </c>
      <c r="G3" s="7">
        <f>$B3 * IFERROR(VLOOKUP("LULUCF|NOx|Infant mortality", US_national_yearly!$D:$AM, 15, FALSE) / VLOOKUP("LULUCF|NOx|Infant mortality", US_national_yearly!$D:$AM, 10, FALSE), 1)</f>
        <v>8.0455355348143957E-6</v>
      </c>
      <c r="H3" s="7">
        <f>$B3 * IFERROR(VLOOKUP("LULUCF|NOx|Infant mortality", US_national_yearly!$D:$AM, 16, FALSE) / VLOOKUP("LULUCF|NOx|Infant mortality", US_national_yearly!$D:$AM, 10, FALSE), 1)</f>
        <v>3.9715515441225367E-6</v>
      </c>
      <c r="I3" s="7">
        <f>$B3 * IFERROR(VLOOKUP("LULUCF|NOx|Infant mortality", US_national_yearly!$D:$AM, 17, FALSE) / VLOOKUP("LULUCF|NOx|Infant mortality", US_national_yearly!$D:$AM, 10, FALSE), 1)</f>
        <v>3.9434688826527236E-6</v>
      </c>
      <c r="J3" s="7">
        <f>$B3 * IFERROR(VLOOKUP("LULUCF|NOx|Infant mortality", US_national_yearly!$D:$AM, 18, FALSE) / VLOOKUP("LULUCF|NOx|Infant mortality", US_national_yearly!$D:$AM, 10, FALSE), 1)</f>
        <v>3.9153862211829097E-6</v>
      </c>
      <c r="K3" s="7">
        <f>$B3 * IFERROR(VLOOKUP("LULUCF|NOx|Infant mortality", US_national_yearly!$D:$AM, 19, FALSE) / VLOOKUP("LULUCF|NOx|Infant mortality", US_national_yearly!$D:$AM, 10, FALSE), 1)</f>
        <v>3.8873035597130966E-6</v>
      </c>
      <c r="L3" s="7">
        <f>$B3 * IFERROR(VLOOKUP("LULUCF|NOx|Infant mortality", US_national_yearly!$D:$AM, 20, FALSE) / VLOOKUP("LULUCF|NOx|Infant mortality", US_national_yearly!$D:$AM, 10, FALSE), 1)</f>
        <v>3.8592208982432836E-6</v>
      </c>
      <c r="M3" s="7">
        <f>$B3 * IFERROR(VLOOKUP("LULUCF|NOx|Infant mortality", US_national_yearly!$D:$AM, 21, FALSE) / VLOOKUP("LULUCF|NOx|Infant mortality", US_national_yearly!$D:$AM, 10, FALSE), 1)</f>
        <v>3.8311382367734697E-6</v>
      </c>
      <c r="N3" s="7">
        <f>$B3 * IFERROR(VLOOKUP("LULUCF|NOx|Infant mortality", US_national_yearly!$D:$AM, 22, FALSE) / VLOOKUP("LULUCF|NOx|Infant mortality", US_national_yearly!$D:$AM, 10, FALSE), 1)</f>
        <v>3.8124981402956585E-6</v>
      </c>
      <c r="O3" s="7">
        <f>$B3 * IFERROR(VLOOKUP("LULUCF|NOx|Infant mortality", US_national_yearly!$D:$AM, 23, FALSE) / VLOOKUP("LULUCF|NOx|Infant mortality", US_national_yearly!$D:$AM, 10, FALSE), 1)</f>
        <v>3.7938580438178473E-6</v>
      </c>
      <c r="P3" s="7">
        <f>$B3 * IFERROR(VLOOKUP("LULUCF|NOx|Infant mortality", US_national_yearly!$D:$AM, 24, FALSE) / VLOOKUP("LULUCF|NOx|Infant mortality", US_national_yearly!$D:$AM, 10, FALSE), 1)</f>
        <v>3.7752179473400362E-6</v>
      </c>
      <c r="Q3" s="7">
        <f>$B3 * IFERROR(VLOOKUP("LULUCF|NOx|Infant mortality", US_national_yearly!$D:$AM, 25, FALSE) / VLOOKUP("LULUCF|NOx|Infant mortality", US_national_yearly!$D:$AM, 10, FALSE), 1)</f>
        <v>3.756577850862225E-6</v>
      </c>
      <c r="R3" s="7">
        <f>$B3 * IFERROR(VLOOKUP("LULUCF|NOx|Infant mortality", US_national_yearly!$D:$AM, 26, FALSE) / VLOOKUP("LULUCF|NOx|Infant mortality", US_national_yearly!$D:$AM, 10, FALSE), 1)</f>
        <v>3.7379377543844138E-6</v>
      </c>
      <c r="S3" s="7">
        <f>$B3 * IFERROR(VLOOKUP("LULUCF|NOx|Infant mortality", US_national_yearly!$D:$AM, 27, FALSE) / VLOOKUP("LULUCF|NOx|Infant mortality", US_national_yearly!$D:$AM, 10, FALSE), 1)</f>
        <v>3.7155293941986304E-6</v>
      </c>
      <c r="T3" s="7">
        <f>$B3 * IFERROR(VLOOKUP("LULUCF|NOx|Infant mortality", US_national_yearly!$D:$AM, 28, FALSE) / VLOOKUP("LULUCF|NOx|Infant mortality", US_national_yearly!$D:$AM, 10, FALSE), 1)</f>
        <v>3.6931210340128475E-6</v>
      </c>
      <c r="U3" s="7">
        <f>$B3 * IFERROR(VLOOKUP("LULUCF|NOx|Infant mortality", US_national_yearly!$D:$AM, 29, FALSE) / VLOOKUP("LULUCF|NOx|Infant mortality", US_national_yearly!$D:$AM, 10, FALSE), 1)</f>
        <v>3.6707126738270641E-6</v>
      </c>
      <c r="V3" s="7">
        <f>$B3 * IFERROR(VLOOKUP("LULUCF|NOx|Infant mortality", US_national_yearly!$D:$AM, 30, FALSE) / VLOOKUP("LULUCF|NOx|Infant mortality", US_national_yearly!$D:$AM, 10, FALSE), 1)</f>
        <v>3.6483043136412812E-6</v>
      </c>
      <c r="W3" s="7">
        <f>$B3 * IFERROR(VLOOKUP("LULUCF|NOx|Infant mortality", US_national_yearly!$D:$AM, 31, FALSE) / VLOOKUP("LULUCF|NOx|Infant mortality", US_national_yearly!$D:$AM, 10, FALSE), 1)</f>
        <v>3.6258959534554978E-6</v>
      </c>
      <c r="X3" s="7">
        <f>$B3 * IFERROR(VLOOKUP("LULUCF|NOx|Infant mortality", US_national_yearly!$D:$AM, 32, FALSE) / VLOOKUP("LULUCF|NOx|Infant mortality", US_national_yearly!$D:$AM, 10, FALSE), 1)</f>
        <v>3.6021644163946827E-6</v>
      </c>
      <c r="Y3" s="7">
        <f>$B3 * IFERROR(VLOOKUP("LULUCF|NOx|Infant mortality", US_national_yearly!$D:$AM, 33, FALSE) / VLOOKUP("LULUCF|NOx|Infant mortality", US_national_yearly!$D:$AM, 10, FALSE), 1)</f>
        <v>3.5784328793338668E-6</v>
      </c>
      <c r="Z3" s="7">
        <f>$B3 * IFERROR(VLOOKUP("LULUCF|NOx|Infant mortality", US_national_yearly!$D:$AM, 34, FALSE) / VLOOKUP("LULUCF|NOx|Infant mortality", US_national_yearly!$D:$AM, 10, FALSE), 1)</f>
        <v>3.5547013422730508E-6</v>
      </c>
      <c r="AA3" s="7">
        <f>$B3 * IFERROR(VLOOKUP("LULUCF|NOx|Infant mortality", US_national_yearly!$D:$AM, 35, FALSE) / VLOOKUP("LULUCF|NOx|Infant mortality", US_national_yearly!$D:$AM, 10, FALSE), 1)</f>
        <v>3.5309698052122349E-6</v>
      </c>
      <c r="AB3" s="7">
        <f>$B3 * IFERROR(VLOOKUP("LULUCF|NOx|Infant mortality", US_national_yearly!$D:$AM, 36, FALSE) / VLOOKUP("LULUCF|NOx|Infant mortality", US_national_yearly!$D:$AM, 10, FALSE), 1)</f>
        <v>3.5072382681514194E-6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1.7868803099182574E-2</v>
      </c>
      <c r="C6" s="7">
        <f>$B6 * IFERROR(VLOOKUP("LULUCF|NOx|Asthma symptoms cough", US_national_yearly!$D:$AM, 11, FALSE) / VLOOKUP("LULUCF|NOx|Asthma symptoms cough", US_national_yearly!$D:$AM, 10, FALSE), 1)</f>
        <v>1.8113098851885029E-2</v>
      </c>
      <c r="D6" s="7">
        <f>$B6 * IFERROR(VLOOKUP("LULUCF|NOx|Asthma symptoms cough", US_national_yearly!$D:$AM, 12, FALSE) / VLOOKUP("LULUCF|NOx|Asthma symptoms cough", US_national_yearly!$D:$AM, 10, FALSE), 1)</f>
        <v>1.8357394604587483E-2</v>
      </c>
      <c r="E6" s="7">
        <f>$B6 * IFERROR(VLOOKUP("LULUCF|NOx|Asthma symptoms cough", US_national_yearly!$D:$AM, 13, FALSE) / VLOOKUP("LULUCF|NOx|Asthma symptoms cough", US_national_yearly!$D:$AM, 10, FALSE), 1)</f>
        <v>1.8601690357289938E-2</v>
      </c>
      <c r="F6" s="7">
        <f>$B6 * IFERROR(VLOOKUP("LULUCF|NOx|Asthma symptoms cough", US_national_yearly!$D:$AM, 14, FALSE) / VLOOKUP("LULUCF|NOx|Asthma symptoms cough", US_national_yearly!$D:$AM, 10, FALSE), 1)</f>
        <v>1.8845986109992389E-2</v>
      </c>
      <c r="G6" s="7">
        <f>$B6 * IFERROR(VLOOKUP("LULUCF|NOx|Asthma symptoms cough", US_national_yearly!$D:$AM, 15, FALSE) / VLOOKUP("LULUCF|NOx|Asthma symptoms cough", US_national_yearly!$D:$AM, 10, FALSE), 1)</f>
        <v>1.9041022130500209E-2</v>
      </c>
      <c r="H6" s="7">
        <f>$B6 * IFERROR(VLOOKUP("LULUCF|NOx|Asthma symptoms cough", US_national_yearly!$D:$AM, 16, FALSE) / VLOOKUP("LULUCF|NOx|Asthma symptoms cough", US_national_yearly!$D:$AM, 10, FALSE), 1)</f>
        <v>1.9236058151008033E-2</v>
      </c>
      <c r="I6" s="7">
        <f>$B6 * IFERROR(VLOOKUP("LULUCF|NOx|Asthma symptoms cough", US_national_yearly!$D:$AM, 17, FALSE) / VLOOKUP("LULUCF|NOx|Asthma symptoms cough", US_national_yearly!$D:$AM, 10, FALSE), 1)</f>
        <v>1.9303186761080379E-2</v>
      </c>
      <c r="J6" s="7">
        <f>$B6 * IFERROR(VLOOKUP("LULUCF|NOx|Asthma symptoms cough", US_national_yearly!$D:$AM, 18, FALSE) / VLOOKUP("LULUCF|NOx|Asthma symptoms cough", US_national_yearly!$D:$AM, 10, FALSE), 1)</f>
        <v>1.9370315371152729E-2</v>
      </c>
      <c r="K6" s="7">
        <f>$B6 * IFERROR(VLOOKUP("LULUCF|NOx|Asthma symptoms cough", US_national_yearly!$D:$AM, 19, FALSE) / VLOOKUP("LULUCF|NOx|Asthma symptoms cough", US_national_yearly!$D:$AM, 10, FALSE), 1)</f>
        <v>1.9437443981225076E-2</v>
      </c>
      <c r="L6" s="7">
        <f>$B6 * IFERROR(VLOOKUP("LULUCF|NOx|Asthma symptoms cough", US_national_yearly!$D:$AM, 20, FALSE) / VLOOKUP("LULUCF|NOx|Asthma symptoms cough", US_national_yearly!$D:$AM, 10, FALSE), 1)</f>
        <v>1.9504572591297422E-2</v>
      </c>
      <c r="M6" s="7">
        <f>$B6 * IFERROR(VLOOKUP("LULUCF|NOx|Asthma symptoms cough", US_national_yearly!$D:$AM, 21, FALSE) / VLOOKUP("LULUCF|NOx|Asthma symptoms cough", US_national_yearly!$D:$AM, 10, FALSE), 1)</f>
        <v>1.9571701201369768E-2</v>
      </c>
      <c r="N6" s="7">
        <f>$B6 * IFERROR(VLOOKUP("LULUCF|NOx|Asthma symptoms cough", US_national_yearly!$D:$AM, 22, FALSE) / VLOOKUP("LULUCF|NOx|Asthma symptoms cough", US_national_yearly!$D:$AM, 10, FALSE), 1)</f>
        <v>1.964954182363296E-2</v>
      </c>
      <c r="O6" s="7">
        <f>$B6 * IFERROR(VLOOKUP("LULUCF|NOx|Asthma symptoms cough", US_national_yearly!$D:$AM, 23, FALSE) / VLOOKUP("LULUCF|NOx|Asthma symptoms cough", US_national_yearly!$D:$AM, 10, FALSE), 1)</f>
        <v>1.9727382445896152E-2</v>
      </c>
      <c r="P6" s="7">
        <f>$B6 * IFERROR(VLOOKUP("LULUCF|NOx|Asthma symptoms cough", US_national_yearly!$D:$AM, 24, FALSE) / VLOOKUP("LULUCF|NOx|Asthma symptoms cough", US_national_yearly!$D:$AM, 10, FALSE), 1)</f>
        <v>1.9805223068159343E-2</v>
      </c>
      <c r="Q6" s="7">
        <f>$B6 * IFERROR(VLOOKUP("LULUCF|NOx|Asthma symptoms cough", US_national_yearly!$D:$AM, 25, FALSE) / VLOOKUP("LULUCF|NOx|Asthma symptoms cough", US_national_yearly!$D:$AM, 10, FALSE), 1)</f>
        <v>1.9883063690422538E-2</v>
      </c>
      <c r="R6" s="7">
        <f>$B6 * IFERROR(VLOOKUP("LULUCF|NOx|Asthma symptoms cough", US_national_yearly!$D:$AM, 26, FALSE) / VLOOKUP("LULUCF|NOx|Asthma symptoms cough", US_national_yearly!$D:$AM, 10, FALSE), 1)</f>
        <v>1.996090431268573E-2</v>
      </c>
      <c r="S6" s="7">
        <f>$B6 * IFERROR(VLOOKUP("LULUCF|NOx|Asthma symptoms cough", US_national_yearly!$D:$AM, 27, FALSE) / VLOOKUP("LULUCF|NOx|Asthma symptoms cough", US_national_yearly!$D:$AM, 10, FALSE), 1)</f>
        <v>2.0062588957415941E-2</v>
      </c>
      <c r="T6" s="7">
        <f>$B6 * IFERROR(VLOOKUP("LULUCF|NOx|Asthma symptoms cough", US_national_yearly!$D:$AM, 28, FALSE) / VLOOKUP("LULUCF|NOx|Asthma symptoms cough", US_national_yearly!$D:$AM, 10, FALSE), 1)</f>
        <v>2.0164273602146149E-2</v>
      </c>
      <c r="U6" s="7">
        <f>$B6 * IFERROR(VLOOKUP("LULUCF|NOx|Asthma symptoms cough", US_national_yearly!$D:$AM, 29, FALSE) / VLOOKUP("LULUCF|NOx|Asthma symptoms cough", US_national_yearly!$D:$AM, 10, FALSE), 1)</f>
        <v>2.0265958246876353E-2</v>
      </c>
      <c r="V6" s="7">
        <f>$B6 * IFERROR(VLOOKUP("LULUCF|NOx|Asthma symptoms cough", US_national_yearly!$D:$AM, 30, FALSE) / VLOOKUP("LULUCF|NOx|Asthma symptoms cough", US_national_yearly!$D:$AM, 10, FALSE), 1)</f>
        <v>2.0367642891606565E-2</v>
      </c>
      <c r="W6" s="7">
        <f>$B6 * IFERROR(VLOOKUP("LULUCF|NOx|Asthma symptoms cough", US_national_yearly!$D:$AM, 31, FALSE) / VLOOKUP("LULUCF|NOx|Asthma symptoms cough", US_national_yearly!$D:$AM, 10, FALSE), 1)</f>
        <v>2.0469327536336773E-2</v>
      </c>
      <c r="X6" s="7">
        <f>$B6 * IFERROR(VLOOKUP("LULUCF|NOx|Asthma symptoms cough", US_national_yearly!$D:$AM, 32, FALSE) / VLOOKUP("LULUCF|NOx|Asthma symptoms cough", US_national_yearly!$D:$AM, 10, FALSE), 1)</f>
        <v>2.0563807181905008E-2</v>
      </c>
      <c r="Y6" s="7">
        <f>$B6 * IFERROR(VLOOKUP("LULUCF|NOx|Asthma symptoms cough", US_national_yearly!$D:$AM, 33, FALSE) / VLOOKUP("LULUCF|NOx|Asthma symptoms cough", US_national_yearly!$D:$AM, 10, FALSE), 1)</f>
        <v>2.0658286827473241E-2</v>
      </c>
      <c r="Z6" s="7">
        <f>$B6 * IFERROR(VLOOKUP("LULUCF|NOx|Asthma symptoms cough", US_national_yearly!$D:$AM, 34, FALSE) / VLOOKUP("LULUCF|NOx|Asthma symptoms cough", US_national_yearly!$D:$AM, 10, FALSE), 1)</f>
        <v>2.0752766473041476E-2</v>
      </c>
      <c r="AA6" s="7">
        <f>$B6 * IFERROR(VLOOKUP("LULUCF|NOx|Asthma symptoms cough", US_national_yearly!$D:$AM, 35, FALSE) / VLOOKUP("LULUCF|NOx|Asthma symptoms cough", US_national_yearly!$D:$AM, 10, FALSE), 1)</f>
        <v>2.0847246118609709E-2</v>
      </c>
      <c r="AB6" s="7">
        <f>$B6 * IFERROR(VLOOKUP("LULUCF|NOx|Asthma symptoms cough", US_national_yearly!$D:$AM, 36, FALSE) / VLOOKUP("LULUCF|NOx|Asthma symptoms cough", US_national_yearly!$D:$AM, 10, FALSE), 1)</f>
        <v>2.0941725764177948E-2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2.4062269484036541E-2</v>
      </c>
      <c r="C7" s="7">
        <f>$B7 * IFERROR(VLOOKUP("LULUCF|NOx|Asthma symptoms shortness of breath", US_national_yearly!$D:$AM, 11, FALSE) / VLOOKUP("LULUCF|NOx|Asthma symptoms shortness of breath", US_national_yearly!$D:$AM, 10, FALSE), 1)</f>
        <v>2.4391240047879299E-2</v>
      </c>
      <c r="D7" s="7">
        <f>$B7 * IFERROR(VLOOKUP("LULUCF|NOx|Asthma symptoms shortness of breath", US_national_yearly!$D:$AM, 12, FALSE) / VLOOKUP("LULUCF|NOx|Asthma symptoms shortness of breath", US_national_yearly!$D:$AM, 10, FALSE), 1)</f>
        <v>2.4720210611722054E-2</v>
      </c>
      <c r="E7" s="7">
        <f>$B7 * IFERROR(VLOOKUP("LULUCF|NOx|Asthma symptoms shortness of breath", US_national_yearly!$D:$AM, 13, FALSE) / VLOOKUP("LULUCF|NOx|Asthma symptoms shortness of breath", US_national_yearly!$D:$AM, 10, FALSE), 1)</f>
        <v>2.5049181175564813E-2</v>
      </c>
      <c r="F7" s="7">
        <f>$B7 * IFERROR(VLOOKUP("LULUCF|NOx|Asthma symptoms shortness of breath", US_national_yearly!$D:$AM, 14, FALSE) / VLOOKUP("LULUCF|NOx|Asthma symptoms shortness of breath", US_national_yearly!$D:$AM, 10, FALSE), 1)</f>
        <v>2.5378151739407571E-2</v>
      </c>
      <c r="G7" s="7">
        <f>$B7 * IFERROR(VLOOKUP("LULUCF|NOx|Asthma symptoms shortness of breath", US_national_yearly!$D:$AM, 15, FALSE) / VLOOKUP("LULUCF|NOx|Asthma symptoms shortness of breath", US_national_yearly!$D:$AM, 10, FALSE), 1)</f>
        <v>2.5640788763877296E-2</v>
      </c>
      <c r="H7" s="7">
        <f>$B7 * IFERROR(VLOOKUP("LULUCF|NOx|Asthma symptoms shortness of breath", US_national_yearly!$D:$AM, 16, FALSE) / VLOOKUP("LULUCF|NOx|Asthma symptoms shortness of breath", US_national_yearly!$D:$AM, 10, FALSE), 1)</f>
        <v>2.590342578834702E-2</v>
      </c>
      <c r="I7" s="7">
        <f>$B7 * IFERROR(VLOOKUP("LULUCF|NOx|Asthma symptoms shortness of breath", US_national_yearly!$D:$AM, 17, FALSE) / VLOOKUP("LULUCF|NOx|Asthma symptoms shortness of breath", US_national_yearly!$D:$AM, 10, FALSE), 1)</f>
        <v>2.5993821697125847E-2</v>
      </c>
      <c r="J7" s="7">
        <f>$B7 * IFERROR(VLOOKUP("LULUCF|NOx|Asthma symptoms shortness of breath", US_national_yearly!$D:$AM, 18, FALSE) / VLOOKUP("LULUCF|NOx|Asthma symptoms shortness of breath", US_national_yearly!$D:$AM, 10, FALSE), 1)</f>
        <v>2.608421760590467E-2</v>
      </c>
      <c r="K7" s="7">
        <f>$B7 * IFERROR(VLOOKUP("LULUCF|NOx|Asthma symptoms shortness of breath", US_national_yearly!$D:$AM, 19, FALSE) / VLOOKUP("LULUCF|NOx|Asthma symptoms shortness of breath", US_national_yearly!$D:$AM, 10, FALSE), 1)</f>
        <v>2.6174613514683497E-2</v>
      </c>
      <c r="L7" s="7">
        <f>$B7 * IFERROR(VLOOKUP("LULUCF|NOx|Asthma symptoms shortness of breath", US_national_yearly!$D:$AM, 20, FALSE) / VLOOKUP("LULUCF|NOx|Asthma symptoms shortness of breath", US_national_yearly!$D:$AM, 10, FALSE), 1)</f>
        <v>2.6265009423462323E-2</v>
      </c>
      <c r="M7" s="7">
        <f>$B7 * IFERROR(VLOOKUP("LULUCF|NOx|Asthma symptoms shortness of breath", US_national_yearly!$D:$AM, 21, FALSE) / VLOOKUP("LULUCF|NOx|Asthma symptoms shortness of breath", US_national_yearly!$D:$AM, 10, FALSE), 1)</f>
        <v>2.6355405332241146E-2</v>
      </c>
      <c r="N7" s="7">
        <f>$B7 * IFERROR(VLOOKUP("LULUCF|NOx|Asthma symptoms shortness of breath", US_national_yearly!$D:$AM, 22, FALSE) / VLOOKUP("LULUCF|NOx|Asthma symptoms shortness of breath", US_national_yearly!$D:$AM, 10, FALSE), 1)</f>
        <v>2.6460226120361537E-2</v>
      </c>
      <c r="O7" s="7">
        <f>$B7 * IFERROR(VLOOKUP("LULUCF|NOx|Asthma symptoms shortness of breath", US_national_yearly!$D:$AM, 23, FALSE) / VLOOKUP("LULUCF|NOx|Asthma symptoms shortness of breath", US_national_yearly!$D:$AM, 10, FALSE), 1)</f>
        <v>2.656504690848193E-2</v>
      </c>
      <c r="P7" s="7">
        <f>$B7 * IFERROR(VLOOKUP("LULUCF|NOx|Asthma symptoms shortness of breath", US_national_yearly!$D:$AM, 24, FALSE) / VLOOKUP("LULUCF|NOx|Asthma symptoms shortness of breath", US_national_yearly!$D:$AM, 10, FALSE), 1)</f>
        <v>2.6669867696602314E-2</v>
      </c>
      <c r="Q7" s="7">
        <f>$B7 * IFERROR(VLOOKUP("LULUCF|NOx|Asthma symptoms shortness of breath", US_national_yearly!$D:$AM, 25, FALSE) / VLOOKUP("LULUCF|NOx|Asthma symptoms shortness of breath", US_national_yearly!$D:$AM, 10, FALSE), 1)</f>
        <v>2.6774688484722704E-2</v>
      </c>
      <c r="R7" s="7">
        <f>$B7 * IFERROR(VLOOKUP("LULUCF|NOx|Asthma symptoms shortness of breath", US_national_yearly!$D:$AM, 26, FALSE) / VLOOKUP("LULUCF|NOx|Asthma symptoms shortness of breath", US_national_yearly!$D:$AM, 10, FALSE), 1)</f>
        <v>2.6879509272843098E-2</v>
      </c>
      <c r="S7" s="7">
        <f>$B7 * IFERROR(VLOOKUP("LULUCF|NOx|Asthma symptoms shortness of breath", US_national_yearly!$D:$AM, 27, FALSE) / VLOOKUP("LULUCF|NOx|Asthma symptoms shortness of breath", US_national_yearly!$D:$AM, 10, FALSE), 1)</f>
        <v>2.701643860768569E-2</v>
      </c>
      <c r="T7" s="7">
        <f>$B7 * IFERROR(VLOOKUP("LULUCF|NOx|Asthma symptoms shortness of breath", US_national_yearly!$D:$AM, 28, FALSE) / VLOOKUP("LULUCF|NOx|Asthma symptoms shortness of breath", US_national_yearly!$D:$AM, 10, FALSE), 1)</f>
        <v>2.7153367942528286E-2</v>
      </c>
      <c r="U7" s="7">
        <f>$B7 * IFERROR(VLOOKUP("LULUCF|NOx|Asthma symptoms shortness of breath", US_national_yearly!$D:$AM, 29, FALSE) / VLOOKUP("LULUCF|NOx|Asthma symptoms shortness of breath", US_national_yearly!$D:$AM, 10, FALSE), 1)</f>
        <v>2.7290297277370881E-2</v>
      </c>
      <c r="V7" s="7">
        <f>$B7 * IFERROR(VLOOKUP("LULUCF|NOx|Asthma symptoms shortness of breath", US_national_yearly!$D:$AM, 30, FALSE) / VLOOKUP("LULUCF|NOx|Asthma symptoms shortness of breath", US_national_yearly!$D:$AM, 10, FALSE), 1)</f>
        <v>2.7427226612213466E-2</v>
      </c>
      <c r="W7" s="7">
        <f>$B7 * IFERROR(VLOOKUP("LULUCF|NOx|Asthma symptoms shortness of breath", US_national_yearly!$D:$AM, 31, FALSE) / VLOOKUP("LULUCF|NOx|Asthma symptoms shortness of breath", US_national_yearly!$D:$AM, 10, FALSE), 1)</f>
        <v>2.7564155947056058E-2</v>
      </c>
      <c r="X7" s="7">
        <f>$B7 * IFERROR(VLOOKUP("LULUCF|NOx|Asthma symptoms shortness of breath", US_national_yearly!$D:$AM, 32, FALSE) / VLOOKUP("LULUCF|NOx|Asthma symptoms shortness of breath", US_national_yearly!$D:$AM, 10, FALSE), 1)</f>
        <v>2.7691382973807469E-2</v>
      </c>
      <c r="Y7" s="7">
        <f>$B7 * IFERROR(VLOOKUP("LULUCF|NOx|Asthma symptoms shortness of breath", US_national_yearly!$D:$AM, 33, FALSE) / VLOOKUP("LULUCF|NOx|Asthma symptoms shortness of breath", US_national_yearly!$D:$AM, 10, FALSE), 1)</f>
        <v>2.781861000055888E-2</v>
      </c>
      <c r="Z7" s="7">
        <f>$B7 * IFERROR(VLOOKUP("LULUCF|NOx|Asthma symptoms shortness of breath", US_national_yearly!$D:$AM, 34, FALSE) / VLOOKUP("LULUCF|NOx|Asthma symptoms shortness of breath", US_national_yearly!$D:$AM, 10, FALSE), 1)</f>
        <v>2.7945837027310294E-2</v>
      </c>
      <c r="AA7" s="7">
        <f>$B7 * IFERROR(VLOOKUP("LULUCF|NOx|Asthma symptoms shortness of breath", US_national_yearly!$D:$AM, 35, FALSE) / VLOOKUP("LULUCF|NOx|Asthma symptoms shortness of breath", US_national_yearly!$D:$AM, 10, FALSE), 1)</f>
        <v>2.8073064054061701E-2</v>
      </c>
      <c r="AB7" s="7">
        <f>$B7 * IFERROR(VLOOKUP("LULUCF|NOx|Asthma symptoms shortness of breath", US_national_yearly!$D:$AM, 36, FALSE) / VLOOKUP("LULUCF|NOx|Asthma symptoms shortness of breath", US_national_yearly!$D:$AM, 10, FALSE), 1)</f>
        <v>2.8200291080813112E-2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3.676544704459489E-2</v>
      </c>
      <c r="C8" s="7">
        <f>$B8 * IFERROR(VLOOKUP("LULUCF|NOx|Asthma symptoms wheeze", US_national_yearly!$D:$AM, 11, FALSE) / VLOOKUP("LULUCF|NOx|Asthma symptoms wheeze", US_national_yearly!$D:$AM, 10, FALSE), 1)</f>
        <v>3.7268090815514139E-2</v>
      </c>
      <c r="D8" s="7">
        <f>$B8 * IFERROR(VLOOKUP("LULUCF|NOx|Asthma symptoms wheeze", US_national_yearly!$D:$AM, 12, FALSE) / VLOOKUP("LULUCF|NOx|Asthma symptoms wheeze", US_national_yearly!$D:$AM, 10, FALSE), 1)</f>
        <v>3.7770734586433409E-2</v>
      </c>
      <c r="E8" s="7">
        <f>$B8 * IFERROR(VLOOKUP("LULUCF|NOx|Asthma symptoms wheeze", US_national_yearly!$D:$AM, 13, FALSE) / VLOOKUP("LULUCF|NOx|Asthma symptoms wheeze", US_national_yearly!$D:$AM, 10, FALSE), 1)</f>
        <v>3.8273378357352658E-2</v>
      </c>
      <c r="F8" s="7">
        <f>$B8 * IFERROR(VLOOKUP("LULUCF|NOx|Asthma symptoms wheeze", US_national_yearly!$D:$AM, 14, FALSE) / VLOOKUP("LULUCF|NOx|Asthma symptoms wheeze", US_national_yearly!$D:$AM, 10, FALSE), 1)</f>
        <v>3.8776022128271914E-2</v>
      </c>
      <c r="G8" s="7">
        <f>$B8 * IFERROR(VLOOKUP("LULUCF|NOx|Asthma symptoms wheeze", US_national_yearly!$D:$AM, 15, FALSE) / VLOOKUP("LULUCF|NOx|Asthma symptoms wheeze", US_national_yearly!$D:$AM, 10, FALSE), 1)</f>
        <v>3.9177312939928273E-2</v>
      </c>
      <c r="H8" s="7">
        <f>$B8 * IFERROR(VLOOKUP("LULUCF|NOx|Asthma symptoms wheeze", US_national_yearly!$D:$AM, 16, FALSE) / VLOOKUP("LULUCF|NOx|Asthma symptoms wheeze", US_national_yearly!$D:$AM, 10, FALSE), 1)</f>
        <v>3.9578603751584632E-2</v>
      </c>
      <c r="I8" s="7">
        <f>$B8 * IFERROR(VLOOKUP("LULUCF|NOx|Asthma symptoms wheeze", US_national_yearly!$D:$AM, 17, FALSE) / VLOOKUP("LULUCF|NOx|Asthma symptoms wheeze", US_national_yearly!$D:$AM, 10, FALSE), 1)</f>
        <v>3.9716722312713219E-2</v>
      </c>
      <c r="J8" s="7">
        <f>$B8 * IFERROR(VLOOKUP("LULUCF|NOx|Asthma symptoms wheeze", US_national_yearly!$D:$AM, 18, FALSE) / VLOOKUP("LULUCF|NOx|Asthma symptoms wheeze", US_national_yearly!$D:$AM, 10, FALSE), 1)</f>
        <v>3.9854840873841807E-2</v>
      </c>
      <c r="K8" s="7">
        <f>$B8 * IFERROR(VLOOKUP("LULUCF|NOx|Asthma symptoms wheeze", US_national_yearly!$D:$AM, 19, FALSE) / VLOOKUP("LULUCF|NOx|Asthma symptoms wheeze", US_national_yearly!$D:$AM, 10, FALSE), 1)</f>
        <v>3.9992959434970381E-2</v>
      </c>
      <c r="L8" s="7">
        <f>$B8 * IFERROR(VLOOKUP("LULUCF|NOx|Asthma symptoms wheeze", US_national_yearly!$D:$AM, 20, FALSE) / VLOOKUP("LULUCF|NOx|Asthma symptoms wheeze", US_national_yearly!$D:$AM, 10, FALSE), 1)</f>
        <v>4.0131077996098975E-2</v>
      </c>
      <c r="M8" s="7">
        <f>$B8 * IFERROR(VLOOKUP("LULUCF|NOx|Asthma symptoms wheeze", US_national_yearly!$D:$AM, 21, FALSE) / VLOOKUP("LULUCF|NOx|Asthma symptoms wheeze", US_national_yearly!$D:$AM, 10, FALSE), 1)</f>
        <v>4.0269196557227556E-2</v>
      </c>
      <c r="N8" s="7">
        <f>$B8 * IFERROR(VLOOKUP("LULUCF|NOx|Asthma symptoms wheeze", US_national_yearly!$D:$AM, 22, FALSE) / VLOOKUP("LULUCF|NOx|Asthma symptoms wheeze", US_national_yearly!$D:$AM, 10, FALSE), 1)</f>
        <v>4.0429355314232182E-2</v>
      </c>
      <c r="O8" s="7">
        <f>$B8 * IFERROR(VLOOKUP("LULUCF|NOx|Asthma symptoms wheeze", US_national_yearly!$D:$AM, 23, FALSE) / VLOOKUP("LULUCF|NOx|Asthma symptoms wheeze", US_national_yearly!$D:$AM, 10, FALSE), 1)</f>
        <v>4.0589514071236822E-2</v>
      </c>
      <c r="P8" s="7">
        <f>$B8 * IFERROR(VLOOKUP("LULUCF|NOx|Asthma symptoms wheeze", US_national_yearly!$D:$AM, 24, FALSE) / VLOOKUP("LULUCF|NOx|Asthma symptoms wheeze", US_national_yearly!$D:$AM, 10, FALSE), 1)</f>
        <v>4.0749672828241448E-2</v>
      </c>
      <c r="Q8" s="7">
        <f>$B8 * IFERROR(VLOOKUP("LULUCF|NOx|Asthma symptoms wheeze", US_national_yearly!$D:$AM, 25, FALSE) / VLOOKUP("LULUCF|NOx|Asthma symptoms wheeze", US_national_yearly!$D:$AM, 10, FALSE), 1)</f>
        <v>4.0909831585246081E-2</v>
      </c>
      <c r="R8" s="7">
        <f>$B8 * IFERROR(VLOOKUP("LULUCF|NOx|Asthma symptoms wheeze", US_national_yearly!$D:$AM, 26, FALSE) / VLOOKUP("LULUCF|NOx|Asthma symptoms wheeze", US_national_yearly!$D:$AM, 10, FALSE), 1)</f>
        <v>4.1069990342250708E-2</v>
      </c>
      <c r="S8" s="7">
        <f>$B8 * IFERROR(VLOOKUP("LULUCF|NOx|Asthma symptoms wheeze", US_national_yearly!$D:$AM, 27, FALSE) / VLOOKUP("LULUCF|NOx|Asthma symptoms wheeze", US_national_yearly!$D:$AM, 10, FALSE), 1)</f>
        <v>4.1279208688960935E-2</v>
      </c>
      <c r="T8" s="7">
        <f>$B8 * IFERROR(VLOOKUP("LULUCF|NOx|Asthma symptoms wheeze", US_national_yearly!$D:$AM, 28, FALSE) / VLOOKUP("LULUCF|NOx|Asthma symptoms wheeze", US_national_yearly!$D:$AM, 10, FALSE), 1)</f>
        <v>4.1488427035671169E-2</v>
      </c>
      <c r="U8" s="7">
        <f>$B8 * IFERROR(VLOOKUP("LULUCF|NOx|Asthma symptoms wheeze", US_national_yearly!$D:$AM, 29, FALSE) / VLOOKUP("LULUCF|NOx|Asthma symptoms wheeze", US_national_yearly!$D:$AM, 10, FALSE), 1)</f>
        <v>4.1697645382381396E-2</v>
      </c>
      <c r="V8" s="7">
        <f>$B8 * IFERROR(VLOOKUP("LULUCF|NOx|Asthma symptoms wheeze", US_national_yearly!$D:$AM, 30, FALSE) / VLOOKUP("LULUCF|NOx|Asthma symptoms wheeze", US_national_yearly!$D:$AM, 10, FALSE), 1)</f>
        <v>4.1906863729091637E-2</v>
      </c>
      <c r="W8" s="7">
        <f>$B8 * IFERROR(VLOOKUP("LULUCF|NOx|Asthma symptoms wheeze", US_national_yearly!$D:$AM, 31, FALSE) / VLOOKUP("LULUCF|NOx|Asthma symptoms wheeze", US_national_yearly!$D:$AM, 10, FALSE), 1)</f>
        <v>4.2116082075801857E-2</v>
      </c>
      <c r="X8" s="7">
        <f>$B8 * IFERROR(VLOOKUP("LULUCF|NOx|Asthma symptoms wheeze", US_national_yearly!$D:$AM, 32, FALSE) / VLOOKUP("LULUCF|NOx|Asthma symptoms wheeze", US_national_yearly!$D:$AM, 10, FALSE), 1)</f>
        <v>4.2310475981482347E-2</v>
      </c>
      <c r="Y8" s="7">
        <f>$B8 * IFERROR(VLOOKUP("LULUCF|NOx|Asthma symptoms wheeze", US_national_yearly!$D:$AM, 33, FALSE) / VLOOKUP("LULUCF|NOx|Asthma symptoms wheeze", US_national_yearly!$D:$AM, 10, FALSE), 1)</f>
        <v>4.250486988716283E-2</v>
      </c>
      <c r="Z8" s="7">
        <f>$B8 * IFERROR(VLOOKUP("LULUCF|NOx|Asthma symptoms wheeze", US_national_yearly!$D:$AM, 34, FALSE) / VLOOKUP("LULUCF|NOx|Asthma symptoms wheeze", US_national_yearly!$D:$AM, 10, FALSE), 1)</f>
        <v>4.2699263792843327E-2</v>
      </c>
      <c r="AA8" s="7">
        <f>$B8 * IFERROR(VLOOKUP("LULUCF|NOx|Asthma symptoms wheeze", US_national_yearly!$D:$AM, 35, FALSE) / VLOOKUP("LULUCF|NOx|Asthma symptoms wheeze", US_national_yearly!$D:$AM, 10, FALSE), 1)</f>
        <v>4.289365769852381E-2</v>
      </c>
      <c r="AB8" s="7">
        <f>$B8 * IFERROR(VLOOKUP("LULUCF|NOx|Asthma symptoms wheeze", US_national_yearly!$D:$AM, 36, FALSE) / VLOOKUP("LULUCF|NOx|Asthma symptoms wheeze", US_national_yearly!$D:$AM, 10, FALSE), 1)</f>
        <v>4.30880516042043E-2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4.4471160180614152E-4</v>
      </c>
      <c r="C12" s="7">
        <f>$B12 * IFERROR(VLOOKUP("LULUCF|NOx|Respiratory hospital admissions", US_national_yearly!$D:$AM, 11, FALSE) / VLOOKUP("LULUCF|NOx|Respiratory hospital admissions", US_national_yearly!$D:$AM, 10, FALSE), 1)</f>
        <v>4.5580478360254849E-4</v>
      </c>
      <c r="D12" s="7">
        <f>$B12 * IFERROR(VLOOKUP("LULUCF|NOx|Respiratory hospital admissions", US_national_yearly!$D:$AM, 12, FALSE) / VLOOKUP("LULUCF|NOx|Respiratory hospital admissions", US_national_yearly!$D:$AM, 10, FALSE), 1)</f>
        <v>4.6689796539895557E-4</v>
      </c>
      <c r="E12" s="7">
        <f>$B12 * IFERROR(VLOOKUP("LULUCF|NOx|Respiratory hospital admissions", US_national_yearly!$D:$AM, 13, FALSE) / VLOOKUP("LULUCF|NOx|Respiratory hospital admissions", US_national_yearly!$D:$AM, 10, FALSE), 1)</f>
        <v>4.7799114719536265E-4</v>
      </c>
      <c r="F12" s="7">
        <f>$B12 * IFERROR(VLOOKUP("LULUCF|NOx|Respiratory hospital admissions", US_national_yearly!$D:$AM, 14, FALSE) / VLOOKUP("LULUCF|NOx|Respiratory hospital admissions", US_national_yearly!$D:$AM, 10, FALSE), 1)</f>
        <v>4.8908432899176968E-4</v>
      </c>
      <c r="G12" s="7">
        <f>$B12 * IFERROR(VLOOKUP("LULUCF|NOx|Respiratory hospital admissions", US_national_yearly!$D:$AM, 15, FALSE) / VLOOKUP("LULUCF|NOx|Respiratory hospital admissions", US_national_yearly!$D:$AM, 10, FALSE), 1)</f>
        <v>4.9968978835609936E-4</v>
      </c>
      <c r="H12" s="7">
        <f>$B12 * IFERROR(VLOOKUP("LULUCF|NOx|Respiratory hospital admissions", US_national_yearly!$D:$AM, 16, FALSE) / VLOOKUP("LULUCF|NOx|Respiratory hospital admissions", US_national_yearly!$D:$AM, 10, FALSE), 1)</f>
        <v>5.1029524772042904E-4</v>
      </c>
      <c r="I12" s="7">
        <f>$B12 * IFERROR(VLOOKUP("LULUCF|NOx|Respiratory hospital admissions", US_national_yearly!$D:$AM, 17, FALSE) / VLOOKUP("LULUCF|NOx|Respiratory hospital admissions", US_national_yearly!$D:$AM, 10, FALSE), 1)</f>
        <v>5.1929950074692513E-4</v>
      </c>
      <c r="J12" s="7">
        <f>$B12 * IFERROR(VLOOKUP("LULUCF|NOx|Respiratory hospital admissions", US_national_yearly!$D:$AM, 18, FALSE) / VLOOKUP("LULUCF|NOx|Respiratory hospital admissions", US_national_yearly!$D:$AM, 10, FALSE), 1)</f>
        <v>5.28303753773421E-4</v>
      </c>
      <c r="K12" s="7">
        <f>$B12 * IFERROR(VLOOKUP("LULUCF|NOx|Respiratory hospital admissions", US_national_yearly!$D:$AM, 19, FALSE) / VLOOKUP("LULUCF|NOx|Respiratory hospital admissions", US_national_yearly!$D:$AM, 10, FALSE), 1)</f>
        <v>5.3730800679991698E-4</v>
      </c>
      <c r="L12" s="7">
        <f>$B12 * IFERROR(VLOOKUP("LULUCF|NOx|Respiratory hospital admissions", US_national_yearly!$D:$AM, 20, FALSE) / VLOOKUP("LULUCF|NOx|Respiratory hospital admissions", US_national_yearly!$D:$AM, 10, FALSE), 1)</f>
        <v>5.4631225982641307E-4</v>
      </c>
      <c r="M12" s="7">
        <f>$B12 * IFERROR(VLOOKUP("LULUCF|NOx|Respiratory hospital admissions", US_national_yearly!$D:$AM, 21, FALSE) / VLOOKUP("LULUCF|NOx|Respiratory hospital admissions", US_national_yearly!$D:$AM, 10, FALSE), 1)</f>
        <v>5.5531651285290905E-4</v>
      </c>
      <c r="N12" s="7">
        <f>$B12 * IFERROR(VLOOKUP("LULUCF|NOx|Respiratory hospital admissions", US_national_yearly!$D:$AM, 22, FALSE) / VLOOKUP("LULUCF|NOx|Respiratory hospital admissions", US_national_yearly!$D:$AM, 10, FALSE), 1)</f>
        <v>5.6133601811872967E-4</v>
      </c>
      <c r="O12" s="7">
        <f>$B12 * IFERROR(VLOOKUP("LULUCF|NOx|Respiratory hospital admissions", US_national_yearly!$D:$AM, 23, FALSE) / VLOOKUP("LULUCF|NOx|Respiratory hospital admissions", US_national_yearly!$D:$AM, 10, FALSE), 1)</f>
        <v>5.673555233845504E-4</v>
      </c>
      <c r="P12" s="7">
        <f>$B12 * IFERROR(VLOOKUP("LULUCF|NOx|Respiratory hospital admissions", US_national_yearly!$D:$AM, 24, FALSE) / VLOOKUP("LULUCF|NOx|Respiratory hospital admissions", US_national_yearly!$D:$AM, 10, FALSE), 1)</f>
        <v>5.7337502865037102E-4</v>
      </c>
      <c r="Q12" s="7">
        <f>$B12 * IFERROR(VLOOKUP("LULUCF|NOx|Respiratory hospital admissions", US_national_yearly!$D:$AM, 25, FALSE) / VLOOKUP("LULUCF|NOx|Respiratory hospital admissions", US_national_yearly!$D:$AM, 10, FALSE), 1)</f>
        <v>5.7939453391619186E-4</v>
      </c>
      <c r="R12" s="7">
        <f>$B12 * IFERROR(VLOOKUP("LULUCF|NOx|Respiratory hospital admissions", US_national_yearly!$D:$AM, 26, FALSE) / VLOOKUP("LULUCF|NOx|Respiratory hospital admissions", US_national_yearly!$D:$AM, 10, FALSE), 1)</f>
        <v>5.8541403918201248E-4</v>
      </c>
      <c r="S12" s="7">
        <f>$B12 * IFERROR(VLOOKUP("LULUCF|NOx|Respiratory hospital admissions", US_national_yearly!$D:$AM, 27, FALSE) / VLOOKUP("LULUCF|NOx|Respiratory hospital admissions", US_national_yearly!$D:$AM, 10, FALSE), 1)</f>
        <v>5.8863912699374003E-4</v>
      </c>
      <c r="T12" s="7">
        <f>$B12 * IFERROR(VLOOKUP("LULUCF|NOx|Respiratory hospital admissions", US_national_yearly!$D:$AM, 28, FALSE) / VLOOKUP("LULUCF|NOx|Respiratory hospital admissions", US_national_yearly!$D:$AM, 10, FALSE), 1)</f>
        <v>5.9186421480546768E-4</v>
      </c>
      <c r="U12" s="7">
        <f>$B12 * IFERROR(VLOOKUP("LULUCF|NOx|Respiratory hospital admissions", US_national_yearly!$D:$AM, 29, FALSE) / VLOOKUP("LULUCF|NOx|Respiratory hospital admissions", US_national_yearly!$D:$AM, 10, FALSE), 1)</f>
        <v>5.9508930261719523E-4</v>
      </c>
      <c r="V12" s="7">
        <f>$B12 * IFERROR(VLOOKUP("LULUCF|NOx|Respiratory hospital admissions", US_national_yearly!$D:$AM, 30, FALSE) / VLOOKUP("LULUCF|NOx|Respiratory hospital admissions", US_national_yearly!$D:$AM, 10, FALSE), 1)</f>
        <v>5.9831439042892266E-4</v>
      </c>
      <c r="W12" s="7">
        <f>$B12 * IFERROR(VLOOKUP("LULUCF|NOx|Respiratory hospital admissions", US_national_yearly!$D:$AM, 31, FALSE) / VLOOKUP("LULUCF|NOx|Respiratory hospital admissions", US_national_yearly!$D:$AM, 10, FALSE), 1)</f>
        <v>6.0153947824065032E-4</v>
      </c>
      <c r="X12" s="7">
        <f>$B12 * IFERROR(VLOOKUP("LULUCF|NOx|Respiratory hospital admissions", US_national_yearly!$D:$AM, 32, FALSE) / VLOOKUP("LULUCF|NOx|Respiratory hospital admissions", US_national_yearly!$D:$AM, 10, FALSE), 1)</f>
        <v>6.0374340676789379E-4</v>
      </c>
      <c r="Y12" s="7">
        <f>$B12 * IFERROR(VLOOKUP("LULUCF|NOx|Respiratory hospital admissions", US_national_yearly!$D:$AM, 33, FALSE) / VLOOKUP("LULUCF|NOx|Respiratory hospital admissions", US_national_yearly!$D:$AM, 10, FALSE), 1)</f>
        <v>6.0594733529513748E-4</v>
      </c>
      <c r="Z12" s="7">
        <f>$B12 * IFERROR(VLOOKUP("LULUCF|NOx|Respiratory hospital admissions", US_national_yearly!$D:$AM, 34, FALSE) / VLOOKUP("LULUCF|NOx|Respiratory hospital admissions", US_national_yearly!$D:$AM, 10, FALSE), 1)</f>
        <v>6.0815126382238107E-4</v>
      </c>
      <c r="AA12" s="7">
        <f>$B12 * IFERROR(VLOOKUP("LULUCF|NOx|Respiratory hospital admissions", US_national_yearly!$D:$AM, 35, FALSE) / VLOOKUP("LULUCF|NOx|Respiratory hospital admissions", US_national_yearly!$D:$AM, 10, FALSE), 1)</f>
        <v>6.1035519234962476E-4</v>
      </c>
      <c r="AB12" s="7">
        <f>$B12 * IFERROR(VLOOKUP("LULUCF|NOx|Respiratory hospital admissions", US_national_yearly!$D:$AM, 36, FALSE) / VLOOKUP("LULUCF|NOx|Respiratory hospital admissions", US_national_yearly!$D:$AM, 10, FALSE), 1)</f>
        <v>6.1255912087686824E-4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1.2857157364591868E-3</v>
      </c>
      <c r="C13" s="7">
        <f>$B13 * IFERROR(VLOOKUP("LULUCF|NOx|Non-fatal heart attacks", US_national_yearly!$D:$AM, 11, FALSE) / VLOOKUP("LULUCF|NOx|Non-fatal heart attacks", US_national_yearly!$D:$AM, 10, FALSE), 1)</f>
        <v>1.3224732165767166E-3</v>
      </c>
      <c r="D13" s="7">
        <f>$B13 * IFERROR(VLOOKUP("LULUCF|NOx|Non-fatal heart attacks", US_national_yearly!$D:$AM, 12, FALSE) / VLOOKUP("LULUCF|NOx|Non-fatal heart attacks", US_national_yearly!$D:$AM, 10, FALSE), 1)</f>
        <v>1.3592306966942465E-3</v>
      </c>
      <c r="E13" s="7">
        <f>$B13 * IFERROR(VLOOKUP("LULUCF|NOx|Non-fatal heart attacks", US_national_yearly!$D:$AM, 13, FALSE) / VLOOKUP("LULUCF|NOx|Non-fatal heart attacks", US_national_yearly!$D:$AM, 10, FALSE), 1)</f>
        <v>1.3959881768117761E-3</v>
      </c>
      <c r="F13" s="7">
        <f>$B13 * IFERROR(VLOOKUP("LULUCF|NOx|Non-fatal heart attacks", US_national_yearly!$D:$AM, 14, FALSE) / VLOOKUP("LULUCF|NOx|Non-fatal heart attacks", US_national_yearly!$D:$AM, 10, FALSE), 1)</f>
        <v>1.4327456569293059E-3</v>
      </c>
      <c r="G13" s="7">
        <f>$B13 * IFERROR(VLOOKUP("LULUCF|NOx|Non-fatal heart attacks", US_national_yearly!$D:$AM, 15, FALSE) / VLOOKUP("LULUCF|NOx|Non-fatal heart attacks", US_national_yearly!$D:$AM, 10, FALSE), 1)</f>
        <v>1.4670954457043346E-3</v>
      </c>
      <c r="H13" s="7">
        <f>$B13 * IFERROR(VLOOKUP("LULUCF|NOx|Non-fatal heart attacks", US_national_yearly!$D:$AM, 16, FALSE) / VLOOKUP("LULUCF|NOx|Non-fatal heart attacks", US_national_yearly!$D:$AM, 10, FALSE), 1)</f>
        <v>1.5014452344793636E-3</v>
      </c>
      <c r="I13" s="7">
        <f>$B13 * IFERROR(VLOOKUP("LULUCF|NOx|Non-fatal heart attacks", US_national_yearly!$D:$AM, 17, FALSE) / VLOOKUP("LULUCF|NOx|Non-fatal heart attacks", US_national_yearly!$D:$AM, 10, FALSE), 1)</f>
        <v>1.5285261163727039E-3</v>
      </c>
      <c r="J13" s="7">
        <f>$B13 * IFERROR(VLOOKUP("LULUCF|NOx|Non-fatal heart attacks", US_national_yearly!$D:$AM, 18, FALSE) / VLOOKUP("LULUCF|NOx|Non-fatal heart attacks", US_national_yearly!$D:$AM, 10, FALSE), 1)</f>
        <v>1.5556069982660447E-3</v>
      </c>
      <c r="K13" s="7">
        <f>$B13 * IFERROR(VLOOKUP("LULUCF|NOx|Non-fatal heart attacks", US_national_yearly!$D:$AM, 19, FALSE) / VLOOKUP("LULUCF|NOx|Non-fatal heart attacks", US_national_yearly!$D:$AM, 10, FALSE), 1)</f>
        <v>1.5826878801593841E-3</v>
      </c>
      <c r="L13" s="7">
        <f>$B13 * IFERROR(VLOOKUP("LULUCF|NOx|Non-fatal heart attacks", US_national_yearly!$D:$AM, 20, FALSE) / VLOOKUP("LULUCF|NOx|Non-fatal heart attacks", US_national_yearly!$D:$AM, 10, FALSE), 1)</f>
        <v>1.6097687620527257E-3</v>
      </c>
      <c r="M13" s="7">
        <f>$B13 * IFERROR(VLOOKUP("LULUCF|NOx|Non-fatal heart attacks", US_national_yearly!$D:$AM, 21, FALSE) / VLOOKUP("LULUCF|NOx|Non-fatal heart attacks", US_national_yearly!$D:$AM, 10, FALSE), 1)</f>
        <v>1.6368496439460659E-3</v>
      </c>
      <c r="N13" s="7">
        <f>$B13 * IFERROR(VLOOKUP("LULUCF|NOx|Non-fatal heart attacks", US_national_yearly!$D:$AM, 22, FALSE) / VLOOKUP("LULUCF|NOx|Non-fatal heart attacks", US_national_yearly!$D:$AM, 10, FALSE), 1)</f>
        <v>1.6531423237635694E-3</v>
      </c>
      <c r="O13" s="7">
        <f>$B13 * IFERROR(VLOOKUP("LULUCF|NOx|Non-fatal heart attacks", US_national_yearly!$D:$AM, 23, FALSE) / VLOOKUP("LULUCF|NOx|Non-fatal heart attacks", US_national_yearly!$D:$AM, 10, FALSE), 1)</f>
        <v>1.6694350035810731E-3</v>
      </c>
      <c r="P13" s="7">
        <f>$B13 * IFERROR(VLOOKUP("LULUCF|NOx|Non-fatal heart attacks", US_national_yearly!$D:$AM, 24, FALSE) / VLOOKUP("LULUCF|NOx|Non-fatal heart attacks", US_national_yearly!$D:$AM, 10, FALSE), 1)</f>
        <v>1.6857276833985764E-3</v>
      </c>
      <c r="Q13" s="7">
        <f>$B13 * IFERROR(VLOOKUP("LULUCF|NOx|Non-fatal heart attacks", US_national_yearly!$D:$AM, 25, FALSE) / VLOOKUP("LULUCF|NOx|Non-fatal heart attacks", US_national_yearly!$D:$AM, 10, FALSE), 1)</f>
        <v>1.7020203632160801E-3</v>
      </c>
      <c r="R13" s="7">
        <f>$B13 * IFERROR(VLOOKUP("LULUCF|NOx|Non-fatal heart attacks", US_national_yearly!$D:$AM, 26, FALSE) / VLOOKUP("LULUCF|NOx|Non-fatal heart attacks", US_national_yearly!$D:$AM, 10, FALSE), 1)</f>
        <v>1.7183130430335836E-3</v>
      </c>
      <c r="S13" s="7">
        <f>$B13 * IFERROR(VLOOKUP("LULUCF|NOx|Non-fatal heart attacks", US_national_yearly!$D:$AM, 27, FALSE) / VLOOKUP("LULUCF|NOx|Non-fatal heart attacks", US_national_yearly!$D:$AM, 10, FALSE), 1)</f>
        <v>1.725703515285038E-3</v>
      </c>
      <c r="T13" s="7">
        <f>$B13 * IFERROR(VLOOKUP("LULUCF|NOx|Non-fatal heart attacks", US_national_yearly!$D:$AM, 28, FALSE) / VLOOKUP("LULUCF|NOx|Non-fatal heart attacks", US_national_yearly!$D:$AM, 10, FALSE), 1)</f>
        <v>1.7330939875364923E-3</v>
      </c>
      <c r="U13" s="7">
        <f>$B13 * IFERROR(VLOOKUP("LULUCF|NOx|Non-fatal heart attacks", US_national_yearly!$D:$AM, 29, FALSE) / VLOOKUP("LULUCF|NOx|Non-fatal heart attacks", US_national_yearly!$D:$AM, 10, FALSE), 1)</f>
        <v>1.7404844597879467E-3</v>
      </c>
      <c r="V13" s="7">
        <f>$B13 * IFERROR(VLOOKUP("LULUCF|NOx|Non-fatal heart attacks", US_national_yearly!$D:$AM, 30, FALSE) / VLOOKUP("LULUCF|NOx|Non-fatal heart attacks", US_national_yearly!$D:$AM, 10, FALSE), 1)</f>
        <v>1.7478749320394009E-3</v>
      </c>
      <c r="W13" s="7">
        <f>$B13 * IFERROR(VLOOKUP("LULUCF|NOx|Non-fatal heart attacks", US_national_yearly!$D:$AM, 31, FALSE) / VLOOKUP("LULUCF|NOx|Non-fatal heart attacks", US_national_yearly!$D:$AM, 10, FALSE), 1)</f>
        <v>1.7552654042908551E-3</v>
      </c>
      <c r="X13" s="7">
        <f>$B13 * IFERROR(VLOOKUP("LULUCF|NOx|Non-fatal heart attacks", US_national_yearly!$D:$AM, 32, FALSE) / VLOOKUP("LULUCF|NOx|Non-fatal heart attacks", US_national_yearly!$D:$AM, 10, FALSE), 1)</f>
        <v>1.7602041067227017E-3</v>
      </c>
      <c r="Y13" s="7">
        <f>$B13 * IFERROR(VLOOKUP("LULUCF|NOx|Non-fatal heart attacks", US_national_yearly!$D:$AM, 33, FALSE) / VLOOKUP("LULUCF|NOx|Non-fatal heart attacks", US_national_yearly!$D:$AM, 10, FALSE), 1)</f>
        <v>1.7651428091545484E-3</v>
      </c>
      <c r="Z13" s="7">
        <f>$B13 * IFERROR(VLOOKUP("LULUCF|NOx|Non-fatal heart attacks", US_national_yearly!$D:$AM, 34, FALSE) / VLOOKUP("LULUCF|NOx|Non-fatal heart attacks", US_national_yearly!$D:$AM, 10, FALSE), 1)</f>
        <v>1.7700815115863945E-3</v>
      </c>
      <c r="AA13" s="7">
        <f>$B13 * IFERROR(VLOOKUP("LULUCF|NOx|Non-fatal heart attacks", US_national_yearly!$D:$AM, 35, FALSE) / VLOOKUP("LULUCF|NOx|Non-fatal heart attacks", US_national_yearly!$D:$AM, 10, FALSE), 1)</f>
        <v>1.7750202140182408E-3</v>
      </c>
      <c r="AB13" s="7">
        <f>$B13 * IFERROR(VLOOKUP("LULUCF|NOx|Non-fatal heart attacks", US_national_yearly!$D:$AM, 36, FALSE) / VLOOKUP("LULUCF|NOx|Non-fatal heart attacks", US_national_yearly!$D:$AM, 10, FALSE), 1)</f>
        <v>1.7799589164500876E-3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2.2813136784238304</v>
      </c>
      <c r="C14" s="7">
        <f>$B14 * IFERROR(VLOOKUP("LULUCF|NOx|Minor restricted activity days", US_national_yearly!$D:$AM, 11, FALSE) / VLOOKUP("LULUCF|NOx|Minor restricted activity days", US_national_yearly!$D:$AM, 10, FALSE), 1)</f>
        <v>2.2848113151397729</v>
      </c>
      <c r="D14" s="7">
        <f>$B14 * IFERROR(VLOOKUP("LULUCF|NOx|Minor restricted activity days", US_national_yearly!$D:$AM, 12, FALSE) / VLOOKUP("LULUCF|NOx|Minor restricted activity days", US_national_yearly!$D:$AM, 10, FALSE), 1)</f>
        <v>2.2883089518557158</v>
      </c>
      <c r="E14" s="7">
        <f>$B14 * IFERROR(VLOOKUP("LULUCF|NOx|Minor restricted activity days", US_national_yearly!$D:$AM, 13, FALSE) / VLOOKUP("LULUCF|NOx|Minor restricted activity days", US_national_yearly!$D:$AM, 10, FALSE), 1)</f>
        <v>2.2918065885716583</v>
      </c>
      <c r="F14" s="7">
        <f>$B14 * IFERROR(VLOOKUP("LULUCF|NOx|Minor restricted activity days", US_national_yearly!$D:$AM, 14, FALSE) / VLOOKUP("LULUCF|NOx|Minor restricted activity days", US_national_yearly!$D:$AM, 10, FALSE), 1)</f>
        <v>2.2953042252876008</v>
      </c>
      <c r="G14" s="7">
        <f>$B14 * IFERROR(VLOOKUP("LULUCF|NOx|Minor restricted activity days", US_national_yearly!$D:$AM, 15, FALSE) / VLOOKUP("LULUCF|NOx|Minor restricted activity days", US_national_yearly!$D:$AM, 10, FALSE), 1)</f>
        <v>2.3016201246875183</v>
      </c>
      <c r="H14" s="7">
        <f>$B14 * IFERROR(VLOOKUP("LULUCF|NOx|Minor restricted activity days", US_national_yearly!$D:$AM, 16, FALSE) / VLOOKUP("LULUCF|NOx|Minor restricted activity days", US_national_yearly!$D:$AM, 10, FALSE), 1)</f>
        <v>2.3079360240874354</v>
      </c>
      <c r="I14" s="7">
        <f>$B14 * IFERROR(VLOOKUP("LULUCF|NOx|Minor restricted activity days", US_national_yearly!$D:$AM, 17, FALSE) / VLOOKUP("LULUCF|NOx|Minor restricted activity days", US_national_yearly!$D:$AM, 10, FALSE), 1)</f>
        <v>2.3202896735571681</v>
      </c>
      <c r="J14" s="7">
        <f>$B14 * IFERROR(VLOOKUP("LULUCF|NOx|Minor restricted activity days", US_national_yearly!$D:$AM, 18, FALSE) / VLOOKUP("LULUCF|NOx|Minor restricted activity days", US_national_yearly!$D:$AM, 10, FALSE), 1)</f>
        <v>2.3326433230268999</v>
      </c>
      <c r="K14" s="7">
        <f>$B14 * IFERROR(VLOOKUP("LULUCF|NOx|Minor restricted activity days", US_national_yearly!$D:$AM, 19, FALSE) / VLOOKUP("LULUCF|NOx|Minor restricted activity days", US_national_yearly!$D:$AM, 10, FALSE), 1)</f>
        <v>2.3449969724966326</v>
      </c>
      <c r="L14" s="7">
        <f>$B14 * IFERROR(VLOOKUP("LULUCF|NOx|Minor restricted activity days", US_national_yearly!$D:$AM, 20, FALSE) / VLOOKUP("LULUCF|NOx|Minor restricted activity days", US_national_yearly!$D:$AM, 10, FALSE), 1)</f>
        <v>2.3573506219663645</v>
      </c>
      <c r="M14" s="7">
        <f>$B14 * IFERROR(VLOOKUP("LULUCF|NOx|Minor restricted activity days", US_national_yearly!$D:$AM, 21, FALSE) / VLOOKUP("LULUCF|NOx|Minor restricted activity days", US_national_yearly!$D:$AM, 10, FALSE), 1)</f>
        <v>2.3697042714360972</v>
      </c>
      <c r="N14" s="7">
        <f>$B14 * IFERROR(VLOOKUP("LULUCF|NOx|Minor restricted activity days", US_national_yearly!$D:$AM, 22, FALSE) / VLOOKUP("LULUCF|NOx|Minor restricted activity days", US_national_yearly!$D:$AM, 10, FALSE), 1)</f>
        <v>2.3873918963474079</v>
      </c>
      <c r="O14" s="7">
        <f>$B14 * IFERROR(VLOOKUP("LULUCF|NOx|Minor restricted activity days", US_national_yearly!$D:$AM, 23, FALSE) / VLOOKUP("LULUCF|NOx|Minor restricted activity days", US_national_yearly!$D:$AM, 10, FALSE), 1)</f>
        <v>2.4050795212587182</v>
      </c>
      <c r="P14" s="7">
        <f>$B14 * IFERROR(VLOOKUP("LULUCF|NOx|Minor restricted activity days", US_national_yearly!$D:$AM, 24, FALSE) / VLOOKUP("LULUCF|NOx|Minor restricted activity days", US_national_yearly!$D:$AM, 10, FALSE), 1)</f>
        <v>2.4227671461700289</v>
      </c>
      <c r="Q14" s="7">
        <f>$B14 * IFERROR(VLOOKUP("LULUCF|NOx|Minor restricted activity days", US_national_yearly!$D:$AM, 25, FALSE) / VLOOKUP("LULUCF|NOx|Minor restricted activity days", US_national_yearly!$D:$AM, 10, FALSE), 1)</f>
        <v>2.4404547710813391</v>
      </c>
      <c r="R14" s="7">
        <f>$B14 * IFERROR(VLOOKUP("LULUCF|NOx|Minor restricted activity days", US_national_yearly!$D:$AM, 26, FALSE) / VLOOKUP("LULUCF|NOx|Minor restricted activity days", US_national_yearly!$D:$AM, 10, FALSE), 1)</f>
        <v>2.4581423959926498</v>
      </c>
      <c r="S14" s="7">
        <f>$B14 * IFERROR(VLOOKUP("LULUCF|NOx|Minor restricted activity days", US_national_yearly!$D:$AM, 27, FALSE) / VLOOKUP("LULUCF|NOx|Minor restricted activity days", US_national_yearly!$D:$AM, 10, FALSE), 1)</f>
        <v>2.4758263021186804</v>
      </c>
      <c r="T14" s="7">
        <f>$B14 * IFERROR(VLOOKUP("LULUCF|NOx|Minor restricted activity days", US_national_yearly!$D:$AM, 28, FALSE) / VLOOKUP("LULUCF|NOx|Minor restricted activity days", US_national_yearly!$D:$AM, 10, FALSE), 1)</f>
        <v>2.4935102082447105</v>
      </c>
      <c r="U14" s="7">
        <f>$B14 * IFERROR(VLOOKUP("LULUCF|NOx|Minor restricted activity days", US_national_yearly!$D:$AM, 29, FALSE) / VLOOKUP("LULUCF|NOx|Minor restricted activity days", US_national_yearly!$D:$AM, 10, FALSE), 1)</f>
        <v>2.5111941143707406</v>
      </c>
      <c r="V14" s="7">
        <f>$B14 * IFERROR(VLOOKUP("LULUCF|NOx|Minor restricted activity days", US_national_yearly!$D:$AM, 30, FALSE) / VLOOKUP("LULUCF|NOx|Minor restricted activity days", US_national_yearly!$D:$AM, 10, FALSE), 1)</f>
        <v>2.5288780204967711</v>
      </c>
      <c r="W14" s="7">
        <f>$B14 * IFERROR(VLOOKUP("LULUCF|NOx|Minor restricted activity days", US_national_yearly!$D:$AM, 31, FALSE) / VLOOKUP("LULUCF|NOx|Minor restricted activity days", US_national_yearly!$D:$AM, 10, FALSE), 1)</f>
        <v>2.5465619266228012</v>
      </c>
      <c r="X14" s="7">
        <f>$B14 * IFERROR(VLOOKUP("LULUCF|NOx|Minor restricted activity days", US_national_yearly!$D:$AM, 32, FALSE) / VLOOKUP("LULUCF|NOx|Minor restricted activity days", US_national_yearly!$D:$AM, 10, FALSE), 1)</f>
        <v>2.5615129955692808</v>
      </c>
      <c r="Y14" s="7">
        <f>$B14 * IFERROR(VLOOKUP("LULUCF|NOx|Minor restricted activity days", US_national_yearly!$D:$AM, 33, FALSE) / VLOOKUP("LULUCF|NOx|Minor restricted activity days", US_national_yearly!$D:$AM, 10, FALSE), 1)</f>
        <v>2.5764640645157604</v>
      </c>
      <c r="Z14" s="7">
        <f>$B14 * IFERROR(VLOOKUP("LULUCF|NOx|Minor restricted activity days", US_national_yearly!$D:$AM, 34, FALSE) / VLOOKUP("LULUCF|NOx|Minor restricted activity days", US_national_yearly!$D:$AM, 10, FALSE), 1)</f>
        <v>2.59141513346224</v>
      </c>
      <c r="AA14" s="7">
        <f>$B14 * IFERROR(VLOOKUP("LULUCF|NOx|Minor restricted activity days", US_national_yearly!$D:$AM, 35, FALSE) / VLOOKUP("LULUCF|NOx|Minor restricted activity days", US_national_yearly!$D:$AM, 10, FALSE), 1)</f>
        <v>2.6063662024087191</v>
      </c>
      <c r="AB14" s="7">
        <f>$B14 * IFERROR(VLOOKUP("LULUCF|NOx|Minor restricted activity days", US_national_yearly!$D:$AM, 36, FALSE) / VLOOKUP("LULUCF|NOx|Minor restricted activity days", US_national_yearly!$D:$AM, 10, FALSE), 1)</f>
        <v>2.6213172713551987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0.38783167377129818</v>
      </c>
      <c r="C15" s="7">
        <f>$B15 * IFERROR(VLOOKUP("LULUCF|NOx|Work loss days", US_national_yearly!$D:$AM, 11, FALSE) / VLOOKUP("LULUCF|NOx|Work loss days", US_national_yearly!$D:$AM, 10, FALSE), 1)</f>
        <v>0.3886943844655763</v>
      </c>
      <c r="D15" s="7">
        <f>$B15 * IFERROR(VLOOKUP("LULUCF|NOx|Work loss days", US_national_yearly!$D:$AM, 12, FALSE) / VLOOKUP("LULUCF|NOx|Work loss days", US_national_yearly!$D:$AM, 10, FALSE), 1)</f>
        <v>0.38955709515985454</v>
      </c>
      <c r="E15" s="7">
        <f>$B15 * IFERROR(VLOOKUP("LULUCF|NOx|Work loss days", US_national_yearly!$D:$AM, 13, FALSE) / VLOOKUP("LULUCF|NOx|Work loss days", US_national_yearly!$D:$AM, 10, FALSE), 1)</f>
        <v>0.39041980585413272</v>
      </c>
      <c r="F15" s="7">
        <f>$B15 * IFERROR(VLOOKUP("LULUCF|NOx|Work loss days", US_national_yearly!$D:$AM, 14, FALSE) / VLOOKUP("LULUCF|NOx|Work loss days", US_national_yearly!$D:$AM, 10, FALSE), 1)</f>
        <v>0.39128251654841095</v>
      </c>
      <c r="G15" s="7">
        <f>$B15 * IFERROR(VLOOKUP("LULUCF|NOx|Work loss days", US_national_yearly!$D:$AM, 15, FALSE) / VLOOKUP("LULUCF|NOx|Work loss days", US_national_yearly!$D:$AM, 10, FALSE), 1)</f>
        <v>0.39254208152136233</v>
      </c>
      <c r="H15" s="7">
        <f>$B15 * IFERROR(VLOOKUP("LULUCF|NOx|Work loss days", US_national_yearly!$D:$AM, 16, FALSE) / VLOOKUP("LULUCF|NOx|Work loss days", US_national_yearly!$D:$AM, 10, FALSE), 1)</f>
        <v>0.39380164649431382</v>
      </c>
      <c r="I15" s="7">
        <f>$B15 * IFERROR(VLOOKUP("LULUCF|NOx|Work loss days", US_national_yearly!$D:$AM, 17, FALSE) / VLOOKUP("LULUCF|NOx|Work loss days", US_national_yearly!$D:$AM, 10, FALSE), 1)</f>
        <v>0.39584207348683892</v>
      </c>
      <c r="J15" s="7">
        <f>$B15 * IFERROR(VLOOKUP("LULUCF|NOx|Work loss days", US_national_yearly!$D:$AM, 18, FALSE) / VLOOKUP("LULUCF|NOx|Work loss days", US_national_yearly!$D:$AM, 10, FALSE), 1)</f>
        <v>0.39788250047936402</v>
      </c>
      <c r="K15" s="7">
        <f>$B15 * IFERROR(VLOOKUP("LULUCF|NOx|Work loss days", US_national_yearly!$D:$AM, 19, FALSE) / VLOOKUP("LULUCF|NOx|Work loss days", US_national_yearly!$D:$AM, 10, FALSE), 1)</f>
        <v>0.39992292747188912</v>
      </c>
      <c r="L15" s="7">
        <f>$B15 * IFERROR(VLOOKUP("LULUCF|NOx|Work loss days", US_national_yearly!$D:$AM, 20, FALSE) / VLOOKUP("LULUCF|NOx|Work loss days", US_national_yearly!$D:$AM, 10, FALSE), 1)</f>
        <v>0.40196335446441417</v>
      </c>
      <c r="M15" s="7">
        <f>$B15 * IFERROR(VLOOKUP("LULUCF|NOx|Work loss days", US_national_yearly!$D:$AM, 21, FALSE) / VLOOKUP("LULUCF|NOx|Work loss days", US_national_yearly!$D:$AM, 10, FALSE), 1)</f>
        <v>0.40400378145693933</v>
      </c>
      <c r="N15" s="7">
        <f>$B15 * IFERROR(VLOOKUP("LULUCF|NOx|Work loss days", US_national_yearly!$D:$AM, 22, FALSE) / VLOOKUP("LULUCF|NOx|Work loss days", US_national_yearly!$D:$AM, 10, FALSE), 1)</f>
        <v>0.4066592719815334</v>
      </c>
      <c r="O15" s="7">
        <f>$B15 * IFERROR(VLOOKUP("LULUCF|NOx|Work loss days", US_national_yearly!$D:$AM, 23, FALSE) / VLOOKUP("LULUCF|NOx|Work loss days", US_national_yearly!$D:$AM, 10, FALSE), 1)</f>
        <v>0.40931476250612747</v>
      </c>
      <c r="P15" s="7">
        <f>$B15 * IFERROR(VLOOKUP("LULUCF|NOx|Work loss days", US_national_yearly!$D:$AM, 24, FALSE) / VLOOKUP("LULUCF|NOx|Work loss days", US_national_yearly!$D:$AM, 10, FALSE), 1)</f>
        <v>0.41197025303072154</v>
      </c>
      <c r="Q15" s="7">
        <f>$B15 * IFERROR(VLOOKUP("LULUCF|NOx|Work loss days", US_national_yearly!$D:$AM, 25, FALSE) / VLOOKUP("LULUCF|NOx|Work loss days", US_national_yearly!$D:$AM, 10, FALSE), 1)</f>
        <v>0.41462574355531551</v>
      </c>
      <c r="R15" s="7">
        <f>$B15 * IFERROR(VLOOKUP("LULUCF|NOx|Work loss days", US_national_yearly!$D:$AM, 26, FALSE) / VLOOKUP("LULUCF|NOx|Work loss days", US_national_yearly!$D:$AM, 10, FALSE), 1)</f>
        <v>0.41728123407990969</v>
      </c>
      <c r="S15" s="7">
        <f>$B15 * IFERROR(VLOOKUP("LULUCF|NOx|Work loss days", US_national_yearly!$D:$AM, 27, FALSE) / VLOOKUP("LULUCF|NOx|Work loss days", US_national_yearly!$D:$AM, 10, FALSE), 1)</f>
        <v>0.42024176647849015</v>
      </c>
      <c r="T15" s="7">
        <f>$B15 * IFERROR(VLOOKUP("LULUCF|NOx|Work loss days", US_national_yearly!$D:$AM, 28, FALSE) / VLOOKUP("LULUCF|NOx|Work loss days", US_national_yearly!$D:$AM, 10, FALSE), 1)</f>
        <v>0.42320229887707067</v>
      </c>
      <c r="U15" s="7">
        <f>$B15 * IFERROR(VLOOKUP("LULUCF|NOx|Work loss days", US_national_yearly!$D:$AM, 29, FALSE) / VLOOKUP("LULUCF|NOx|Work loss days", US_national_yearly!$D:$AM, 10, FALSE), 1)</f>
        <v>0.42616283127565108</v>
      </c>
      <c r="V15" s="7">
        <f>$B15 * IFERROR(VLOOKUP("LULUCF|NOx|Work loss days", US_national_yearly!$D:$AM, 30, FALSE) / VLOOKUP("LULUCF|NOx|Work loss days", US_national_yearly!$D:$AM, 10, FALSE), 1)</f>
        <v>0.42912336367423154</v>
      </c>
      <c r="W15" s="7">
        <f>$B15 * IFERROR(VLOOKUP("LULUCF|NOx|Work loss days", US_national_yearly!$D:$AM, 31, FALSE) / VLOOKUP("LULUCF|NOx|Work loss days", US_national_yearly!$D:$AM, 10, FALSE), 1)</f>
        <v>0.43208389607281206</v>
      </c>
      <c r="X15" s="7">
        <f>$B15 * IFERROR(VLOOKUP("LULUCF|NOx|Work loss days", US_national_yearly!$D:$AM, 32, FALSE) / VLOOKUP("LULUCF|NOx|Work loss days", US_national_yearly!$D:$AM, 10, FALSE), 1)</f>
        <v>0.43465348034884205</v>
      </c>
      <c r="Y15" s="7">
        <f>$B15 * IFERROR(VLOOKUP("LULUCF|NOx|Work loss days", US_national_yearly!$D:$AM, 33, FALSE) / VLOOKUP("LULUCF|NOx|Work loss days", US_national_yearly!$D:$AM, 10, FALSE), 1)</f>
        <v>0.43722306462487204</v>
      </c>
      <c r="Z15" s="7">
        <f>$B15 * IFERROR(VLOOKUP("LULUCF|NOx|Work loss days", US_national_yearly!$D:$AM, 34, FALSE) / VLOOKUP("LULUCF|NOx|Work loss days", US_national_yearly!$D:$AM, 10, FALSE), 1)</f>
        <v>0.43979264890090203</v>
      </c>
      <c r="AA15" s="7">
        <f>$B15 * IFERROR(VLOOKUP("LULUCF|NOx|Work loss days", US_national_yearly!$D:$AM, 35, FALSE) / VLOOKUP("LULUCF|NOx|Work loss days", US_national_yearly!$D:$AM, 10, FALSE), 1)</f>
        <v>0.44236223317693202</v>
      </c>
      <c r="AB15" s="7">
        <f>$B15 * IFERROR(VLOOKUP("LULUCF|NOx|Work loss days", US_national_yearly!$D:$AM, 36, FALSE) / VLOOKUP("LULUCF|NOx|Work loss days", US_national_yearly!$D:$AM, 10, FALSE), 1)</f>
        <v>0.44493181745296201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4.7454935646033835E-4</v>
      </c>
      <c r="C17" s="7">
        <f>$B17 * IFERROR(VLOOKUP("LULUCF|NOx|Cardiovascular hospital admissions", US_national_yearly!$D:$AM, 11, FALSE) / VLOOKUP("LULUCF|NOx|Cardiovascular hospital admissions", US_national_yearly!$D:$AM, 10, FALSE), 1)</f>
        <v>4.8849381453123196E-4</v>
      </c>
      <c r="D17" s="7">
        <f>$B17 * IFERROR(VLOOKUP("LULUCF|NOx|Cardiovascular hospital admissions", US_national_yearly!$D:$AM, 12, FALSE) / VLOOKUP("LULUCF|NOx|Cardiovascular hospital admissions", US_national_yearly!$D:$AM, 10, FALSE), 1)</f>
        <v>5.0243827260212546E-4</v>
      </c>
      <c r="E17" s="7">
        <f>$B17 * IFERROR(VLOOKUP("LULUCF|NOx|Cardiovascular hospital admissions", US_national_yearly!$D:$AM, 13, FALSE) / VLOOKUP("LULUCF|NOx|Cardiovascular hospital admissions", US_national_yearly!$D:$AM, 10, FALSE), 1)</f>
        <v>5.1638273067301885E-4</v>
      </c>
      <c r="F17" s="7">
        <f>$B17 * IFERROR(VLOOKUP("LULUCF|NOx|Cardiovascular hospital admissions", US_national_yearly!$D:$AM, 14, FALSE) / VLOOKUP("LULUCF|NOx|Cardiovascular hospital admissions", US_national_yearly!$D:$AM, 10, FALSE), 1)</f>
        <v>5.3032718874391246E-4</v>
      </c>
      <c r="G17" s="7">
        <f>$B17 * IFERROR(VLOOKUP("LULUCF|NOx|Cardiovascular hospital admissions", US_national_yearly!$D:$AM, 15, FALSE) / VLOOKUP("LULUCF|NOx|Cardiovascular hospital admissions", US_national_yearly!$D:$AM, 10, FALSE), 1)</f>
        <v>5.4357211785210642E-4</v>
      </c>
      <c r="H17" s="7">
        <f>$B17 * IFERROR(VLOOKUP("LULUCF|NOx|Cardiovascular hospital admissions", US_national_yearly!$D:$AM, 16, FALSE) / VLOOKUP("LULUCF|NOx|Cardiovascular hospital admissions", US_national_yearly!$D:$AM, 10, FALSE), 1)</f>
        <v>5.5681704696030059E-4</v>
      </c>
      <c r="I17" s="7">
        <f>$B17 * IFERROR(VLOOKUP("LULUCF|NOx|Cardiovascular hospital admissions", US_national_yearly!$D:$AM, 17, FALSE) / VLOOKUP("LULUCF|NOx|Cardiovascular hospital admissions", US_national_yearly!$D:$AM, 10, FALSE), 1)</f>
        <v>5.6795501055168396E-4</v>
      </c>
      <c r="J17" s="7">
        <f>$B17 * IFERROR(VLOOKUP("LULUCF|NOx|Cardiovascular hospital admissions", US_national_yearly!$D:$AM, 18, FALSE) / VLOOKUP("LULUCF|NOx|Cardiovascular hospital admissions", US_national_yearly!$D:$AM, 10, FALSE), 1)</f>
        <v>5.7909297414306744E-4</v>
      </c>
      <c r="K17" s="7">
        <f>$B17 * IFERROR(VLOOKUP("LULUCF|NOx|Cardiovascular hospital admissions", US_national_yearly!$D:$AM, 19, FALSE) / VLOOKUP("LULUCF|NOx|Cardiovascular hospital admissions", US_national_yearly!$D:$AM, 10, FALSE), 1)</f>
        <v>5.9023093773445093E-4</v>
      </c>
      <c r="L17" s="7">
        <f>$B17 * IFERROR(VLOOKUP("LULUCF|NOx|Cardiovascular hospital admissions", US_national_yearly!$D:$AM, 20, FALSE) / VLOOKUP("LULUCF|NOx|Cardiovascular hospital admissions", US_national_yearly!$D:$AM, 10, FALSE), 1)</f>
        <v>6.013689013258343E-4</v>
      </c>
      <c r="M17" s="7">
        <f>$B17 * IFERROR(VLOOKUP("LULUCF|NOx|Cardiovascular hospital admissions", US_national_yearly!$D:$AM, 21, FALSE) / VLOOKUP("LULUCF|NOx|Cardiovascular hospital admissions", US_national_yearly!$D:$AM, 10, FALSE), 1)</f>
        <v>6.1250686491721789E-4</v>
      </c>
      <c r="N17" s="7">
        <f>$B17 * IFERROR(VLOOKUP("LULUCF|NOx|Cardiovascular hospital admissions", US_national_yearly!$D:$AM, 22, FALSE) / VLOOKUP("LULUCF|NOx|Cardiovascular hospital admissions", US_national_yearly!$D:$AM, 10, FALSE), 1)</f>
        <v>6.1947180260494802E-4</v>
      </c>
      <c r="O17" s="7">
        <f>$B17 * IFERROR(VLOOKUP("LULUCF|NOx|Cardiovascular hospital admissions", US_national_yearly!$D:$AM, 23, FALSE) / VLOOKUP("LULUCF|NOx|Cardiovascular hospital admissions", US_national_yearly!$D:$AM, 10, FALSE), 1)</f>
        <v>6.2643674029267836E-4</v>
      </c>
      <c r="P17" s="7">
        <f>$B17 * IFERROR(VLOOKUP("LULUCF|NOx|Cardiovascular hospital admissions", US_national_yearly!$D:$AM, 24, FALSE) / VLOOKUP("LULUCF|NOx|Cardiovascular hospital admissions", US_national_yearly!$D:$AM, 10, FALSE), 1)</f>
        <v>6.3340167798040848E-4</v>
      </c>
      <c r="Q17" s="7">
        <f>$B17 * IFERROR(VLOOKUP("LULUCF|NOx|Cardiovascular hospital admissions", US_national_yearly!$D:$AM, 25, FALSE) / VLOOKUP("LULUCF|NOx|Cardiovascular hospital admissions", US_national_yearly!$D:$AM, 10, FALSE), 1)</f>
        <v>6.4036661566813872E-4</v>
      </c>
      <c r="R17" s="7">
        <f>$B17 * IFERROR(VLOOKUP("LULUCF|NOx|Cardiovascular hospital admissions", US_national_yearly!$D:$AM, 26, FALSE) / VLOOKUP("LULUCF|NOx|Cardiovascular hospital admissions", US_national_yearly!$D:$AM, 10, FALSE), 1)</f>
        <v>6.4733155335586884E-4</v>
      </c>
      <c r="S17" s="7">
        <f>$B17 * IFERROR(VLOOKUP("LULUCF|NOx|Cardiovascular hospital admissions", US_national_yearly!$D:$AM, 27, FALSE) / VLOOKUP("LULUCF|NOx|Cardiovascular hospital admissions", US_national_yearly!$D:$AM, 10, FALSE), 1)</f>
        <v>6.5050946316224322E-4</v>
      </c>
      <c r="T17" s="7">
        <f>$B17 * IFERROR(VLOOKUP("LULUCF|NOx|Cardiovascular hospital admissions", US_national_yearly!$D:$AM, 28, FALSE) / VLOOKUP("LULUCF|NOx|Cardiovascular hospital admissions", US_national_yearly!$D:$AM, 10, FALSE), 1)</f>
        <v>6.536873729686176E-4</v>
      </c>
      <c r="U17" s="7">
        <f>$B17 * IFERROR(VLOOKUP("LULUCF|NOx|Cardiovascular hospital admissions", US_national_yearly!$D:$AM, 29, FALSE) / VLOOKUP("LULUCF|NOx|Cardiovascular hospital admissions", US_national_yearly!$D:$AM, 10, FALSE), 1)</f>
        <v>6.5686528277499186E-4</v>
      </c>
      <c r="V17" s="7">
        <f>$B17 * IFERROR(VLOOKUP("LULUCF|NOx|Cardiovascular hospital admissions", US_national_yearly!$D:$AM, 30, FALSE) / VLOOKUP("LULUCF|NOx|Cardiovascular hospital admissions", US_national_yearly!$D:$AM, 10, FALSE), 1)</f>
        <v>6.6004319258136624E-4</v>
      </c>
      <c r="W17" s="7">
        <f>$B17 * IFERROR(VLOOKUP("LULUCF|NOx|Cardiovascular hospital admissions", US_national_yearly!$D:$AM, 31, FALSE) / VLOOKUP("LULUCF|NOx|Cardiovascular hospital admissions", US_national_yearly!$D:$AM, 10, FALSE), 1)</f>
        <v>6.6322110238774051E-4</v>
      </c>
      <c r="X17" s="7">
        <f>$B17 * IFERROR(VLOOKUP("LULUCF|NOx|Cardiovascular hospital admissions", US_national_yearly!$D:$AM, 32, FALSE) / VLOOKUP("LULUCF|NOx|Cardiovascular hospital admissions", US_national_yearly!$D:$AM, 10, FALSE), 1)</f>
        <v>6.6498971937189685E-4</v>
      </c>
      <c r="Y17" s="7">
        <f>$B17 * IFERROR(VLOOKUP("LULUCF|NOx|Cardiovascular hospital admissions", US_national_yearly!$D:$AM, 33, FALSE) / VLOOKUP("LULUCF|NOx|Cardiovascular hospital admissions", US_national_yearly!$D:$AM, 10, FALSE), 1)</f>
        <v>6.6675833635605319E-4</v>
      </c>
      <c r="Z17" s="7">
        <f>$B17 * IFERROR(VLOOKUP("LULUCF|NOx|Cardiovascular hospital admissions", US_national_yearly!$D:$AM, 34, FALSE) / VLOOKUP("LULUCF|NOx|Cardiovascular hospital admissions", US_national_yearly!$D:$AM, 10, FALSE), 1)</f>
        <v>6.6852695334020953E-4</v>
      </c>
      <c r="AA17" s="7">
        <f>$B17 * IFERROR(VLOOKUP("LULUCF|NOx|Cardiovascular hospital admissions", US_national_yearly!$D:$AM, 35, FALSE) / VLOOKUP("LULUCF|NOx|Cardiovascular hospital admissions", US_national_yearly!$D:$AM, 10, FALSE), 1)</f>
        <v>6.7029557032436586E-4</v>
      </c>
      <c r="AB17" s="7">
        <f>$B17 * IFERROR(VLOOKUP("LULUCF|NOx|Cardiovascular hospital admissions", US_national_yearly!$D:$AM, 36, FALSE) / VLOOKUP("LULUCF|NOx|Cardiovascular hospital admissions", US_national_yearly!$D:$AM, 10, FALSE), 1)</f>
        <v>6.7206418730852209E-4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5.4144712128733575E-3</v>
      </c>
      <c r="C2" s="7">
        <f>$B2 * IFERROR(VLOOKUP("LULUCF|SO2|Premature mortality", US_national_yearly!$D:$AM, 11, FALSE) / VLOOKUP("LULUCF|SO2|Premature mortality", US_national_yearly!$D:$AM, 10, FALSE), 1)</f>
        <v>5.4830425612066129E-3</v>
      </c>
      <c r="D2" s="7">
        <f>$B2 * IFERROR(VLOOKUP("LULUCF|SO2|Premature mortality", US_national_yearly!$D:$AM, 12, FALSE) / VLOOKUP("LULUCF|SO2|Premature mortality", US_national_yearly!$D:$AM, 10, FALSE), 1)</f>
        <v>5.55161390953987E-3</v>
      </c>
      <c r="E2" s="7">
        <f>$B2 * IFERROR(VLOOKUP("LULUCF|SO2|Premature mortality", US_national_yearly!$D:$AM, 13, FALSE) / VLOOKUP("LULUCF|SO2|Premature mortality", US_national_yearly!$D:$AM, 10, FALSE), 1)</f>
        <v>5.6201852578731263E-3</v>
      </c>
      <c r="F2" s="7">
        <f>$B2 * IFERROR(VLOOKUP("LULUCF|SO2|Premature mortality", US_national_yearly!$D:$AM, 14, FALSE) / VLOOKUP("LULUCF|SO2|Premature mortality", US_national_yearly!$D:$AM, 10, FALSE), 1)</f>
        <v>5.6887566062063816E-3</v>
      </c>
      <c r="G2" s="7">
        <f>$B2 * IFERROR(VLOOKUP("LULUCF|SO2|Premature mortality", US_national_yearly!$D:$AM, 15, FALSE) / VLOOKUP("LULUCF|SO2|Premature mortality", US_national_yearly!$D:$AM, 10, FALSE), 1)</f>
        <v>5.820889708242136E-3</v>
      </c>
      <c r="H2" s="7">
        <f>$B2 * IFERROR(VLOOKUP("LULUCF|SO2|Premature mortality", US_national_yearly!$D:$AM, 16, FALSE) / VLOOKUP("LULUCF|SO2|Premature mortality", US_national_yearly!$D:$AM, 10, FALSE), 1)</f>
        <v>5.9530228102778896E-3</v>
      </c>
      <c r="I2" s="7">
        <f>$B2 * IFERROR(VLOOKUP("LULUCF|SO2|Premature mortality", US_national_yearly!$D:$AM, 17, FALSE) / VLOOKUP("LULUCF|SO2|Premature mortality", US_national_yearly!$D:$AM, 10, FALSE), 1)</f>
        <v>6.0403444604293765E-3</v>
      </c>
      <c r="J2" s="7">
        <f>$B2 * IFERROR(VLOOKUP("LULUCF|SO2|Premature mortality", US_national_yearly!$D:$AM, 18, FALSE) / VLOOKUP("LULUCF|SO2|Premature mortality", US_national_yearly!$D:$AM, 10, FALSE), 1)</f>
        <v>6.1276661105808643E-3</v>
      </c>
      <c r="K2" s="7">
        <f>$B2 * IFERROR(VLOOKUP("LULUCF|SO2|Premature mortality", US_national_yearly!$D:$AM, 19, FALSE) / VLOOKUP("LULUCF|SO2|Premature mortality", US_national_yearly!$D:$AM, 10, FALSE), 1)</f>
        <v>6.2149877607323503E-3</v>
      </c>
      <c r="L2" s="7">
        <f>$B2 * IFERROR(VLOOKUP("LULUCF|SO2|Premature mortality", US_national_yearly!$D:$AM, 20, FALSE) / VLOOKUP("LULUCF|SO2|Premature mortality", US_national_yearly!$D:$AM, 10, FALSE), 1)</f>
        <v>6.3023094108838381E-3</v>
      </c>
      <c r="M2" s="7">
        <f>$B2 * IFERROR(VLOOKUP("LULUCF|SO2|Premature mortality", US_national_yearly!$D:$AM, 21, FALSE) / VLOOKUP("LULUCF|SO2|Premature mortality", US_national_yearly!$D:$AM, 10, FALSE), 1)</f>
        <v>6.3896310610353259E-3</v>
      </c>
      <c r="N2" s="7">
        <f>$B2 * IFERROR(VLOOKUP("LULUCF|SO2|Premature mortality", US_national_yearly!$D:$AM, 22, FALSE) / VLOOKUP("LULUCF|SO2|Premature mortality", US_national_yearly!$D:$AM, 10, FALSE), 1)</f>
        <v>6.4578594618992912E-3</v>
      </c>
      <c r="O2" s="7">
        <f>$B2 * IFERROR(VLOOKUP("LULUCF|SO2|Premature mortality", US_national_yearly!$D:$AM, 23, FALSE) / VLOOKUP("LULUCF|SO2|Premature mortality", US_national_yearly!$D:$AM, 10, FALSE), 1)</f>
        <v>6.5260878627632574E-3</v>
      </c>
      <c r="P2" s="7">
        <f>$B2 * IFERROR(VLOOKUP("LULUCF|SO2|Premature mortality", US_national_yearly!$D:$AM, 24, FALSE) / VLOOKUP("LULUCF|SO2|Premature mortality", US_national_yearly!$D:$AM, 10, FALSE), 1)</f>
        <v>6.5943162636272236E-3</v>
      </c>
      <c r="Q2" s="7">
        <f>$B2 * IFERROR(VLOOKUP("LULUCF|SO2|Premature mortality", US_national_yearly!$D:$AM, 25, FALSE) / VLOOKUP("LULUCF|SO2|Premature mortality", US_national_yearly!$D:$AM, 10, FALSE), 1)</f>
        <v>6.6625446644911889E-3</v>
      </c>
      <c r="R2" s="7">
        <f>$B2 * IFERROR(VLOOKUP("LULUCF|SO2|Premature mortality", US_national_yearly!$D:$AM, 26, FALSE) / VLOOKUP("LULUCF|SO2|Premature mortality", US_national_yearly!$D:$AM, 10, FALSE), 1)</f>
        <v>6.7307730653551542E-3</v>
      </c>
      <c r="S2" s="7">
        <f>$B2 * IFERROR(VLOOKUP("LULUCF|SO2|Premature mortality", US_national_yearly!$D:$AM, 27, FALSE) / VLOOKUP("LULUCF|SO2|Premature mortality", US_national_yearly!$D:$AM, 10, FALSE), 1)</f>
        <v>6.7673102824925601E-3</v>
      </c>
      <c r="T2" s="7">
        <f>$B2 * IFERROR(VLOOKUP("LULUCF|SO2|Premature mortality", US_national_yearly!$D:$AM, 28, FALSE) / VLOOKUP("LULUCF|SO2|Premature mortality", US_national_yearly!$D:$AM, 10, FALSE), 1)</f>
        <v>6.803847499629965E-3</v>
      </c>
      <c r="U2" s="7">
        <f>$B2 * IFERROR(VLOOKUP("LULUCF|SO2|Premature mortality", US_national_yearly!$D:$AM, 29, FALSE) / VLOOKUP("LULUCF|SO2|Premature mortality", US_national_yearly!$D:$AM, 10, FALSE), 1)</f>
        <v>6.8403847167673691E-3</v>
      </c>
      <c r="V2" s="7">
        <f>$B2 * IFERROR(VLOOKUP("LULUCF|SO2|Premature mortality", US_national_yearly!$D:$AM, 30, FALSE) / VLOOKUP("LULUCF|SO2|Premature mortality", US_national_yearly!$D:$AM, 10, FALSE), 1)</f>
        <v>6.8769219339047741E-3</v>
      </c>
      <c r="W2" s="7">
        <f>$B2 * IFERROR(VLOOKUP("LULUCF|SO2|Premature mortality", US_national_yearly!$D:$AM, 31, FALSE) / VLOOKUP("LULUCF|SO2|Premature mortality", US_national_yearly!$D:$AM, 10, FALSE), 1)</f>
        <v>6.9134591510421799E-3</v>
      </c>
      <c r="X2" s="7">
        <f>$B2 * IFERROR(VLOOKUP("LULUCF|SO2|Premature mortality", US_national_yearly!$D:$AM, 32, FALSE) / VLOOKUP("LULUCF|SO2|Premature mortality", US_national_yearly!$D:$AM, 10, FALSE), 1)</f>
        <v>6.9208817984625862E-3</v>
      </c>
      <c r="Y2" s="7">
        <f>$B2 * IFERROR(VLOOKUP("LULUCF|SO2|Premature mortality", US_national_yearly!$D:$AM, 33, FALSE) / VLOOKUP("LULUCF|SO2|Premature mortality", US_national_yearly!$D:$AM, 10, FALSE), 1)</f>
        <v>6.9283044458829934E-3</v>
      </c>
      <c r="Z2" s="7">
        <f>$B2 * IFERROR(VLOOKUP("LULUCF|SO2|Premature mortality", US_national_yearly!$D:$AM, 34, FALSE) / VLOOKUP("LULUCF|SO2|Premature mortality", US_national_yearly!$D:$AM, 10, FALSE), 1)</f>
        <v>6.9357270933034006E-3</v>
      </c>
      <c r="AA2" s="7">
        <f>$B2 * IFERROR(VLOOKUP("LULUCF|SO2|Premature mortality", US_national_yearly!$D:$AM, 35, FALSE) / VLOOKUP("LULUCF|SO2|Premature mortality", US_national_yearly!$D:$AM, 10, FALSE), 1)</f>
        <v>6.9431497407238078E-3</v>
      </c>
      <c r="AB2" s="7">
        <f>$B2 * IFERROR(VLOOKUP("LULUCF|SO2|Premature mortality", US_national_yearly!$D:$AM, 36, FALSE) / VLOOKUP("LULUCF|SO2|Premature mortality", US_national_yearly!$D:$AM, 10, FALSE), 1)</f>
        <v>6.9505723881442142E-3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1.2599696381954191E-5</v>
      </c>
      <c r="C3" s="7">
        <f>$B3 * IFERROR(VLOOKUP("LULUCF|SO2|Infant mortality", US_national_yearly!$D:$AM, 11, FALSE) / VLOOKUP("LULUCF|SO2|Infant mortality", US_national_yearly!$D:$AM, 10, FALSE), 1)</f>
        <v>1.2491462691778393E-5</v>
      </c>
      <c r="D3" s="7">
        <f>$B3 * IFERROR(VLOOKUP("LULUCF|SO2|Infant mortality", US_national_yearly!$D:$AM, 12, FALSE) / VLOOKUP("LULUCF|SO2|Infant mortality", US_national_yearly!$D:$AM, 10, FALSE), 1)</f>
        <v>1.2383229001602594E-5</v>
      </c>
      <c r="E3" s="7">
        <f>$B3 * IFERROR(VLOOKUP("LULUCF|SO2|Infant mortality", US_national_yearly!$D:$AM, 13, FALSE) / VLOOKUP("LULUCF|SO2|Infant mortality", US_national_yearly!$D:$AM, 10, FALSE), 1)</f>
        <v>1.2274995311426794E-5</v>
      </c>
      <c r="F3" s="7">
        <f>$B3 * IFERROR(VLOOKUP("LULUCF|SO2|Infant mortality", US_national_yearly!$D:$AM, 14, FALSE) / VLOOKUP("LULUCF|SO2|Infant mortality", US_national_yearly!$D:$AM, 10, FALSE), 1)</f>
        <v>1.2166761621250996E-5</v>
      </c>
      <c r="G3" s="7">
        <f>$B3 * IFERROR(VLOOKUP("LULUCF|SO2|Infant mortality", US_national_yearly!$D:$AM, 15, FALSE) / VLOOKUP("LULUCF|SO2|Infant mortality", US_national_yearly!$D:$AM, 10, FALSE), 1)</f>
        <v>8.1040431699660293E-6</v>
      </c>
      <c r="H3" s="7">
        <f>$B3 * IFERROR(VLOOKUP("LULUCF|SO2|Infant mortality", US_national_yearly!$D:$AM, 16, FALSE) / VLOOKUP("LULUCF|SO2|Infant mortality", US_national_yearly!$D:$AM, 10, FALSE), 1)</f>
        <v>4.0413247186810677E-6</v>
      </c>
      <c r="I3" s="7">
        <f>$B3 * IFERROR(VLOOKUP("LULUCF|SO2|Infant mortality", US_national_yearly!$D:$AM, 17, FALSE) / VLOOKUP("LULUCF|SO2|Infant mortality", US_national_yearly!$D:$AM, 10, FALSE), 1)</f>
        <v>4.0159722683454945E-6</v>
      </c>
      <c r="J3" s="7">
        <f>$B3 * IFERROR(VLOOKUP("LULUCF|SO2|Infant mortality", US_national_yearly!$D:$AM, 18, FALSE) / VLOOKUP("LULUCF|SO2|Infant mortality", US_national_yearly!$D:$AM, 10, FALSE), 1)</f>
        <v>3.9906198180099222E-6</v>
      </c>
      <c r="K3" s="7">
        <f>$B3 * IFERROR(VLOOKUP("LULUCF|SO2|Infant mortality", US_national_yearly!$D:$AM, 19, FALSE) / VLOOKUP("LULUCF|SO2|Infant mortality", US_national_yearly!$D:$AM, 10, FALSE), 1)</f>
        <v>3.965267367674349E-6</v>
      </c>
      <c r="L3" s="7">
        <f>$B3 * IFERROR(VLOOKUP("LULUCF|SO2|Infant mortality", US_national_yearly!$D:$AM, 20, FALSE) / VLOOKUP("LULUCF|SO2|Infant mortality", US_national_yearly!$D:$AM, 10, FALSE), 1)</f>
        <v>3.9399149173387759E-6</v>
      </c>
      <c r="M3" s="7">
        <f>$B3 * IFERROR(VLOOKUP("LULUCF|SO2|Infant mortality", US_national_yearly!$D:$AM, 21, FALSE) / VLOOKUP("LULUCF|SO2|Infant mortality", US_national_yearly!$D:$AM, 10, FALSE), 1)</f>
        <v>3.9145624670032036E-6</v>
      </c>
      <c r="N3" s="7">
        <f>$B3 * IFERROR(VLOOKUP("LULUCF|SO2|Infant mortality", US_national_yearly!$D:$AM, 22, FALSE) / VLOOKUP("LULUCF|SO2|Infant mortality", US_national_yearly!$D:$AM, 10, FALSE), 1)</f>
        <v>3.8986489237327961E-6</v>
      </c>
      <c r="O3" s="7">
        <f>$B3 * IFERROR(VLOOKUP("LULUCF|SO2|Infant mortality", US_national_yearly!$D:$AM, 23, FALSE) / VLOOKUP("LULUCF|SO2|Infant mortality", US_national_yearly!$D:$AM, 10, FALSE), 1)</f>
        <v>3.8827353804623895E-6</v>
      </c>
      <c r="P3" s="7">
        <f>$B3 * IFERROR(VLOOKUP("LULUCF|SO2|Infant mortality", US_national_yearly!$D:$AM, 24, FALSE) / VLOOKUP("LULUCF|SO2|Infant mortality", US_national_yearly!$D:$AM, 10, FALSE), 1)</f>
        <v>3.866821837191982E-6</v>
      </c>
      <c r="Q3" s="7">
        <f>$B3 * IFERROR(VLOOKUP("LULUCF|SO2|Infant mortality", US_national_yearly!$D:$AM, 25, FALSE) / VLOOKUP("LULUCF|SO2|Infant mortality", US_national_yearly!$D:$AM, 10, FALSE), 1)</f>
        <v>3.8509082939215746E-6</v>
      </c>
      <c r="R3" s="7">
        <f>$B3 * IFERROR(VLOOKUP("LULUCF|SO2|Infant mortality", US_national_yearly!$D:$AM, 26, FALSE) / VLOOKUP("LULUCF|SO2|Infant mortality", US_national_yearly!$D:$AM, 10, FALSE), 1)</f>
        <v>3.8349947506511671E-6</v>
      </c>
      <c r="S3" s="7">
        <f>$B3 * IFERROR(VLOOKUP("LULUCF|SO2|Infant mortality", US_national_yearly!$D:$AM, 27, FALSE) / VLOOKUP("LULUCF|SO2|Infant mortality", US_national_yearly!$D:$AM, 10, FALSE), 1)</f>
        <v>3.8150143276013628E-6</v>
      </c>
      <c r="T3" s="7">
        <f>$B3 * IFERROR(VLOOKUP("LULUCF|SO2|Infant mortality", US_national_yearly!$D:$AM, 28, FALSE) / VLOOKUP("LULUCF|SO2|Infant mortality", US_national_yearly!$D:$AM, 10, FALSE), 1)</f>
        <v>3.7950339045515585E-6</v>
      </c>
      <c r="U3" s="7">
        <f>$B3 * IFERROR(VLOOKUP("LULUCF|SO2|Infant mortality", US_national_yearly!$D:$AM, 29, FALSE) / VLOOKUP("LULUCF|SO2|Infant mortality", US_national_yearly!$D:$AM, 10, FALSE), 1)</f>
        <v>3.7750534815017529E-6</v>
      </c>
      <c r="V3" s="7">
        <f>$B3 * IFERROR(VLOOKUP("LULUCF|SO2|Infant mortality", US_national_yearly!$D:$AM, 30, FALSE) / VLOOKUP("LULUCF|SO2|Infant mortality", US_national_yearly!$D:$AM, 10, FALSE), 1)</f>
        <v>3.755073058451949E-6</v>
      </c>
      <c r="W3" s="7">
        <f>$B3 * IFERROR(VLOOKUP("LULUCF|SO2|Infant mortality", US_national_yearly!$D:$AM, 31, FALSE) / VLOOKUP("LULUCF|SO2|Infant mortality", US_national_yearly!$D:$AM, 10, FALSE), 1)</f>
        <v>3.7350926354021438E-6</v>
      </c>
      <c r="X3" s="7">
        <f>$B3 * IFERROR(VLOOKUP("LULUCF|SO2|Infant mortality", US_national_yearly!$D:$AM, 32, FALSE) / VLOOKUP("LULUCF|SO2|Infant mortality", US_national_yearly!$D:$AM, 10, FALSE), 1)</f>
        <v>3.7132478656101294E-6</v>
      </c>
      <c r="Y3" s="7">
        <f>$B3 * IFERROR(VLOOKUP("LULUCF|SO2|Infant mortality", US_national_yearly!$D:$AM, 33, FALSE) / VLOOKUP("LULUCF|SO2|Infant mortality", US_national_yearly!$D:$AM, 10, FALSE), 1)</f>
        <v>3.6914030958181138E-6</v>
      </c>
      <c r="Z3" s="7">
        <f>$B3 * IFERROR(VLOOKUP("LULUCF|SO2|Infant mortality", US_national_yearly!$D:$AM, 34, FALSE) / VLOOKUP("LULUCF|SO2|Infant mortality", US_national_yearly!$D:$AM, 10, FALSE), 1)</f>
        <v>3.6695583260260994E-6</v>
      </c>
      <c r="AA3" s="7">
        <f>$B3 * IFERROR(VLOOKUP("LULUCF|SO2|Infant mortality", US_national_yearly!$D:$AM, 35, FALSE) / VLOOKUP("LULUCF|SO2|Infant mortality", US_national_yearly!$D:$AM, 10, FALSE), 1)</f>
        <v>3.6477135562340838E-6</v>
      </c>
      <c r="AB3" s="7">
        <f>$B3 * IFERROR(VLOOKUP("LULUCF|SO2|Infant mortality", US_national_yearly!$D:$AM, 36, FALSE) / VLOOKUP("LULUCF|SO2|Infant mortality", US_national_yearly!$D:$AM, 10, FALSE), 1)</f>
        <v>3.6258687864420694E-6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1.7868803099182574E-2</v>
      </c>
      <c r="C6" s="7">
        <f>$B6 * IFERROR(VLOOKUP("LULUCF|SO2|Asthma symptoms cough", US_national_yearly!$D:$AM, 11, FALSE) / VLOOKUP("LULUCF|SO2|Asthma symptoms cough", US_national_yearly!$D:$AM, 10, FALSE), 1)</f>
        <v>1.7868803099182574E-2</v>
      </c>
      <c r="D6" s="7">
        <f>$B6 * IFERROR(VLOOKUP("LULUCF|SO2|Asthma symptoms cough", US_national_yearly!$D:$AM, 12, FALSE) / VLOOKUP("LULUCF|SO2|Asthma symptoms cough", US_national_yearly!$D:$AM, 10, FALSE), 1)</f>
        <v>1.7868803099182574E-2</v>
      </c>
      <c r="E6" s="7">
        <f>$B6 * IFERROR(VLOOKUP("LULUCF|SO2|Asthma symptoms cough", US_national_yearly!$D:$AM, 13, FALSE) / VLOOKUP("LULUCF|SO2|Asthma symptoms cough", US_national_yearly!$D:$AM, 10, FALSE), 1)</f>
        <v>1.7868803099182574E-2</v>
      </c>
      <c r="F6" s="7">
        <f>$B6 * IFERROR(VLOOKUP("LULUCF|SO2|Asthma symptoms cough", US_national_yearly!$D:$AM, 14, FALSE) / VLOOKUP("LULUCF|SO2|Asthma symptoms cough", US_national_yearly!$D:$AM, 10, FALSE), 1)</f>
        <v>1.7868803099182574E-2</v>
      </c>
      <c r="G6" s="7">
        <f>$B6 * IFERROR(VLOOKUP("LULUCF|SO2|Asthma symptoms cough", US_national_yearly!$D:$AM, 15, FALSE) / VLOOKUP("LULUCF|SO2|Asthma symptoms cough", US_national_yearly!$D:$AM, 10, FALSE), 1)</f>
        <v>1.7868803099182574E-2</v>
      </c>
      <c r="H6" s="7">
        <f>$B6 * IFERROR(VLOOKUP("LULUCF|SO2|Asthma symptoms cough", US_national_yearly!$D:$AM, 16, FALSE) / VLOOKUP("LULUCF|SO2|Asthma symptoms cough", US_national_yearly!$D:$AM, 10, FALSE), 1)</f>
        <v>1.7868803099182574E-2</v>
      </c>
      <c r="I6" s="7">
        <f>$B6 * IFERROR(VLOOKUP("LULUCF|SO2|Asthma symptoms cough", US_national_yearly!$D:$AM, 17, FALSE) / VLOOKUP("LULUCF|SO2|Asthma symptoms cough", US_national_yearly!$D:$AM, 10, FALSE), 1)</f>
        <v>1.7868803099182574E-2</v>
      </c>
      <c r="J6" s="7">
        <f>$B6 * IFERROR(VLOOKUP("LULUCF|SO2|Asthma symptoms cough", US_national_yearly!$D:$AM, 18, FALSE) / VLOOKUP("LULUCF|SO2|Asthma symptoms cough", US_national_yearly!$D:$AM, 10, FALSE), 1)</f>
        <v>1.7868803099182574E-2</v>
      </c>
      <c r="K6" s="7">
        <f>$B6 * IFERROR(VLOOKUP("LULUCF|SO2|Asthma symptoms cough", US_national_yearly!$D:$AM, 19, FALSE) / VLOOKUP("LULUCF|SO2|Asthma symptoms cough", US_national_yearly!$D:$AM, 10, FALSE), 1)</f>
        <v>1.7868803099182574E-2</v>
      </c>
      <c r="L6" s="7">
        <f>$B6 * IFERROR(VLOOKUP("LULUCF|SO2|Asthma symptoms cough", US_national_yearly!$D:$AM, 20, FALSE) / VLOOKUP("LULUCF|SO2|Asthma symptoms cough", US_national_yearly!$D:$AM, 10, FALSE), 1)</f>
        <v>1.7868803099182574E-2</v>
      </c>
      <c r="M6" s="7">
        <f>$B6 * IFERROR(VLOOKUP("LULUCF|SO2|Asthma symptoms cough", US_national_yearly!$D:$AM, 21, FALSE) / VLOOKUP("LULUCF|SO2|Asthma symptoms cough", US_national_yearly!$D:$AM, 10, FALSE), 1)</f>
        <v>1.7868803099182574E-2</v>
      </c>
      <c r="N6" s="7">
        <f>$B6 * IFERROR(VLOOKUP("LULUCF|SO2|Asthma symptoms cough", US_national_yearly!$D:$AM, 22, FALSE) / VLOOKUP("LULUCF|SO2|Asthma symptoms cough", US_national_yearly!$D:$AM, 10, FALSE), 1)</f>
        <v>1.7868803099182574E-2</v>
      </c>
      <c r="O6" s="7">
        <f>$B6 * IFERROR(VLOOKUP("LULUCF|SO2|Asthma symptoms cough", US_national_yearly!$D:$AM, 23, FALSE) / VLOOKUP("LULUCF|SO2|Asthma symptoms cough", US_national_yearly!$D:$AM, 10, FALSE), 1)</f>
        <v>1.7868803099182574E-2</v>
      </c>
      <c r="P6" s="7">
        <f>$B6 * IFERROR(VLOOKUP("LULUCF|SO2|Asthma symptoms cough", US_national_yearly!$D:$AM, 24, FALSE) / VLOOKUP("LULUCF|SO2|Asthma symptoms cough", US_national_yearly!$D:$AM, 10, FALSE), 1)</f>
        <v>1.7868803099182574E-2</v>
      </c>
      <c r="Q6" s="7">
        <f>$B6 * IFERROR(VLOOKUP("LULUCF|SO2|Asthma symptoms cough", US_national_yearly!$D:$AM, 25, FALSE) / VLOOKUP("LULUCF|SO2|Asthma symptoms cough", US_national_yearly!$D:$AM, 10, FALSE), 1)</f>
        <v>1.7868803099182574E-2</v>
      </c>
      <c r="R6" s="7">
        <f>$B6 * IFERROR(VLOOKUP("LULUCF|SO2|Asthma symptoms cough", US_national_yearly!$D:$AM, 26, FALSE) / VLOOKUP("LULUCF|SO2|Asthma symptoms cough", US_national_yearly!$D:$AM, 10, FALSE), 1)</f>
        <v>1.7868803099182574E-2</v>
      </c>
      <c r="S6" s="7">
        <f>$B6 * IFERROR(VLOOKUP("LULUCF|SO2|Asthma symptoms cough", US_national_yearly!$D:$AM, 27, FALSE) / VLOOKUP("LULUCF|SO2|Asthma symptoms cough", US_national_yearly!$D:$AM, 10, FALSE), 1)</f>
        <v>1.7868803099182574E-2</v>
      </c>
      <c r="T6" s="7">
        <f>$B6 * IFERROR(VLOOKUP("LULUCF|SO2|Asthma symptoms cough", US_national_yearly!$D:$AM, 28, FALSE) / VLOOKUP("LULUCF|SO2|Asthma symptoms cough", US_national_yearly!$D:$AM, 10, FALSE), 1)</f>
        <v>1.7868803099182574E-2</v>
      </c>
      <c r="U6" s="7">
        <f>$B6 * IFERROR(VLOOKUP("LULUCF|SO2|Asthma symptoms cough", US_national_yearly!$D:$AM, 29, FALSE) / VLOOKUP("LULUCF|SO2|Asthma symptoms cough", US_national_yearly!$D:$AM, 10, FALSE), 1)</f>
        <v>1.7868803099182574E-2</v>
      </c>
      <c r="V6" s="7">
        <f>$B6 * IFERROR(VLOOKUP("LULUCF|SO2|Asthma symptoms cough", US_national_yearly!$D:$AM, 30, FALSE) / VLOOKUP("LULUCF|SO2|Asthma symptoms cough", US_national_yearly!$D:$AM, 10, FALSE), 1)</f>
        <v>1.7868803099182574E-2</v>
      </c>
      <c r="W6" s="7">
        <f>$B6 * IFERROR(VLOOKUP("LULUCF|SO2|Asthma symptoms cough", US_national_yearly!$D:$AM, 31, FALSE) / VLOOKUP("LULUCF|SO2|Asthma symptoms cough", US_national_yearly!$D:$AM, 10, FALSE), 1)</f>
        <v>1.7868803099182574E-2</v>
      </c>
      <c r="X6" s="7">
        <f>$B6 * IFERROR(VLOOKUP("LULUCF|SO2|Asthma symptoms cough", US_national_yearly!$D:$AM, 32, FALSE) / VLOOKUP("LULUCF|SO2|Asthma symptoms cough", US_national_yearly!$D:$AM, 10, FALSE), 1)</f>
        <v>1.7868803099182574E-2</v>
      </c>
      <c r="Y6" s="7">
        <f>$B6 * IFERROR(VLOOKUP("LULUCF|SO2|Asthma symptoms cough", US_national_yearly!$D:$AM, 33, FALSE) / VLOOKUP("LULUCF|SO2|Asthma symptoms cough", US_national_yearly!$D:$AM, 10, FALSE), 1)</f>
        <v>1.7868803099182574E-2</v>
      </c>
      <c r="Z6" s="7">
        <f>$B6 * IFERROR(VLOOKUP("LULUCF|SO2|Asthma symptoms cough", US_national_yearly!$D:$AM, 34, FALSE) / VLOOKUP("LULUCF|SO2|Asthma symptoms cough", US_national_yearly!$D:$AM, 10, FALSE), 1)</f>
        <v>1.7868803099182574E-2</v>
      </c>
      <c r="AA6" s="7">
        <f>$B6 * IFERROR(VLOOKUP("LULUCF|SO2|Asthma symptoms cough", US_national_yearly!$D:$AM, 35, FALSE) / VLOOKUP("LULUCF|SO2|Asthma symptoms cough", US_national_yearly!$D:$AM, 10, FALSE), 1)</f>
        <v>1.7868803099182574E-2</v>
      </c>
      <c r="AB6" s="7">
        <f>$B6 * IFERROR(VLOOKUP("LULUCF|SO2|Asthma symptoms cough", US_national_yearly!$D:$AM, 36, FALSE) / VLOOKUP("LULUCF|SO2|Asthma symptoms cough", US_national_yearly!$D:$AM, 10, FALSE), 1)</f>
        <v>1.7868803099182574E-2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2.4062269484036541E-2</v>
      </c>
      <c r="C7" s="7">
        <f>$B7 * IFERROR(VLOOKUP("LULUCF|SO2|Asthma symptoms shortness of breath", US_national_yearly!$D:$AM, 11, FALSE) / VLOOKUP("LULUCF|SO2|Asthma symptoms shortness of breath", US_national_yearly!$D:$AM, 10, FALSE), 1)</f>
        <v>2.4062269484036541E-2</v>
      </c>
      <c r="D7" s="7">
        <f>$B7 * IFERROR(VLOOKUP("LULUCF|SO2|Asthma symptoms shortness of breath", US_national_yearly!$D:$AM, 12, FALSE) / VLOOKUP("LULUCF|SO2|Asthma symptoms shortness of breath", US_national_yearly!$D:$AM, 10, FALSE), 1)</f>
        <v>2.4062269484036541E-2</v>
      </c>
      <c r="E7" s="7">
        <f>$B7 * IFERROR(VLOOKUP("LULUCF|SO2|Asthma symptoms shortness of breath", US_national_yearly!$D:$AM, 13, FALSE) / VLOOKUP("LULUCF|SO2|Asthma symptoms shortness of breath", US_national_yearly!$D:$AM, 10, FALSE), 1)</f>
        <v>2.4062269484036541E-2</v>
      </c>
      <c r="F7" s="7">
        <f>$B7 * IFERROR(VLOOKUP("LULUCF|SO2|Asthma symptoms shortness of breath", US_national_yearly!$D:$AM, 14, FALSE) / VLOOKUP("LULUCF|SO2|Asthma symptoms shortness of breath", US_national_yearly!$D:$AM, 10, FALSE), 1)</f>
        <v>2.4062269484036541E-2</v>
      </c>
      <c r="G7" s="7">
        <f>$B7 * IFERROR(VLOOKUP("LULUCF|SO2|Asthma symptoms shortness of breath", US_national_yearly!$D:$AM, 15, FALSE) / VLOOKUP("LULUCF|SO2|Asthma symptoms shortness of breath", US_national_yearly!$D:$AM, 10, FALSE), 1)</f>
        <v>2.4062269484036541E-2</v>
      </c>
      <c r="H7" s="7">
        <f>$B7 * IFERROR(VLOOKUP("LULUCF|SO2|Asthma symptoms shortness of breath", US_national_yearly!$D:$AM, 16, FALSE) / VLOOKUP("LULUCF|SO2|Asthma symptoms shortness of breath", US_national_yearly!$D:$AM, 10, FALSE), 1)</f>
        <v>2.4062269484036541E-2</v>
      </c>
      <c r="I7" s="7">
        <f>$B7 * IFERROR(VLOOKUP("LULUCF|SO2|Asthma symptoms shortness of breath", US_national_yearly!$D:$AM, 17, FALSE) / VLOOKUP("LULUCF|SO2|Asthma symptoms shortness of breath", US_national_yearly!$D:$AM, 10, FALSE), 1)</f>
        <v>2.4062269484036541E-2</v>
      </c>
      <c r="J7" s="7">
        <f>$B7 * IFERROR(VLOOKUP("LULUCF|SO2|Asthma symptoms shortness of breath", US_national_yearly!$D:$AM, 18, FALSE) / VLOOKUP("LULUCF|SO2|Asthma symptoms shortness of breath", US_national_yearly!$D:$AM, 10, FALSE), 1)</f>
        <v>2.4062269484036541E-2</v>
      </c>
      <c r="K7" s="7">
        <f>$B7 * IFERROR(VLOOKUP("LULUCF|SO2|Asthma symptoms shortness of breath", US_national_yearly!$D:$AM, 19, FALSE) / VLOOKUP("LULUCF|SO2|Asthma symptoms shortness of breath", US_national_yearly!$D:$AM, 10, FALSE), 1)</f>
        <v>2.4062269484036541E-2</v>
      </c>
      <c r="L7" s="7">
        <f>$B7 * IFERROR(VLOOKUP("LULUCF|SO2|Asthma symptoms shortness of breath", US_national_yearly!$D:$AM, 20, FALSE) / VLOOKUP("LULUCF|SO2|Asthma symptoms shortness of breath", US_national_yearly!$D:$AM, 10, FALSE), 1)</f>
        <v>2.4062269484036541E-2</v>
      </c>
      <c r="M7" s="7">
        <f>$B7 * IFERROR(VLOOKUP("LULUCF|SO2|Asthma symptoms shortness of breath", US_national_yearly!$D:$AM, 21, FALSE) / VLOOKUP("LULUCF|SO2|Asthma symptoms shortness of breath", US_national_yearly!$D:$AM, 10, FALSE), 1)</f>
        <v>2.4062269484036541E-2</v>
      </c>
      <c r="N7" s="7">
        <f>$B7 * IFERROR(VLOOKUP("LULUCF|SO2|Asthma symptoms shortness of breath", US_national_yearly!$D:$AM, 22, FALSE) / VLOOKUP("LULUCF|SO2|Asthma symptoms shortness of breath", US_national_yearly!$D:$AM, 10, FALSE), 1)</f>
        <v>2.4062269484036541E-2</v>
      </c>
      <c r="O7" s="7">
        <f>$B7 * IFERROR(VLOOKUP("LULUCF|SO2|Asthma symptoms shortness of breath", US_national_yearly!$D:$AM, 23, FALSE) / VLOOKUP("LULUCF|SO2|Asthma symptoms shortness of breath", US_national_yearly!$D:$AM, 10, FALSE), 1)</f>
        <v>2.4062269484036541E-2</v>
      </c>
      <c r="P7" s="7">
        <f>$B7 * IFERROR(VLOOKUP("LULUCF|SO2|Asthma symptoms shortness of breath", US_national_yearly!$D:$AM, 24, FALSE) / VLOOKUP("LULUCF|SO2|Asthma symptoms shortness of breath", US_national_yearly!$D:$AM, 10, FALSE), 1)</f>
        <v>2.4062269484036541E-2</v>
      </c>
      <c r="Q7" s="7">
        <f>$B7 * IFERROR(VLOOKUP("LULUCF|SO2|Asthma symptoms shortness of breath", US_national_yearly!$D:$AM, 25, FALSE) / VLOOKUP("LULUCF|SO2|Asthma symptoms shortness of breath", US_national_yearly!$D:$AM, 10, FALSE), 1)</f>
        <v>2.4062269484036541E-2</v>
      </c>
      <c r="R7" s="7">
        <f>$B7 * IFERROR(VLOOKUP("LULUCF|SO2|Asthma symptoms shortness of breath", US_national_yearly!$D:$AM, 26, FALSE) / VLOOKUP("LULUCF|SO2|Asthma symptoms shortness of breath", US_national_yearly!$D:$AM, 10, FALSE), 1)</f>
        <v>2.4062269484036541E-2</v>
      </c>
      <c r="S7" s="7">
        <f>$B7 * IFERROR(VLOOKUP("LULUCF|SO2|Asthma symptoms shortness of breath", US_national_yearly!$D:$AM, 27, FALSE) / VLOOKUP("LULUCF|SO2|Asthma symptoms shortness of breath", US_national_yearly!$D:$AM, 10, FALSE), 1)</f>
        <v>2.4062269484036541E-2</v>
      </c>
      <c r="T7" s="7">
        <f>$B7 * IFERROR(VLOOKUP("LULUCF|SO2|Asthma symptoms shortness of breath", US_national_yearly!$D:$AM, 28, FALSE) / VLOOKUP("LULUCF|SO2|Asthma symptoms shortness of breath", US_national_yearly!$D:$AM, 10, FALSE), 1)</f>
        <v>2.4062269484036541E-2</v>
      </c>
      <c r="U7" s="7">
        <f>$B7 * IFERROR(VLOOKUP("LULUCF|SO2|Asthma symptoms shortness of breath", US_national_yearly!$D:$AM, 29, FALSE) / VLOOKUP("LULUCF|SO2|Asthma symptoms shortness of breath", US_national_yearly!$D:$AM, 10, FALSE), 1)</f>
        <v>2.4062269484036541E-2</v>
      </c>
      <c r="V7" s="7">
        <f>$B7 * IFERROR(VLOOKUP("LULUCF|SO2|Asthma symptoms shortness of breath", US_national_yearly!$D:$AM, 30, FALSE) / VLOOKUP("LULUCF|SO2|Asthma symptoms shortness of breath", US_national_yearly!$D:$AM, 10, FALSE), 1)</f>
        <v>2.4062269484036541E-2</v>
      </c>
      <c r="W7" s="7">
        <f>$B7 * IFERROR(VLOOKUP("LULUCF|SO2|Asthma symptoms shortness of breath", US_national_yearly!$D:$AM, 31, FALSE) / VLOOKUP("LULUCF|SO2|Asthma symptoms shortness of breath", US_national_yearly!$D:$AM, 10, FALSE), 1)</f>
        <v>2.4062269484036541E-2</v>
      </c>
      <c r="X7" s="7">
        <f>$B7 * IFERROR(VLOOKUP("LULUCF|SO2|Asthma symptoms shortness of breath", US_national_yearly!$D:$AM, 32, FALSE) / VLOOKUP("LULUCF|SO2|Asthma symptoms shortness of breath", US_national_yearly!$D:$AM, 10, FALSE), 1)</f>
        <v>2.4062269484036541E-2</v>
      </c>
      <c r="Y7" s="7">
        <f>$B7 * IFERROR(VLOOKUP("LULUCF|SO2|Asthma symptoms shortness of breath", US_national_yearly!$D:$AM, 33, FALSE) / VLOOKUP("LULUCF|SO2|Asthma symptoms shortness of breath", US_national_yearly!$D:$AM, 10, FALSE), 1)</f>
        <v>2.4062269484036541E-2</v>
      </c>
      <c r="Z7" s="7">
        <f>$B7 * IFERROR(VLOOKUP("LULUCF|SO2|Asthma symptoms shortness of breath", US_national_yearly!$D:$AM, 34, FALSE) / VLOOKUP("LULUCF|SO2|Asthma symptoms shortness of breath", US_national_yearly!$D:$AM, 10, FALSE), 1)</f>
        <v>2.4062269484036541E-2</v>
      </c>
      <c r="AA7" s="7">
        <f>$B7 * IFERROR(VLOOKUP("LULUCF|SO2|Asthma symptoms shortness of breath", US_national_yearly!$D:$AM, 35, FALSE) / VLOOKUP("LULUCF|SO2|Asthma symptoms shortness of breath", US_national_yearly!$D:$AM, 10, FALSE), 1)</f>
        <v>2.4062269484036541E-2</v>
      </c>
      <c r="AB7" s="7">
        <f>$B7 * IFERROR(VLOOKUP("LULUCF|SO2|Asthma symptoms shortness of breath", US_national_yearly!$D:$AM, 36, FALSE) / VLOOKUP("LULUCF|SO2|Asthma symptoms shortness of breath", US_national_yearly!$D:$AM, 10, FALSE), 1)</f>
        <v>2.4062269484036541E-2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3.676544704459489E-2</v>
      </c>
      <c r="C8" s="7">
        <f>$B8 * IFERROR(VLOOKUP("LULUCF|SO2|Asthma symptoms wheeze", US_national_yearly!$D:$AM, 11, FALSE) / VLOOKUP("LULUCF|SO2|Asthma symptoms wheeze", US_national_yearly!$D:$AM, 10, FALSE), 1)</f>
        <v>3.676544704459489E-2</v>
      </c>
      <c r="D8" s="7">
        <f>$B8 * IFERROR(VLOOKUP("LULUCF|SO2|Asthma symptoms wheeze", US_national_yearly!$D:$AM, 12, FALSE) / VLOOKUP("LULUCF|SO2|Asthma symptoms wheeze", US_national_yearly!$D:$AM, 10, FALSE), 1)</f>
        <v>3.676544704459489E-2</v>
      </c>
      <c r="E8" s="7">
        <f>$B8 * IFERROR(VLOOKUP("LULUCF|SO2|Asthma symptoms wheeze", US_national_yearly!$D:$AM, 13, FALSE) / VLOOKUP("LULUCF|SO2|Asthma symptoms wheeze", US_national_yearly!$D:$AM, 10, FALSE), 1)</f>
        <v>3.676544704459489E-2</v>
      </c>
      <c r="F8" s="7">
        <f>$B8 * IFERROR(VLOOKUP("LULUCF|SO2|Asthma symptoms wheeze", US_national_yearly!$D:$AM, 14, FALSE) / VLOOKUP("LULUCF|SO2|Asthma symptoms wheeze", US_national_yearly!$D:$AM, 10, FALSE), 1)</f>
        <v>3.676544704459489E-2</v>
      </c>
      <c r="G8" s="7">
        <f>$B8 * IFERROR(VLOOKUP("LULUCF|SO2|Asthma symptoms wheeze", US_national_yearly!$D:$AM, 15, FALSE) / VLOOKUP("LULUCF|SO2|Asthma symptoms wheeze", US_national_yearly!$D:$AM, 10, FALSE), 1)</f>
        <v>3.676544704459489E-2</v>
      </c>
      <c r="H8" s="7">
        <f>$B8 * IFERROR(VLOOKUP("LULUCF|SO2|Asthma symptoms wheeze", US_national_yearly!$D:$AM, 16, FALSE) / VLOOKUP("LULUCF|SO2|Asthma symptoms wheeze", US_national_yearly!$D:$AM, 10, FALSE), 1)</f>
        <v>3.676544704459489E-2</v>
      </c>
      <c r="I8" s="7">
        <f>$B8 * IFERROR(VLOOKUP("LULUCF|SO2|Asthma symptoms wheeze", US_national_yearly!$D:$AM, 17, FALSE) / VLOOKUP("LULUCF|SO2|Asthma symptoms wheeze", US_national_yearly!$D:$AM, 10, FALSE), 1)</f>
        <v>3.676544704459489E-2</v>
      </c>
      <c r="J8" s="7">
        <f>$B8 * IFERROR(VLOOKUP("LULUCF|SO2|Asthma symptoms wheeze", US_national_yearly!$D:$AM, 18, FALSE) / VLOOKUP("LULUCF|SO2|Asthma symptoms wheeze", US_national_yearly!$D:$AM, 10, FALSE), 1)</f>
        <v>3.676544704459489E-2</v>
      </c>
      <c r="K8" s="7">
        <f>$B8 * IFERROR(VLOOKUP("LULUCF|SO2|Asthma symptoms wheeze", US_national_yearly!$D:$AM, 19, FALSE) / VLOOKUP("LULUCF|SO2|Asthma symptoms wheeze", US_national_yearly!$D:$AM, 10, FALSE), 1)</f>
        <v>3.676544704459489E-2</v>
      </c>
      <c r="L8" s="7">
        <f>$B8 * IFERROR(VLOOKUP("LULUCF|SO2|Asthma symptoms wheeze", US_national_yearly!$D:$AM, 20, FALSE) / VLOOKUP("LULUCF|SO2|Asthma symptoms wheeze", US_national_yearly!$D:$AM, 10, FALSE), 1)</f>
        <v>3.676544704459489E-2</v>
      </c>
      <c r="M8" s="7">
        <f>$B8 * IFERROR(VLOOKUP("LULUCF|SO2|Asthma symptoms wheeze", US_national_yearly!$D:$AM, 21, FALSE) / VLOOKUP("LULUCF|SO2|Asthma symptoms wheeze", US_national_yearly!$D:$AM, 10, FALSE), 1)</f>
        <v>3.676544704459489E-2</v>
      </c>
      <c r="N8" s="7">
        <f>$B8 * IFERROR(VLOOKUP("LULUCF|SO2|Asthma symptoms wheeze", US_national_yearly!$D:$AM, 22, FALSE) / VLOOKUP("LULUCF|SO2|Asthma symptoms wheeze", US_national_yearly!$D:$AM, 10, FALSE), 1)</f>
        <v>3.676544704459489E-2</v>
      </c>
      <c r="O8" s="7">
        <f>$B8 * IFERROR(VLOOKUP("LULUCF|SO2|Asthma symptoms wheeze", US_national_yearly!$D:$AM, 23, FALSE) / VLOOKUP("LULUCF|SO2|Asthma symptoms wheeze", US_national_yearly!$D:$AM, 10, FALSE), 1)</f>
        <v>3.676544704459489E-2</v>
      </c>
      <c r="P8" s="7">
        <f>$B8 * IFERROR(VLOOKUP("LULUCF|SO2|Asthma symptoms wheeze", US_national_yearly!$D:$AM, 24, FALSE) / VLOOKUP("LULUCF|SO2|Asthma symptoms wheeze", US_national_yearly!$D:$AM, 10, FALSE), 1)</f>
        <v>3.676544704459489E-2</v>
      </c>
      <c r="Q8" s="7">
        <f>$B8 * IFERROR(VLOOKUP("LULUCF|SO2|Asthma symptoms wheeze", US_national_yearly!$D:$AM, 25, FALSE) / VLOOKUP("LULUCF|SO2|Asthma symptoms wheeze", US_national_yearly!$D:$AM, 10, FALSE), 1)</f>
        <v>3.676544704459489E-2</v>
      </c>
      <c r="R8" s="7">
        <f>$B8 * IFERROR(VLOOKUP("LULUCF|SO2|Asthma symptoms wheeze", US_national_yearly!$D:$AM, 26, FALSE) / VLOOKUP("LULUCF|SO2|Asthma symptoms wheeze", US_national_yearly!$D:$AM, 10, FALSE), 1)</f>
        <v>3.676544704459489E-2</v>
      </c>
      <c r="S8" s="7">
        <f>$B8 * IFERROR(VLOOKUP("LULUCF|SO2|Asthma symptoms wheeze", US_national_yearly!$D:$AM, 27, FALSE) / VLOOKUP("LULUCF|SO2|Asthma symptoms wheeze", US_national_yearly!$D:$AM, 10, FALSE), 1)</f>
        <v>3.676544704459489E-2</v>
      </c>
      <c r="T8" s="7">
        <f>$B8 * IFERROR(VLOOKUP("LULUCF|SO2|Asthma symptoms wheeze", US_national_yearly!$D:$AM, 28, FALSE) / VLOOKUP("LULUCF|SO2|Asthma symptoms wheeze", US_national_yearly!$D:$AM, 10, FALSE), 1)</f>
        <v>3.676544704459489E-2</v>
      </c>
      <c r="U8" s="7">
        <f>$B8 * IFERROR(VLOOKUP("LULUCF|SO2|Asthma symptoms wheeze", US_national_yearly!$D:$AM, 29, FALSE) / VLOOKUP("LULUCF|SO2|Asthma symptoms wheeze", US_national_yearly!$D:$AM, 10, FALSE), 1)</f>
        <v>3.676544704459489E-2</v>
      </c>
      <c r="V8" s="7">
        <f>$B8 * IFERROR(VLOOKUP("LULUCF|SO2|Asthma symptoms wheeze", US_national_yearly!$D:$AM, 30, FALSE) / VLOOKUP("LULUCF|SO2|Asthma symptoms wheeze", US_national_yearly!$D:$AM, 10, FALSE), 1)</f>
        <v>3.676544704459489E-2</v>
      </c>
      <c r="W8" s="7">
        <f>$B8 * IFERROR(VLOOKUP("LULUCF|SO2|Asthma symptoms wheeze", US_national_yearly!$D:$AM, 31, FALSE) / VLOOKUP("LULUCF|SO2|Asthma symptoms wheeze", US_national_yearly!$D:$AM, 10, FALSE), 1)</f>
        <v>3.676544704459489E-2</v>
      </c>
      <c r="X8" s="7">
        <f>$B8 * IFERROR(VLOOKUP("LULUCF|SO2|Asthma symptoms wheeze", US_national_yearly!$D:$AM, 32, FALSE) / VLOOKUP("LULUCF|SO2|Asthma symptoms wheeze", US_national_yearly!$D:$AM, 10, FALSE), 1)</f>
        <v>3.676544704459489E-2</v>
      </c>
      <c r="Y8" s="7">
        <f>$B8 * IFERROR(VLOOKUP("LULUCF|SO2|Asthma symptoms wheeze", US_national_yearly!$D:$AM, 33, FALSE) / VLOOKUP("LULUCF|SO2|Asthma symptoms wheeze", US_national_yearly!$D:$AM, 10, FALSE), 1)</f>
        <v>3.676544704459489E-2</v>
      </c>
      <c r="Z8" s="7">
        <f>$B8 * IFERROR(VLOOKUP("LULUCF|SO2|Asthma symptoms wheeze", US_national_yearly!$D:$AM, 34, FALSE) / VLOOKUP("LULUCF|SO2|Asthma symptoms wheeze", US_national_yearly!$D:$AM, 10, FALSE), 1)</f>
        <v>3.676544704459489E-2</v>
      </c>
      <c r="AA8" s="7">
        <f>$B8 * IFERROR(VLOOKUP("LULUCF|SO2|Asthma symptoms wheeze", US_national_yearly!$D:$AM, 35, FALSE) / VLOOKUP("LULUCF|SO2|Asthma symptoms wheeze", US_national_yearly!$D:$AM, 10, FALSE), 1)</f>
        <v>3.676544704459489E-2</v>
      </c>
      <c r="AB8" s="7">
        <f>$B8 * IFERROR(VLOOKUP("LULUCF|SO2|Asthma symptoms wheeze", US_national_yearly!$D:$AM, 36, FALSE) / VLOOKUP("LULUCF|SO2|Asthma symptoms wheeze", US_national_yearly!$D:$AM, 10, FALSE), 1)</f>
        <v>3.676544704459489E-2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4.4471160180614152E-4</v>
      </c>
      <c r="C12" s="7">
        <f>$B12 * IFERROR(VLOOKUP("LULUCF|SO2|Respiratory hospital admissions", US_national_yearly!$D:$AM, 11, FALSE) / VLOOKUP("LULUCF|SO2|Respiratory hospital admissions", US_national_yearly!$D:$AM, 10, FALSE), 1)</f>
        <v>4.473345329334925E-4</v>
      </c>
      <c r="D12" s="7">
        <f>$B12 * IFERROR(VLOOKUP("LULUCF|SO2|Respiratory hospital admissions", US_national_yearly!$D:$AM, 12, FALSE) / VLOOKUP("LULUCF|SO2|Respiratory hospital admissions", US_national_yearly!$D:$AM, 10, FALSE), 1)</f>
        <v>4.4995746406084348E-4</v>
      </c>
      <c r="E12" s="7">
        <f>$B12 * IFERROR(VLOOKUP("LULUCF|SO2|Respiratory hospital admissions", US_national_yearly!$D:$AM, 13, FALSE) / VLOOKUP("LULUCF|SO2|Respiratory hospital admissions", US_national_yearly!$D:$AM, 10, FALSE), 1)</f>
        <v>4.5258039518819446E-4</v>
      </c>
      <c r="F12" s="7">
        <f>$B12 * IFERROR(VLOOKUP("LULUCF|SO2|Respiratory hospital admissions", US_national_yearly!$D:$AM, 14, FALSE) / VLOOKUP("LULUCF|SO2|Respiratory hospital admissions", US_national_yearly!$D:$AM, 10, FALSE), 1)</f>
        <v>4.5520332631554544E-4</v>
      </c>
      <c r="G12" s="7">
        <f>$B12 * IFERROR(VLOOKUP("LULUCF|SO2|Respiratory hospital admissions", US_national_yearly!$D:$AM, 15, FALSE) / VLOOKUP("LULUCF|SO2|Respiratory hospital admissions", US_national_yearly!$D:$AM, 10, FALSE), 1)</f>
        <v>4.5806276365676035E-4</v>
      </c>
      <c r="H12" s="7">
        <f>$B12 * IFERROR(VLOOKUP("LULUCF|SO2|Respiratory hospital admissions", US_national_yearly!$D:$AM, 16, FALSE) / VLOOKUP("LULUCF|SO2|Respiratory hospital admissions", US_national_yearly!$D:$AM, 10, FALSE), 1)</f>
        <v>4.6092220099797527E-4</v>
      </c>
      <c r="I12" s="7">
        <f>$B12 * IFERROR(VLOOKUP("LULUCF|SO2|Respiratory hospital admissions", US_national_yearly!$D:$AM, 17, FALSE) / VLOOKUP("LULUCF|SO2|Respiratory hospital admissions", US_national_yearly!$D:$AM, 10, FALSE), 1)</f>
        <v>4.6374194667283386E-4</v>
      </c>
      <c r="J12" s="7">
        <f>$B12 * IFERROR(VLOOKUP("LULUCF|SO2|Respiratory hospital admissions", US_national_yearly!$D:$AM, 18, FALSE) / VLOOKUP("LULUCF|SO2|Respiratory hospital admissions", US_national_yearly!$D:$AM, 10, FALSE), 1)</f>
        <v>4.6656169234769263E-4</v>
      </c>
      <c r="K12" s="7">
        <f>$B12 * IFERROR(VLOOKUP("LULUCF|SO2|Respiratory hospital admissions", US_national_yearly!$D:$AM, 19, FALSE) / VLOOKUP("LULUCF|SO2|Respiratory hospital admissions", US_national_yearly!$D:$AM, 10, FALSE), 1)</f>
        <v>4.6938143802255112E-4</v>
      </c>
      <c r="L12" s="7">
        <f>$B12 * IFERROR(VLOOKUP("LULUCF|SO2|Respiratory hospital admissions", US_national_yearly!$D:$AM, 20, FALSE) / VLOOKUP("LULUCF|SO2|Respiratory hospital admissions", US_national_yearly!$D:$AM, 10, FALSE), 1)</f>
        <v>4.7220118369740988E-4</v>
      </c>
      <c r="M12" s="7">
        <f>$B12 * IFERROR(VLOOKUP("LULUCF|SO2|Respiratory hospital admissions", US_national_yearly!$D:$AM, 21, FALSE) / VLOOKUP("LULUCF|SO2|Respiratory hospital admissions", US_national_yearly!$D:$AM, 10, FALSE), 1)</f>
        <v>4.7502092937226837E-4</v>
      </c>
      <c r="N12" s="7">
        <f>$B12 * IFERROR(VLOOKUP("LULUCF|SO2|Respiratory hospital admissions", US_national_yearly!$D:$AM, 22, FALSE) / VLOOKUP("LULUCF|SO2|Respiratory hospital admissions", US_national_yearly!$D:$AM, 10, FALSE), 1)</f>
        <v>4.7707925667332045E-4</v>
      </c>
      <c r="O12" s="7">
        <f>$B12 * IFERROR(VLOOKUP("LULUCF|SO2|Respiratory hospital admissions", US_national_yearly!$D:$AM, 23, FALSE) / VLOOKUP("LULUCF|SO2|Respiratory hospital admissions", US_national_yearly!$D:$AM, 10, FALSE), 1)</f>
        <v>4.7913758397437242E-4</v>
      </c>
      <c r="P12" s="7">
        <f>$B12 * IFERROR(VLOOKUP("LULUCF|SO2|Respiratory hospital admissions", US_national_yearly!$D:$AM, 24, FALSE) / VLOOKUP("LULUCF|SO2|Respiratory hospital admissions", US_national_yearly!$D:$AM, 10, FALSE), 1)</f>
        <v>4.8119591127542439E-4</v>
      </c>
      <c r="Q12" s="7">
        <f>$B12 * IFERROR(VLOOKUP("LULUCF|SO2|Respiratory hospital admissions", US_national_yearly!$D:$AM, 25, FALSE) / VLOOKUP("LULUCF|SO2|Respiratory hospital admissions", US_national_yearly!$D:$AM, 10, FALSE), 1)</f>
        <v>4.8325423857647646E-4</v>
      </c>
      <c r="R12" s="7">
        <f>$B12 * IFERROR(VLOOKUP("LULUCF|SO2|Respiratory hospital admissions", US_national_yearly!$D:$AM, 26, FALSE) / VLOOKUP("LULUCF|SO2|Respiratory hospital admissions", US_national_yearly!$D:$AM, 10, FALSE), 1)</f>
        <v>4.8531256587752849E-4</v>
      </c>
      <c r="S12" s="7">
        <f>$B12 * IFERROR(VLOOKUP("LULUCF|SO2|Respiratory hospital admissions", US_national_yearly!$D:$AM, 27, FALSE) / VLOOKUP("LULUCF|SO2|Respiratory hospital admissions", US_national_yearly!$D:$AM, 10, FALSE), 1)</f>
        <v>4.8727605306792731E-4</v>
      </c>
      <c r="T12" s="7">
        <f>$B12 * IFERROR(VLOOKUP("LULUCF|SO2|Respiratory hospital admissions", US_national_yearly!$D:$AM, 28, FALSE) / VLOOKUP("LULUCF|SO2|Respiratory hospital admissions", US_national_yearly!$D:$AM, 10, FALSE), 1)</f>
        <v>4.8923954025832596E-4</v>
      </c>
      <c r="U12" s="7">
        <f>$B12 * IFERROR(VLOOKUP("LULUCF|SO2|Respiratory hospital admissions", US_national_yearly!$D:$AM, 29, FALSE) / VLOOKUP("LULUCF|SO2|Respiratory hospital admissions", US_national_yearly!$D:$AM, 10, FALSE), 1)</f>
        <v>4.9120302744872478E-4</v>
      </c>
      <c r="V12" s="7">
        <f>$B12 * IFERROR(VLOOKUP("LULUCF|SO2|Respiratory hospital admissions", US_national_yearly!$D:$AM, 30, FALSE) / VLOOKUP("LULUCF|SO2|Respiratory hospital admissions", US_national_yearly!$D:$AM, 10, FALSE), 1)</f>
        <v>4.9316651463912359E-4</v>
      </c>
      <c r="W12" s="7">
        <f>$B12 * IFERROR(VLOOKUP("LULUCF|SO2|Respiratory hospital admissions", US_national_yearly!$D:$AM, 31, FALSE) / VLOOKUP("LULUCF|SO2|Respiratory hospital admissions", US_national_yearly!$D:$AM, 10, FALSE), 1)</f>
        <v>4.9513000182952241E-4</v>
      </c>
      <c r="X12" s="7">
        <f>$B12 * IFERROR(VLOOKUP("LULUCF|SO2|Respiratory hospital admissions", US_national_yearly!$D:$AM, 32, FALSE) / VLOOKUP("LULUCF|SO2|Respiratory hospital admissions", US_national_yearly!$D:$AM, 10, FALSE), 1)</f>
        <v>4.9699302880692412E-4</v>
      </c>
      <c r="Y12" s="7">
        <f>$B12 * IFERROR(VLOOKUP("LULUCF|SO2|Respiratory hospital admissions", US_national_yearly!$D:$AM, 33, FALSE) / VLOOKUP("LULUCF|SO2|Respiratory hospital admissions", US_national_yearly!$D:$AM, 10, FALSE), 1)</f>
        <v>4.9885605578432572E-4</v>
      </c>
      <c r="Z12" s="7">
        <f>$B12 * IFERROR(VLOOKUP("LULUCF|SO2|Respiratory hospital admissions", US_national_yearly!$D:$AM, 34, FALSE) / VLOOKUP("LULUCF|SO2|Respiratory hospital admissions", US_national_yearly!$D:$AM, 10, FALSE), 1)</f>
        <v>5.0071908276172743E-4</v>
      </c>
      <c r="AA12" s="7">
        <f>$B12 * IFERROR(VLOOKUP("LULUCF|SO2|Respiratory hospital admissions", US_national_yearly!$D:$AM, 35, FALSE) / VLOOKUP("LULUCF|SO2|Respiratory hospital admissions", US_national_yearly!$D:$AM, 10, FALSE), 1)</f>
        <v>5.0258210973912903E-4</v>
      </c>
      <c r="AB12" s="7">
        <f>$B12 * IFERROR(VLOOKUP("LULUCF|SO2|Respiratory hospital admissions", US_national_yearly!$D:$AM, 36, FALSE) / VLOOKUP("LULUCF|SO2|Respiratory hospital admissions", US_national_yearly!$D:$AM, 10, FALSE), 1)</f>
        <v>5.0444513671653074E-4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1.2857157364591868E-3</v>
      </c>
      <c r="C13" s="7">
        <f>$B13 * IFERROR(VLOOKUP("LULUCF|SO2|Non-fatal heart attacks", US_national_yearly!$D:$AM, 11, FALSE) / VLOOKUP("LULUCF|SO2|Non-fatal heart attacks", US_national_yearly!$D:$AM, 10, FALSE), 1)</f>
        <v>1.3234596805060154E-3</v>
      </c>
      <c r="D13" s="7">
        <f>$B13 * IFERROR(VLOOKUP("LULUCF|SO2|Non-fatal heart attacks", US_national_yearly!$D:$AM, 12, FALSE) / VLOOKUP("LULUCF|SO2|Non-fatal heart attacks", US_national_yearly!$D:$AM, 10, FALSE), 1)</f>
        <v>1.361203624552844E-3</v>
      </c>
      <c r="E13" s="7">
        <f>$B13 * IFERROR(VLOOKUP("LULUCF|SO2|Non-fatal heart attacks", US_national_yearly!$D:$AM, 13, FALSE) / VLOOKUP("LULUCF|SO2|Non-fatal heart attacks", US_national_yearly!$D:$AM, 10, FALSE), 1)</f>
        <v>1.3989475685996723E-3</v>
      </c>
      <c r="F13" s="7">
        <f>$B13 * IFERROR(VLOOKUP("LULUCF|SO2|Non-fatal heart attacks", US_national_yearly!$D:$AM, 14, FALSE) / VLOOKUP("LULUCF|SO2|Non-fatal heart attacks", US_national_yearly!$D:$AM, 10, FALSE), 1)</f>
        <v>1.4366915126465007E-3</v>
      </c>
      <c r="G13" s="7">
        <f>$B13 * IFERROR(VLOOKUP("LULUCF|SO2|Non-fatal heart attacks", US_national_yearly!$D:$AM, 15, FALSE) / VLOOKUP("LULUCF|SO2|Non-fatal heart attacks", US_national_yearly!$D:$AM, 10, FALSE), 1)</f>
        <v>1.4722875528473437E-3</v>
      </c>
      <c r="H13" s="7">
        <f>$B13 * IFERROR(VLOOKUP("LULUCF|SO2|Non-fatal heart attacks", US_national_yearly!$D:$AM, 16, FALSE) / VLOOKUP("LULUCF|SO2|Non-fatal heart attacks", US_national_yearly!$D:$AM, 10, FALSE), 1)</f>
        <v>1.5078835930481867E-3</v>
      </c>
      <c r="I13" s="7">
        <f>$B13 * IFERROR(VLOOKUP("LULUCF|SO2|Non-fatal heart attacks", US_national_yearly!$D:$AM, 17, FALSE) / VLOOKUP("LULUCF|SO2|Non-fatal heart attacks", US_national_yearly!$D:$AM, 10, FALSE), 1)</f>
        <v>1.5365272465673483E-3</v>
      </c>
      <c r="J13" s="7">
        <f>$B13 * IFERROR(VLOOKUP("LULUCF|SO2|Non-fatal heart attacks", US_national_yearly!$D:$AM, 18, FALSE) / VLOOKUP("LULUCF|SO2|Non-fatal heart attacks", US_national_yearly!$D:$AM, 10, FALSE), 1)</f>
        <v>1.5651709000865099E-3</v>
      </c>
      <c r="K13" s="7">
        <f>$B13 * IFERROR(VLOOKUP("LULUCF|SO2|Non-fatal heart attacks", US_national_yearly!$D:$AM, 19, FALSE) / VLOOKUP("LULUCF|SO2|Non-fatal heart attacks", US_national_yearly!$D:$AM, 10, FALSE), 1)</f>
        <v>1.5938145536056713E-3</v>
      </c>
      <c r="L13" s="7">
        <f>$B13 * IFERROR(VLOOKUP("LULUCF|SO2|Non-fatal heart attacks", US_national_yearly!$D:$AM, 20, FALSE) / VLOOKUP("LULUCF|SO2|Non-fatal heart attacks", US_national_yearly!$D:$AM, 10, FALSE), 1)</f>
        <v>1.6224582071248334E-3</v>
      </c>
      <c r="M13" s="7">
        <f>$B13 * IFERROR(VLOOKUP("LULUCF|SO2|Non-fatal heart attacks", US_national_yearly!$D:$AM, 21, FALSE) / VLOOKUP("LULUCF|SO2|Non-fatal heart attacks", US_national_yearly!$D:$AM, 10, FALSE), 1)</f>
        <v>1.6511018606439952E-3</v>
      </c>
      <c r="N13" s="7">
        <f>$B13 * IFERROR(VLOOKUP("LULUCF|SO2|Non-fatal heart attacks", US_national_yearly!$D:$AM, 22, FALSE) / VLOOKUP("LULUCF|SO2|Non-fatal heart attacks", US_national_yearly!$D:$AM, 10, FALSE), 1)</f>
        <v>1.6697005309352347E-3</v>
      </c>
      <c r="O13" s="7">
        <f>$B13 * IFERROR(VLOOKUP("LULUCF|SO2|Non-fatal heart attacks", US_national_yearly!$D:$AM, 23, FALSE) / VLOOKUP("LULUCF|SO2|Non-fatal heart attacks", US_national_yearly!$D:$AM, 10, FALSE), 1)</f>
        <v>1.6882992012264748E-3</v>
      </c>
      <c r="P13" s="7">
        <f>$B13 * IFERROR(VLOOKUP("LULUCF|SO2|Non-fatal heart attacks", US_national_yearly!$D:$AM, 24, FALSE) / VLOOKUP("LULUCF|SO2|Non-fatal heart attacks", US_national_yearly!$D:$AM, 10, FALSE), 1)</f>
        <v>1.706897871517715E-3</v>
      </c>
      <c r="Q13" s="7">
        <f>$B13 * IFERROR(VLOOKUP("LULUCF|SO2|Non-fatal heart attacks", US_national_yearly!$D:$AM, 25, FALSE) / VLOOKUP("LULUCF|SO2|Non-fatal heart attacks", US_national_yearly!$D:$AM, 10, FALSE), 1)</f>
        <v>1.7254965418089547E-3</v>
      </c>
      <c r="R13" s="7">
        <f>$B13 * IFERROR(VLOOKUP("LULUCF|SO2|Non-fatal heart attacks", US_national_yearly!$D:$AM, 26, FALSE) / VLOOKUP("LULUCF|SO2|Non-fatal heart attacks", US_national_yearly!$D:$AM, 10, FALSE), 1)</f>
        <v>1.7440952121001946E-3</v>
      </c>
      <c r="S13" s="7">
        <f>$B13 * IFERROR(VLOOKUP("LULUCF|SO2|Non-fatal heart attacks", US_national_yearly!$D:$AM, 27, FALSE) / VLOOKUP("LULUCF|SO2|Non-fatal heart attacks", US_national_yearly!$D:$AM, 10, FALSE), 1)</f>
        <v>1.753805473245654E-3</v>
      </c>
      <c r="T13" s="7">
        <f>$B13 * IFERROR(VLOOKUP("LULUCF|SO2|Non-fatal heart attacks", US_national_yearly!$D:$AM, 28, FALSE) / VLOOKUP("LULUCF|SO2|Non-fatal heart attacks", US_national_yearly!$D:$AM, 10, FALSE), 1)</f>
        <v>1.7635157343911135E-3</v>
      </c>
      <c r="U13" s="7">
        <f>$B13 * IFERROR(VLOOKUP("LULUCF|SO2|Non-fatal heart attacks", US_national_yearly!$D:$AM, 29, FALSE) / VLOOKUP("LULUCF|SO2|Non-fatal heart attacks", US_national_yearly!$D:$AM, 10, FALSE), 1)</f>
        <v>1.7732259955365727E-3</v>
      </c>
      <c r="V13" s="7">
        <f>$B13 * IFERROR(VLOOKUP("LULUCF|SO2|Non-fatal heart attacks", US_national_yearly!$D:$AM, 30, FALSE) / VLOOKUP("LULUCF|SO2|Non-fatal heart attacks", US_national_yearly!$D:$AM, 10, FALSE), 1)</f>
        <v>1.7829362566820319E-3</v>
      </c>
      <c r="W13" s="7">
        <f>$B13 * IFERROR(VLOOKUP("LULUCF|SO2|Non-fatal heart attacks", US_national_yearly!$D:$AM, 31, FALSE) / VLOOKUP("LULUCF|SO2|Non-fatal heart attacks", US_national_yearly!$D:$AM, 10, FALSE), 1)</f>
        <v>1.7926465178274918E-3</v>
      </c>
      <c r="X13" s="7">
        <f>$B13 * IFERROR(VLOOKUP("LULUCF|SO2|Non-fatal heart attacks", US_national_yearly!$D:$AM, 32, FALSE) / VLOOKUP("LULUCF|SO2|Non-fatal heart attacks", US_national_yearly!$D:$AM, 10, FALSE), 1)</f>
        <v>1.7999769155983751E-3</v>
      </c>
      <c r="Y13" s="7">
        <f>$B13 * IFERROR(VLOOKUP("LULUCF|SO2|Non-fatal heart attacks", US_national_yearly!$D:$AM, 33, FALSE) / VLOOKUP("LULUCF|SO2|Non-fatal heart attacks", US_national_yearly!$D:$AM, 10, FALSE), 1)</f>
        <v>1.8073073133692587E-3</v>
      </c>
      <c r="Z13" s="7">
        <f>$B13 * IFERROR(VLOOKUP("LULUCF|SO2|Non-fatal heart attacks", US_national_yearly!$D:$AM, 34, FALSE) / VLOOKUP("LULUCF|SO2|Non-fatal heart attacks", US_national_yearly!$D:$AM, 10, FALSE), 1)</f>
        <v>1.814637711140142E-3</v>
      </c>
      <c r="AA13" s="7">
        <f>$B13 * IFERROR(VLOOKUP("LULUCF|SO2|Non-fatal heart attacks", US_national_yearly!$D:$AM, 35, FALSE) / VLOOKUP("LULUCF|SO2|Non-fatal heart attacks", US_national_yearly!$D:$AM, 10, FALSE), 1)</f>
        <v>1.8219681089110256E-3</v>
      </c>
      <c r="AB13" s="7">
        <f>$B13 * IFERROR(VLOOKUP("LULUCF|SO2|Non-fatal heart attacks", US_national_yearly!$D:$AM, 36, FALSE) / VLOOKUP("LULUCF|SO2|Non-fatal heart attacks", US_national_yearly!$D:$AM, 10, FALSE), 1)</f>
        <v>1.8292985066819089E-3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2.2813136784238304</v>
      </c>
      <c r="C14" s="7">
        <f>$B14 * IFERROR(VLOOKUP("LULUCF|SO2|Minor restricted activity days", US_national_yearly!$D:$AM, 11, FALSE) / VLOOKUP("LULUCF|SO2|Minor restricted activity days", US_national_yearly!$D:$AM, 10, FALSE), 1)</f>
        <v>2.2870641100909341</v>
      </c>
      <c r="D14" s="7">
        <f>$B14 * IFERROR(VLOOKUP("LULUCF|SO2|Minor restricted activity days", US_national_yearly!$D:$AM, 12, FALSE) / VLOOKUP("LULUCF|SO2|Minor restricted activity days", US_national_yearly!$D:$AM, 10, FALSE), 1)</f>
        <v>2.2928145417580374</v>
      </c>
      <c r="E14" s="7">
        <f>$B14 * IFERROR(VLOOKUP("LULUCF|SO2|Minor restricted activity days", US_national_yearly!$D:$AM, 13, FALSE) / VLOOKUP("LULUCF|SO2|Minor restricted activity days", US_national_yearly!$D:$AM, 10, FALSE), 1)</f>
        <v>2.2985649734251412</v>
      </c>
      <c r="F14" s="7">
        <f>$B14 * IFERROR(VLOOKUP("LULUCF|SO2|Minor restricted activity days", US_national_yearly!$D:$AM, 14, FALSE) / VLOOKUP("LULUCF|SO2|Minor restricted activity days", US_national_yearly!$D:$AM, 10, FALSE), 1)</f>
        <v>2.3043154050922445</v>
      </c>
      <c r="G14" s="7">
        <f>$B14 * IFERROR(VLOOKUP("LULUCF|SO2|Minor restricted activity days", US_national_yearly!$D:$AM, 15, FALSE) / VLOOKUP("LULUCF|SO2|Minor restricted activity days", US_national_yearly!$D:$AM, 10, FALSE), 1)</f>
        <v>2.3127794755806597</v>
      </c>
      <c r="H14" s="7">
        <f>$B14 * IFERROR(VLOOKUP("LULUCF|SO2|Minor restricted activity days", US_national_yearly!$D:$AM, 16, FALSE) / VLOOKUP("LULUCF|SO2|Minor restricted activity days", US_national_yearly!$D:$AM, 10, FALSE), 1)</f>
        <v>2.3212435460690748</v>
      </c>
      <c r="I14" s="7">
        <f>$B14 * IFERROR(VLOOKUP("LULUCF|SO2|Minor restricted activity days", US_national_yearly!$D:$AM, 17, FALSE) / VLOOKUP("LULUCF|SO2|Minor restricted activity days", US_national_yearly!$D:$AM, 10, FALSE), 1)</f>
        <v>2.3356782293432619</v>
      </c>
      <c r="J14" s="7">
        <f>$B14 * IFERROR(VLOOKUP("LULUCF|SO2|Minor restricted activity days", US_national_yearly!$D:$AM, 18, FALSE) / VLOOKUP("LULUCF|SO2|Minor restricted activity days", US_national_yearly!$D:$AM, 10, FALSE), 1)</f>
        <v>2.3501129126174489</v>
      </c>
      <c r="K14" s="7">
        <f>$B14 * IFERROR(VLOOKUP("LULUCF|SO2|Minor restricted activity days", US_national_yearly!$D:$AM, 19, FALSE) / VLOOKUP("LULUCF|SO2|Minor restricted activity days", US_national_yearly!$D:$AM, 10, FALSE), 1)</f>
        <v>2.3645475958916364</v>
      </c>
      <c r="L14" s="7">
        <f>$B14 * IFERROR(VLOOKUP("LULUCF|SO2|Minor restricted activity days", US_national_yearly!$D:$AM, 20, FALSE) / VLOOKUP("LULUCF|SO2|Minor restricted activity days", US_national_yearly!$D:$AM, 10, FALSE), 1)</f>
        <v>2.3789822791658235</v>
      </c>
      <c r="M14" s="7">
        <f>$B14 * IFERROR(VLOOKUP("LULUCF|SO2|Minor restricted activity days", US_national_yearly!$D:$AM, 21, FALSE) / VLOOKUP("LULUCF|SO2|Minor restricted activity days", US_national_yearly!$D:$AM, 10, FALSE), 1)</f>
        <v>2.3934169624400101</v>
      </c>
      <c r="N14" s="7">
        <f>$B14 * IFERROR(VLOOKUP("LULUCF|SO2|Minor restricted activity days", US_national_yearly!$D:$AM, 22, FALSE) / VLOOKUP("LULUCF|SO2|Minor restricted activity days", US_national_yearly!$D:$AM, 10, FALSE), 1)</f>
        <v>2.4131612929845665</v>
      </c>
      <c r="O14" s="7">
        <f>$B14 * IFERROR(VLOOKUP("LULUCF|SO2|Minor restricted activity days", US_national_yearly!$D:$AM, 23, FALSE) / VLOOKUP("LULUCF|SO2|Minor restricted activity days", US_national_yearly!$D:$AM, 10, FALSE), 1)</f>
        <v>2.4329056235291229</v>
      </c>
      <c r="P14" s="7">
        <f>$B14 * IFERROR(VLOOKUP("LULUCF|SO2|Minor restricted activity days", US_national_yearly!$D:$AM, 24, FALSE) / VLOOKUP("LULUCF|SO2|Minor restricted activity days", US_national_yearly!$D:$AM, 10, FALSE), 1)</f>
        <v>2.4526499540736788</v>
      </c>
      <c r="Q14" s="7">
        <f>$B14 * IFERROR(VLOOKUP("LULUCF|SO2|Minor restricted activity days", US_national_yearly!$D:$AM, 25, FALSE) / VLOOKUP("LULUCF|SO2|Minor restricted activity days", US_national_yearly!$D:$AM, 10, FALSE), 1)</f>
        <v>2.4723942846182352</v>
      </c>
      <c r="R14" s="7">
        <f>$B14 * IFERROR(VLOOKUP("LULUCF|SO2|Minor restricted activity days", US_national_yearly!$D:$AM, 26, FALSE) / VLOOKUP("LULUCF|SO2|Minor restricted activity days", US_national_yearly!$D:$AM, 10, FALSE), 1)</f>
        <v>2.4921386151627916</v>
      </c>
      <c r="S14" s="7">
        <f>$B14 * IFERROR(VLOOKUP("LULUCF|SO2|Minor restricted activity days", US_national_yearly!$D:$AM, 27, FALSE) / VLOOKUP("LULUCF|SO2|Minor restricted activity days", US_national_yearly!$D:$AM, 10, FALSE), 1)</f>
        <v>2.5122698926080909</v>
      </c>
      <c r="T14" s="7">
        <f>$B14 * IFERROR(VLOOKUP("LULUCF|SO2|Minor restricted activity days", US_national_yearly!$D:$AM, 28, FALSE) / VLOOKUP("LULUCF|SO2|Minor restricted activity days", US_national_yearly!$D:$AM, 10, FALSE), 1)</f>
        <v>2.5324011700533906</v>
      </c>
      <c r="U14" s="7">
        <f>$B14 * IFERROR(VLOOKUP("LULUCF|SO2|Minor restricted activity days", US_national_yearly!$D:$AM, 29, FALSE) / VLOOKUP("LULUCF|SO2|Minor restricted activity days", US_national_yearly!$D:$AM, 10, FALSE), 1)</f>
        <v>2.5525324474986899</v>
      </c>
      <c r="V14" s="7">
        <f>$B14 * IFERROR(VLOOKUP("LULUCF|SO2|Minor restricted activity days", US_national_yearly!$D:$AM, 30, FALSE) / VLOOKUP("LULUCF|SO2|Minor restricted activity days", US_national_yearly!$D:$AM, 10, FALSE), 1)</f>
        <v>2.5726637249439896</v>
      </c>
      <c r="W14" s="7">
        <f>$B14 * IFERROR(VLOOKUP("LULUCF|SO2|Minor restricted activity days", US_national_yearly!$D:$AM, 31, FALSE) / VLOOKUP("LULUCF|SO2|Minor restricted activity days", US_national_yearly!$D:$AM, 10, FALSE), 1)</f>
        <v>2.5927950023892898</v>
      </c>
      <c r="X14" s="7">
        <f>$B14 * IFERROR(VLOOKUP("LULUCF|SO2|Minor restricted activity days", US_national_yearly!$D:$AM, 32, FALSE) / VLOOKUP("LULUCF|SO2|Minor restricted activity days", US_national_yearly!$D:$AM, 10, FALSE), 1)</f>
        <v>2.610498856664758</v>
      </c>
      <c r="Y14" s="7">
        <f>$B14 * IFERROR(VLOOKUP("LULUCF|SO2|Minor restricted activity days", US_national_yearly!$D:$AM, 33, FALSE) / VLOOKUP("LULUCF|SO2|Minor restricted activity days", US_national_yearly!$D:$AM, 10, FALSE), 1)</f>
        <v>2.6282027109402266</v>
      </c>
      <c r="Z14" s="7">
        <f>$B14 * IFERROR(VLOOKUP("LULUCF|SO2|Minor restricted activity days", US_national_yearly!$D:$AM, 34, FALSE) / VLOOKUP("LULUCF|SO2|Minor restricted activity days", US_national_yearly!$D:$AM, 10, FALSE), 1)</f>
        <v>2.6459065652156957</v>
      </c>
      <c r="AA14" s="7">
        <f>$B14 * IFERROR(VLOOKUP("LULUCF|SO2|Minor restricted activity days", US_national_yearly!$D:$AM, 35, FALSE) / VLOOKUP("LULUCF|SO2|Minor restricted activity days", US_national_yearly!$D:$AM, 10, FALSE), 1)</f>
        <v>2.6636104194911643</v>
      </c>
      <c r="AB14" s="7">
        <f>$B14 * IFERROR(VLOOKUP("LULUCF|SO2|Minor restricted activity days", US_national_yearly!$D:$AM, 36, FALSE) / VLOOKUP("LULUCF|SO2|Minor restricted activity days", US_national_yearly!$D:$AM, 10, FALSE), 1)</f>
        <v>2.6813142737666333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0.38783167377129818</v>
      </c>
      <c r="C15" s="7">
        <f>$B15 * IFERROR(VLOOKUP("LULUCF|SO2|Work loss days", US_national_yearly!$D:$AM, 11, FALSE) / VLOOKUP("LULUCF|SO2|Work loss days", US_national_yearly!$D:$AM, 10, FALSE), 1)</f>
        <v>0.38908818675392504</v>
      </c>
      <c r="D15" s="7">
        <f>$B15 * IFERROR(VLOOKUP("LULUCF|SO2|Work loss days", US_national_yearly!$D:$AM, 12, FALSE) / VLOOKUP("LULUCF|SO2|Work loss days", US_national_yearly!$D:$AM, 10, FALSE), 1)</f>
        <v>0.39034469973655184</v>
      </c>
      <c r="E15" s="7">
        <f>$B15 * IFERROR(VLOOKUP("LULUCF|SO2|Work loss days", US_national_yearly!$D:$AM, 13, FALSE) / VLOOKUP("LULUCF|SO2|Work loss days", US_national_yearly!$D:$AM, 10, FALSE), 1)</f>
        <v>0.39160121271917869</v>
      </c>
      <c r="F15" s="7">
        <f>$B15 * IFERROR(VLOOKUP("LULUCF|SO2|Work loss days", US_national_yearly!$D:$AM, 14, FALSE) / VLOOKUP("LULUCF|SO2|Work loss days", US_national_yearly!$D:$AM, 10, FALSE), 1)</f>
        <v>0.39285772570180555</v>
      </c>
      <c r="G15" s="7">
        <f>$B15 * IFERROR(VLOOKUP("LULUCF|SO2|Work loss days", US_national_yearly!$D:$AM, 15, FALSE) / VLOOKUP("LULUCF|SO2|Work loss days", US_national_yearly!$D:$AM, 10, FALSE), 1)</f>
        <v>0.39449951365779756</v>
      </c>
      <c r="H15" s="7">
        <f>$B15 * IFERROR(VLOOKUP("LULUCF|SO2|Work loss days", US_national_yearly!$D:$AM, 16, FALSE) / VLOOKUP("LULUCF|SO2|Work loss days", US_national_yearly!$D:$AM, 10, FALSE), 1)</f>
        <v>0.39614130161378958</v>
      </c>
      <c r="I15" s="7">
        <f>$B15 * IFERROR(VLOOKUP("LULUCF|SO2|Work loss days", US_national_yearly!$D:$AM, 17, FALSE) / VLOOKUP("LULUCF|SO2|Work loss days", US_national_yearly!$D:$AM, 10, FALSE), 1)</f>
        <v>0.39854301699927303</v>
      </c>
      <c r="J15" s="7">
        <f>$B15 * IFERROR(VLOOKUP("LULUCF|SO2|Work loss days", US_national_yearly!$D:$AM, 18, FALSE) / VLOOKUP("LULUCF|SO2|Work loss days", US_national_yearly!$D:$AM, 10, FALSE), 1)</f>
        <v>0.40094473238475636</v>
      </c>
      <c r="K15" s="7">
        <f>$B15 * IFERROR(VLOOKUP("LULUCF|SO2|Work loss days", US_national_yearly!$D:$AM, 19, FALSE) / VLOOKUP("LULUCF|SO2|Work loss days", US_national_yearly!$D:$AM, 10, FALSE), 1)</f>
        <v>0.40334644777023987</v>
      </c>
      <c r="L15" s="7">
        <f>$B15 * IFERROR(VLOOKUP("LULUCF|SO2|Work loss days", US_national_yearly!$D:$AM, 20, FALSE) / VLOOKUP("LULUCF|SO2|Work loss days", US_national_yearly!$D:$AM, 10, FALSE), 1)</f>
        <v>0.40574816315572332</v>
      </c>
      <c r="M15" s="7">
        <f>$B15 * IFERROR(VLOOKUP("LULUCF|SO2|Work loss days", US_national_yearly!$D:$AM, 21, FALSE) / VLOOKUP("LULUCF|SO2|Work loss days", US_national_yearly!$D:$AM, 10, FALSE), 1)</f>
        <v>0.40814987854120677</v>
      </c>
      <c r="N15" s="7">
        <f>$B15 * IFERROR(VLOOKUP("LULUCF|SO2|Work loss days", US_national_yearly!$D:$AM, 22, FALSE) / VLOOKUP("LULUCF|SO2|Work loss days", US_national_yearly!$D:$AM, 10, FALSE), 1)</f>
        <v>0.41116124043523622</v>
      </c>
      <c r="O15" s="7">
        <f>$B15 * IFERROR(VLOOKUP("LULUCF|SO2|Work loss days", US_national_yearly!$D:$AM, 23, FALSE) / VLOOKUP("LULUCF|SO2|Work loss days", US_national_yearly!$D:$AM, 10, FALSE), 1)</f>
        <v>0.41417260232926573</v>
      </c>
      <c r="P15" s="7">
        <f>$B15 * IFERROR(VLOOKUP("LULUCF|SO2|Work loss days", US_national_yearly!$D:$AM, 24, FALSE) / VLOOKUP("LULUCF|SO2|Work loss days", US_national_yearly!$D:$AM, 10, FALSE), 1)</f>
        <v>0.41718396422329512</v>
      </c>
      <c r="Q15" s="7">
        <f>$B15 * IFERROR(VLOOKUP("LULUCF|SO2|Work loss days", US_national_yearly!$D:$AM, 25, FALSE) / VLOOKUP("LULUCF|SO2|Work loss days", US_national_yearly!$D:$AM, 10, FALSE), 1)</f>
        <v>0.42019532611732457</v>
      </c>
      <c r="R15" s="7">
        <f>$B15 * IFERROR(VLOOKUP("LULUCF|SO2|Work loss days", US_national_yearly!$D:$AM, 26, FALSE) / VLOOKUP("LULUCF|SO2|Work loss days", US_national_yearly!$D:$AM, 10, FALSE), 1)</f>
        <v>0.42320668801135408</v>
      </c>
      <c r="S15" s="7">
        <f>$B15 * IFERROR(VLOOKUP("LULUCF|SO2|Work loss days", US_national_yearly!$D:$AM, 27, FALSE) / VLOOKUP("LULUCF|SO2|Work loss days", US_national_yearly!$D:$AM, 10, FALSE), 1)</f>
        <v>0.42657187499959864</v>
      </c>
      <c r="T15" s="7">
        <f>$B15 * IFERROR(VLOOKUP("LULUCF|SO2|Work loss days", US_national_yearly!$D:$AM, 28, FALSE) / VLOOKUP("LULUCF|SO2|Work loss days", US_national_yearly!$D:$AM, 10, FALSE), 1)</f>
        <v>0.42993706198784326</v>
      </c>
      <c r="U15" s="7">
        <f>$B15 * IFERROR(VLOOKUP("LULUCF|SO2|Work loss days", US_national_yearly!$D:$AM, 29, FALSE) / VLOOKUP("LULUCF|SO2|Work loss days", US_national_yearly!$D:$AM, 10, FALSE), 1)</f>
        <v>0.43330224897608782</v>
      </c>
      <c r="V15" s="7">
        <f>$B15 * IFERROR(VLOOKUP("LULUCF|SO2|Work loss days", US_national_yearly!$D:$AM, 30, FALSE) / VLOOKUP("LULUCF|SO2|Work loss days", US_national_yearly!$D:$AM, 10, FALSE), 1)</f>
        <v>0.43666743596433238</v>
      </c>
      <c r="W15" s="7">
        <f>$B15 * IFERROR(VLOOKUP("LULUCF|SO2|Work loss days", US_national_yearly!$D:$AM, 31, FALSE) / VLOOKUP("LULUCF|SO2|Work loss days", US_national_yearly!$D:$AM, 10, FALSE), 1)</f>
        <v>0.44003262295257706</v>
      </c>
      <c r="X15" s="7">
        <f>$B15 * IFERROR(VLOOKUP("LULUCF|SO2|Work loss days", US_national_yearly!$D:$AM, 32, FALSE) / VLOOKUP("LULUCF|SO2|Work loss days", US_national_yearly!$D:$AM, 10, FALSE), 1)</f>
        <v>0.44305409702203613</v>
      </c>
      <c r="Y15" s="7">
        <f>$B15 * IFERROR(VLOOKUP("LULUCF|SO2|Work loss days", US_national_yearly!$D:$AM, 33, FALSE) / VLOOKUP("LULUCF|SO2|Work loss days", US_national_yearly!$D:$AM, 10, FALSE), 1)</f>
        <v>0.44607557109149526</v>
      </c>
      <c r="Z15" s="7">
        <f>$B15 * IFERROR(VLOOKUP("LULUCF|SO2|Work loss days", US_national_yearly!$D:$AM, 34, FALSE) / VLOOKUP("LULUCF|SO2|Work loss days", US_national_yearly!$D:$AM, 10, FALSE), 1)</f>
        <v>0.44909704516095439</v>
      </c>
      <c r="AA15" s="7">
        <f>$B15 * IFERROR(VLOOKUP("LULUCF|SO2|Work loss days", US_national_yearly!$D:$AM, 35, FALSE) / VLOOKUP("LULUCF|SO2|Work loss days", US_national_yearly!$D:$AM, 10, FALSE), 1)</f>
        <v>0.45211851923041352</v>
      </c>
      <c r="AB15" s="7">
        <f>$B15 * IFERROR(VLOOKUP("LULUCF|SO2|Work loss days", US_national_yearly!$D:$AM, 36, FALSE) / VLOOKUP("LULUCF|SO2|Work loss days", US_national_yearly!$D:$AM, 10, FALSE), 1)</f>
        <v>0.45513999329987265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4.7454935646033835E-4</v>
      </c>
      <c r="C17" s="7">
        <f>$B17 * IFERROR(VLOOKUP("LULUCF|SO2|Cardiovascular hospital admissions", US_national_yearly!$D:$AM, 11, FALSE) / VLOOKUP("LULUCF|SO2|Cardiovascular hospital admissions", US_national_yearly!$D:$AM, 10, FALSE), 1)</f>
        <v>4.8890154624933616E-4</v>
      </c>
      <c r="D17" s="7">
        <f>$B17 * IFERROR(VLOOKUP("LULUCF|SO2|Cardiovascular hospital admissions", US_national_yearly!$D:$AM, 12, FALSE) / VLOOKUP("LULUCF|SO2|Cardiovascular hospital admissions", US_national_yearly!$D:$AM, 10, FALSE), 1)</f>
        <v>5.0325373603833396E-4</v>
      </c>
      <c r="E17" s="7">
        <f>$B17 * IFERROR(VLOOKUP("LULUCF|SO2|Cardiovascular hospital admissions", US_national_yearly!$D:$AM, 13, FALSE) / VLOOKUP("LULUCF|SO2|Cardiovascular hospital admissions", US_national_yearly!$D:$AM, 10, FALSE), 1)</f>
        <v>5.1760592582733177E-4</v>
      </c>
      <c r="F17" s="7">
        <f>$B17 * IFERROR(VLOOKUP("LULUCF|SO2|Cardiovascular hospital admissions", US_national_yearly!$D:$AM, 14, FALSE) / VLOOKUP("LULUCF|SO2|Cardiovascular hospital admissions", US_national_yearly!$D:$AM, 10, FALSE), 1)</f>
        <v>5.3195811561632968E-4</v>
      </c>
      <c r="G17" s="7">
        <f>$B17 * IFERROR(VLOOKUP("LULUCF|SO2|Cardiovascular hospital admissions", US_national_yearly!$D:$AM, 15, FALSE) / VLOOKUP("LULUCF|SO2|Cardiovascular hospital admissions", US_national_yearly!$D:$AM, 10, FALSE), 1)</f>
        <v>5.4570614875424717E-4</v>
      </c>
      <c r="H17" s="7">
        <f>$B17 * IFERROR(VLOOKUP("LULUCF|SO2|Cardiovascular hospital admissions", US_national_yearly!$D:$AM, 16, FALSE) / VLOOKUP("LULUCF|SO2|Cardiovascular hospital admissions", US_national_yearly!$D:$AM, 10, FALSE), 1)</f>
        <v>5.5945418189216488E-4</v>
      </c>
      <c r="I17" s="7">
        <f>$B17 * IFERROR(VLOOKUP("LULUCF|SO2|Cardiovascular hospital admissions", US_national_yearly!$D:$AM, 17, FALSE) / VLOOKUP("LULUCF|SO2|Cardiovascular hospital admissions", US_national_yearly!$D:$AM, 10, FALSE), 1)</f>
        <v>5.7123356338611389E-4</v>
      </c>
      <c r="J17" s="7">
        <f>$B17 * IFERROR(VLOOKUP("LULUCF|SO2|Cardiovascular hospital admissions", US_national_yearly!$D:$AM, 18, FALSE) / VLOOKUP("LULUCF|SO2|Cardiovascular hospital admissions", US_national_yearly!$D:$AM, 10, FALSE), 1)</f>
        <v>5.8301294488006302E-4</v>
      </c>
      <c r="K17" s="7">
        <f>$B17 * IFERROR(VLOOKUP("LULUCF|SO2|Cardiovascular hospital admissions", US_national_yearly!$D:$AM, 19, FALSE) / VLOOKUP("LULUCF|SO2|Cardiovascular hospital admissions", US_national_yearly!$D:$AM, 10, FALSE), 1)</f>
        <v>5.9479232637401215E-4</v>
      </c>
      <c r="L17" s="7">
        <f>$B17 * IFERROR(VLOOKUP("LULUCF|SO2|Cardiovascular hospital admissions", US_national_yearly!$D:$AM, 20, FALSE) / VLOOKUP("LULUCF|SO2|Cardiovascular hospital admissions", US_national_yearly!$D:$AM, 10, FALSE), 1)</f>
        <v>6.0657170786796127E-4</v>
      </c>
      <c r="M17" s="7">
        <f>$B17 * IFERROR(VLOOKUP("LULUCF|SO2|Cardiovascular hospital admissions", US_national_yearly!$D:$AM, 21, FALSE) / VLOOKUP("LULUCF|SO2|Cardiovascular hospital admissions", US_national_yearly!$D:$AM, 10, FALSE), 1)</f>
        <v>6.1835108936191018E-4</v>
      </c>
      <c r="N17" s="7">
        <f>$B17 * IFERROR(VLOOKUP("LULUCF|SO2|Cardiovascular hospital admissions", US_national_yearly!$D:$AM, 22, FALSE) / VLOOKUP("LULUCF|SO2|Cardiovascular hospital admissions", US_national_yearly!$D:$AM, 10, FALSE), 1)</f>
        <v>6.2626415050322465E-4</v>
      </c>
      <c r="O17" s="7">
        <f>$B17 * IFERROR(VLOOKUP("LULUCF|SO2|Cardiovascular hospital admissions", US_national_yearly!$D:$AM, 23, FALSE) / VLOOKUP("LULUCF|SO2|Cardiovascular hospital admissions", US_national_yearly!$D:$AM, 10, FALSE), 1)</f>
        <v>6.3417721164453912E-4</v>
      </c>
      <c r="P17" s="7">
        <f>$B17 * IFERROR(VLOOKUP("LULUCF|SO2|Cardiovascular hospital admissions", US_national_yearly!$D:$AM, 24, FALSE) / VLOOKUP("LULUCF|SO2|Cardiovascular hospital admissions", US_national_yearly!$D:$AM, 10, FALSE), 1)</f>
        <v>6.4209027278585348E-4</v>
      </c>
      <c r="Q17" s="7">
        <f>$B17 * IFERROR(VLOOKUP("LULUCF|SO2|Cardiovascular hospital admissions", US_national_yearly!$D:$AM, 25, FALSE) / VLOOKUP("LULUCF|SO2|Cardiovascular hospital admissions", US_national_yearly!$D:$AM, 10, FALSE), 1)</f>
        <v>6.5000333392716784E-4</v>
      </c>
      <c r="R17" s="7">
        <f>$B17 * IFERROR(VLOOKUP("LULUCF|SO2|Cardiovascular hospital admissions", US_national_yearly!$D:$AM, 26, FALSE) / VLOOKUP("LULUCF|SO2|Cardiovascular hospital admissions", US_national_yearly!$D:$AM, 10, FALSE), 1)</f>
        <v>6.579163950684823E-4</v>
      </c>
      <c r="S17" s="7">
        <f>$B17 * IFERROR(VLOOKUP("LULUCF|SO2|Cardiovascular hospital admissions", US_national_yearly!$D:$AM, 27, FALSE) / VLOOKUP("LULUCF|SO2|Cardiovascular hospital admissions", US_national_yearly!$D:$AM, 10, FALSE), 1)</f>
        <v>6.6207810181833423E-4</v>
      </c>
      <c r="T17" s="7">
        <f>$B17 * IFERROR(VLOOKUP("LULUCF|SO2|Cardiovascular hospital admissions", US_national_yearly!$D:$AM, 28, FALSE) / VLOOKUP("LULUCF|SO2|Cardiovascular hospital admissions", US_national_yearly!$D:$AM, 10, FALSE), 1)</f>
        <v>6.6623980856818615E-4</v>
      </c>
      <c r="U17" s="7">
        <f>$B17 * IFERROR(VLOOKUP("LULUCF|SO2|Cardiovascular hospital admissions", US_national_yearly!$D:$AM, 29, FALSE) / VLOOKUP("LULUCF|SO2|Cardiovascular hospital admissions", US_national_yearly!$D:$AM, 10, FALSE), 1)</f>
        <v>6.7040151531803796E-4</v>
      </c>
      <c r="V17" s="7">
        <f>$B17 * IFERROR(VLOOKUP("LULUCF|SO2|Cardiovascular hospital admissions", US_national_yearly!$D:$AM, 30, FALSE) / VLOOKUP("LULUCF|SO2|Cardiovascular hospital admissions", US_national_yearly!$D:$AM, 10, FALSE), 1)</f>
        <v>6.7456322206788989E-4</v>
      </c>
      <c r="W17" s="7">
        <f>$B17 * IFERROR(VLOOKUP("LULUCF|SO2|Cardiovascular hospital admissions", US_national_yearly!$D:$AM, 31, FALSE) / VLOOKUP("LULUCF|SO2|Cardiovascular hospital admissions", US_national_yearly!$D:$AM, 10, FALSE), 1)</f>
        <v>6.7872492881774181E-4</v>
      </c>
      <c r="X17" s="7">
        <f>$B17 * IFERROR(VLOOKUP("LULUCF|SO2|Cardiovascular hospital admissions", US_national_yearly!$D:$AM, 32, FALSE) / VLOOKUP("LULUCF|SO2|Cardiovascular hospital admissions", US_national_yearly!$D:$AM, 10, FALSE), 1)</f>
        <v>6.815188201344316E-4</v>
      </c>
      <c r="Y17" s="7">
        <f>$B17 * IFERROR(VLOOKUP("LULUCF|SO2|Cardiovascular hospital admissions", US_national_yearly!$D:$AM, 33, FALSE) / VLOOKUP("LULUCF|SO2|Cardiovascular hospital admissions", US_national_yearly!$D:$AM, 10, FALSE), 1)</f>
        <v>6.8431271145112139E-4</v>
      </c>
      <c r="Z17" s="7">
        <f>$B17 * IFERROR(VLOOKUP("LULUCF|SO2|Cardiovascular hospital admissions", US_national_yearly!$D:$AM, 34, FALSE) / VLOOKUP("LULUCF|SO2|Cardiovascular hospital admissions", US_national_yearly!$D:$AM, 10, FALSE), 1)</f>
        <v>6.8710660276781119E-4</v>
      </c>
      <c r="AA17" s="7">
        <f>$B17 * IFERROR(VLOOKUP("LULUCF|SO2|Cardiovascular hospital admissions", US_national_yearly!$D:$AM, 35, FALSE) / VLOOKUP("LULUCF|SO2|Cardiovascular hospital admissions", US_national_yearly!$D:$AM, 10, FALSE), 1)</f>
        <v>6.8990049408450109E-4</v>
      </c>
      <c r="AB17" s="7">
        <f>$B17 * IFERROR(VLOOKUP("LULUCF|SO2|Cardiovascular hospital admissions", US_national_yearly!$D:$AM, 36, FALSE) / VLOOKUP("LULUCF|SO2|Cardiovascular hospital admissions", US_national_yearly!$D:$AM, 10, FALSE), 1)</f>
        <v>6.9269438540119077E-4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2026-06-15T17:14:27Z</dcterms:modified>
</cp:coreProperties>
</file>