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CA\trans\BCDTRtSY\"/>
    </mc:Choice>
  </mc:AlternateContent>
  <xr:revisionPtr revIDLastSave="0" documentId="8_{28D38B8F-F862-4410-A668-3D3EB0CC7308}"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<sst xmlns="http://schemas.openxmlformats.org/spreadsheetml/2006/main" count="6428" uniqueCount="3038">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</sst>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2889</v>
      </c>
      <c r="C1" s="77">
        <v>46248</v>
      </c>
      <c r="H1" t="s">
        <v>2981</v>
      </c>
      <c r="I1" t="s">
        <v>2982</v>
      </c>
    </row>
    <row r="2" spans="1:9">
      <c r="B2" t="str">
        <f>VLOOKUP(B1,H2:I52,2)</f>
        <v>CA</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California</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1.0125997012351711</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1.0266819805737601</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1.0376798804497402</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1.048275203551942</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1.0581161422867587</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1.0604937000910168</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1.0630429425387615</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1.064155438587528</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1.0658887613122945</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1.066751262378429</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1.068335849407364</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1.0703689681381172</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1.0724620777061</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1.0739372522518402</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1.0756218732424303</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1.0761286080751284</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1.0765096171725328</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1.0765442757239969</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1.0768134820592887</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1.0768576871634736</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1.0766282426342157</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1.0755922390079087</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1.0746885733999723</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1.073548712235596</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1.0728178477569661</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1.0244844621876483</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1.0432856486902145</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1.0586663448509148</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1.0728690728196963</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1.0856711626427566</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1.089762201817696</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1.093423411004639</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1.0975861867035313</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1.1012716468407335</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1.1052943987221535</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1.1085194785848556</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1.1118831375664413</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1.1147380369142079</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1.1175752641087269</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1.1203627650748518</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1.1220469455656152</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1.123684882333821</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1.1249836989724151</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1.1261622944667937</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1.1272283904270217</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1.1279030362999598</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1.1284645280194461</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1.1286414928921533</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1.128641764319384</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1.1285721186401825</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1.037988582998701</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1.0635931660926214</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1.0784081704905866</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1.0982316802558705</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1.1224470596783789</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1.1384876992483597</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1.1590423491148152</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1.1815528098925006</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1.2064954561812842</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1.2340722339466794</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1.2545027718097237</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1.2750186522035563</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1.2952874851638656</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1.3145458832290733</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1.3342762995640589</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1.3522078249267542</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1.3712542864525481</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1.391663531680994</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1.4119848013663248</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1.4324384652779352</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1.4518454720607628</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1.4692299982229824</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1.486798523463035</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1.5032741901213293</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1.5202524398952404</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1.0705575422235609</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1.1253177039051894</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1.1689038857677265</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1.207974299466356</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1.2426259353095637</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1.2649054518694225</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1.284928535428226</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1.3058443932735124</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1.3215623970962869</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1.3372519525368833</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1.3491197133852928</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1.3618868444646519</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1.3733232695116131</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1.3819849033105771</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1.3910188034552984</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1.3980999279429407</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1.4052090017575825</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1.4107211576442487</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1.4170708487850128</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1.4240956164163878</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1.4294462349302812</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1.4355423109826335</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1.4392690432794311</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1.4425729407492283</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1.4455653544583627</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1.0083929685525814</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1.0095946721712739</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1.0046126874195944</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1.0019474294390931</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1.0014913665932712</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0.99398500412716795</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0.98888556919402648</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0.98501886250276205</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0.98242968475949088</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0.98117522181702876</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0.97687047285877449</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0.97260710888283297</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0.96817793761615378</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0.96367901803029332</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0.95927789874473357</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0.95384182021644082</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0.94884611096571647</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0.94415798584552524</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0.93947546468690968</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0.93476504799038307</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0.92958107414052016</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0.92373983833815931</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0.91776090008003985</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0.91140551894204003</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0.90533400025705102</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1.0123625477229043</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1.0269825663102603</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1.0386713832224512</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1.0501720421597123</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1.0606307354094711</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1.0642969688955133</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1.0680191074023149</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1.0701626103083572</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1.0726782626848528</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1.0742607539596847</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1.076677679059143</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1.0795634959858111</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1.0824236021711586</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1.0845410555385546</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1.086899822372094</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1.0883706787595602</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1.0895690447355233</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1.0905301440641191</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1.0918422851558838</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1.0930211732800896</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1.0937241760548515</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1.0936729439710677</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1.0935715522883407</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1.0933122868068725</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1.0934697298298974</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1.0024971488266505</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1.0104327433776374</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1.0179684013289181</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1.0266772490829661</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1.0403173776527763</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1.0457695215246385</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1.0530998487466043</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1.0591072409880395</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1.0671409055140137</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1.0759348807297928</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1.0851091700860054</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1.095629257953276</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1.1074683386769484</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1.1197250749222676</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1.1325558042530166</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1.1440610936766813</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1.1549495854908804</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1.1631692592283447</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1.171126771212986</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1.1805372531478808</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1.1904644714161434</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1.2011381756212502</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1.210491279565276</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1.2206912908186494</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1.2301156096471775</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1.0172355543254477</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1.0388618203101558</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1.0597584741485877</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1.0781297865926256</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1.0990604854127246</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1.1083142022571382</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1.1185332133439787</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1.1265000164248704</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1.135788931190332</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1.1449557916834736</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1.1533059726815915</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1.1609447615908053</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1.1675423526342568</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1.1735573301232489</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1.1797705664990767</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1.1853888230948839</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1.190460054536786</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1.1944714267188612</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1.1988221102036929</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1.2051533393903406</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1.2117174639475254</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1.218192882958903</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1.2224369967423012</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1.2266077369759993</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1.2301891054380061</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1.0334086679035688</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1.059255867597287</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1.0787175626191639</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1.1020933998453206</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1.1287146214055555</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1.1476906493505836</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1.1699119324545495</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1.1936814170496641</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1.2193209976851802</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1.2469551680805491</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1.269959691106495</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1.2931923288298026</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1.3164197703359746</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1.3391066088692656</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1.3622836840733759</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1.3842242779085741</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1.4070664444400858</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1.4309890183332823</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1.4549961961219344</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1.4792375210849624</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1.5028979132081186</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1.5252875321632007</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1.5479531483780664</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1.570002047944985</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1.59257340322234</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0.98353183149065226</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1.0216464786637438</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1.006922811240909</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1.0051105532178304</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1.017937410937054</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0.99134731584645319</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0.99502741937810857</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0.99886382169347443</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0.99555965028413784</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0.99834594031914226</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1.0002499223194254</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1.0035782963504833</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1.0035325910614057</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1.005106738673287</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1.0056609863503925</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1.0040272351434045</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1.0002110337636401</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0.99705817749682979</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0.99645869968823586</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0.99524915946326631</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0.99663683659931801</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1.0018138854514855</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1.0042962266046671</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1.0007502956905239</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0.9978961064149886</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0.99849844844071178</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1.024195213930438</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1.0521530187545332</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1.076877848479483</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1.1027325881476953</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1.1200098084735808</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1.1393978586897708</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1.1590830310889717</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1.179505673416047</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1.200964546117619</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1.2182669364551042</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1.2321035880370259</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1.2459256675708346</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1.2585190066998142</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1.2711921088706037</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1.2830935313970318</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1.2960888389192171</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1.3086385912360561</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1.3210248946039431</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1.3348024705481987</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1.3487320794800952</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1.3628500850685741</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1.3761615310843927</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1.3891449461078631</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1.4036082017406815</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1.0125997012351711</v>
      </c>
      <c r="E2">
        <f>'BCDTRtSY-state-adjusted'!E5</f>
        <v>1.0266819805737601</v>
      </c>
      <c r="F2">
        <f>'BCDTRtSY-state-adjusted'!F5</f>
        <v>1.0376798804497402</v>
      </c>
      <c r="G2">
        <f>'BCDTRtSY-state-adjusted'!G5</f>
        <v>1.048275203551942</v>
      </c>
      <c r="H2">
        <f>'BCDTRtSY-state-adjusted'!H5</f>
        <v>1.0581161422867587</v>
      </c>
      <c r="I2">
        <f>'BCDTRtSY-state-adjusted'!I5</f>
        <v>1.0604937000910168</v>
      </c>
      <c r="J2">
        <f>'BCDTRtSY-state-adjusted'!J5</f>
        <v>1.0630429425387615</v>
      </c>
      <c r="K2">
        <f>'BCDTRtSY-state-adjusted'!K5</f>
        <v>1.064155438587528</v>
      </c>
      <c r="L2">
        <f>'BCDTRtSY-state-adjusted'!L5</f>
        <v>1.0658887613122945</v>
      </c>
      <c r="M2">
        <f>'BCDTRtSY-state-adjusted'!M5</f>
        <v>1.066751262378429</v>
      </c>
      <c r="N2">
        <f>'BCDTRtSY-state-adjusted'!N5</f>
        <v>1.068335849407364</v>
      </c>
      <c r="O2">
        <f>'BCDTRtSY-state-adjusted'!O5</f>
        <v>1.0703689681381172</v>
      </c>
      <c r="P2">
        <f>'BCDTRtSY-state-adjusted'!P5</f>
        <v>1.0724620777061</v>
      </c>
      <c r="Q2">
        <f>'BCDTRtSY-state-adjusted'!Q5</f>
        <v>1.0739372522518402</v>
      </c>
      <c r="R2">
        <f>'BCDTRtSY-state-adjusted'!R5</f>
        <v>1.0756218732424303</v>
      </c>
      <c r="S2">
        <f>'BCDTRtSY-state-adjusted'!S5</f>
        <v>1.0761286080751284</v>
      </c>
      <c r="T2">
        <f>'BCDTRtSY-state-adjusted'!T5</f>
        <v>1.0765096171725328</v>
      </c>
      <c r="U2">
        <f>'BCDTRtSY-state-adjusted'!U5</f>
        <v>1.0765442757239969</v>
      </c>
      <c r="V2">
        <f>'BCDTRtSY-state-adjusted'!V5</f>
        <v>1.0768134820592887</v>
      </c>
      <c r="W2">
        <f>'BCDTRtSY-state-adjusted'!W5</f>
        <v>1.0768576871634736</v>
      </c>
      <c r="X2">
        <f>'BCDTRtSY-state-adjusted'!X5</f>
        <v>1.0766282426342157</v>
      </c>
      <c r="Y2">
        <f>'BCDTRtSY-state-adjusted'!Y5</f>
        <v>1.0755922390079087</v>
      </c>
      <c r="Z2">
        <f>'BCDTRtSY-state-adjusted'!Z5</f>
        <v>1.0746885733999723</v>
      </c>
      <c r="AA2">
        <f>'BCDTRtSY-state-adjusted'!AA5</f>
        <v>1.073548712235596</v>
      </c>
      <c r="AB2">
        <f>'BCDTRtSY-state-adjusted'!AB5</f>
        <v>1.0728178477569661</v>
      </c>
    </row>
    <row r="3" spans="1:28">
      <c r="A3" t="s">
        <v>118</v>
      </c>
      <c r="B3">
        <f>'BCDTRtSY-state-adjusted'!B6</f>
        <v>1</v>
      </c>
      <c r="C3">
        <f>'BCDTRtSY-state-adjusted'!C6</f>
        <v>1</v>
      </c>
      <c r="D3">
        <f>'BCDTRtSY-state-adjusted'!D6</f>
        <v>1.0244844621876483</v>
      </c>
      <c r="E3">
        <f>'BCDTRtSY-state-adjusted'!E6</f>
        <v>1.0432856486902145</v>
      </c>
      <c r="F3">
        <f>'BCDTRtSY-state-adjusted'!F6</f>
        <v>1.0586663448509148</v>
      </c>
      <c r="G3">
        <f>'BCDTRtSY-state-adjusted'!G6</f>
        <v>1.0728690728196963</v>
      </c>
      <c r="H3">
        <f>'BCDTRtSY-state-adjusted'!H6</f>
        <v>1.0856711626427566</v>
      </c>
      <c r="I3">
        <f>'BCDTRtSY-state-adjusted'!I6</f>
        <v>1.089762201817696</v>
      </c>
      <c r="J3">
        <f>'BCDTRtSY-state-adjusted'!J6</f>
        <v>1.093423411004639</v>
      </c>
      <c r="K3">
        <f>'BCDTRtSY-state-adjusted'!K6</f>
        <v>1.0975861867035313</v>
      </c>
      <c r="L3">
        <f>'BCDTRtSY-state-adjusted'!L6</f>
        <v>1.1012716468407335</v>
      </c>
      <c r="M3">
        <f>'BCDTRtSY-state-adjusted'!M6</f>
        <v>1.1052943987221535</v>
      </c>
      <c r="N3">
        <f>'BCDTRtSY-state-adjusted'!N6</f>
        <v>1.1085194785848556</v>
      </c>
      <c r="O3">
        <f>'BCDTRtSY-state-adjusted'!O6</f>
        <v>1.1118831375664413</v>
      </c>
      <c r="P3">
        <f>'BCDTRtSY-state-adjusted'!P6</f>
        <v>1.1147380369142079</v>
      </c>
      <c r="Q3">
        <f>'BCDTRtSY-state-adjusted'!Q6</f>
        <v>1.1175752641087269</v>
      </c>
      <c r="R3">
        <f>'BCDTRtSY-state-adjusted'!R6</f>
        <v>1.1203627650748518</v>
      </c>
      <c r="S3">
        <f>'BCDTRtSY-state-adjusted'!S6</f>
        <v>1.1220469455656152</v>
      </c>
      <c r="T3">
        <f>'BCDTRtSY-state-adjusted'!T6</f>
        <v>1.123684882333821</v>
      </c>
      <c r="U3">
        <f>'BCDTRtSY-state-adjusted'!U6</f>
        <v>1.1249836989724151</v>
      </c>
      <c r="V3">
        <f>'BCDTRtSY-state-adjusted'!V6</f>
        <v>1.1261622944667937</v>
      </c>
      <c r="W3">
        <f>'BCDTRtSY-state-adjusted'!W6</f>
        <v>1.1272283904270217</v>
      </c>
      <c r="X3">
        <f>'BCDTRtSY-state-adjusted'!X6</f>
        <v>1.1279030362999598</v>
      </c>
      <c r="Y3">
        <f>'BCDTRtSY-state-adjusted'!Y6</f>
        <v>1.1284645280194461</v>
      </c>
      <c r="Z3">
        <f>'BCDTRtSY-state-adjusted'!Z6</f>
        <v>1.1286414928921533</v>
      </c>
      <c r="AA3">
        <f>'BCDTRtSY-state-adjusted'!AA6</f>
        <v>1.128641764319384</v>
      </c>
      <c r="AB3">
        <f>'BCDTRtSY-state-adjusted'!AB6</f>
        <v>1.1285721186401825</v>
      </c>
    </row>
    <row r="4" spans="1:28">
      <c r="A4" t="s">
        <v>116</v>
      </c>
      <c r="B4">
        <f>'BCDTRtSY-state-adjusted'!B7</f>
        <v>1</v>
      </c>
      <c r="C4">
        <f>'BCDTRtSY-state-adjusted'!C7</f>
        <v>1</v>
      </c>
      <c r="D4">
        <f>'BCDTRtSY-state-adjusted'!D7</f>
        <v>1.037988582998701</v>
      </c>
      <c r="E4">
        <f>'BCDTRtSY-state-adjusted'!E7</f>
        <v>1.0635931660926214</v>
      </c>
      <c r="F4">
        <f>'BCDTRtSY-state-adjusted'!F7</f>
        <v>1.0784081704905866</v>
      </c>
      <c r="G4">
        <f>'BCDTRtSY-state-adjusted'!G7</f>
        <v>1.0982316802558705</v>
      </c>
      <c r="H4">
        <f>'BCDTRtSY-state-adjusted'!H7</f>
        <v>1.1224470596783789</v>
      </c>
      <c r="I4">
        <f>'BCDTRtSY-state-adjusted'!I7</f>
        <v>1.1384876992483597</v>
      </c>
      <c r="J4">
        <f>'BCDTRtSY-state-adjusted'!J7</f>
        <v>1.1590423491148152</v>
      </c>
      <c r="K4">
        <f>'BCDTRtSY-state-adjusted'!K7</f>
        <v>1.1815528098925006</v>
      </c>
      <c r="L4">
        <f>'BCDTRtSY-state-adjusted'!L7</f>
        <v>1.2064954561812842</v>
      </c>
      <c r="M4">
        <f>'BCDTRtSY-state-adjusted'!M7</f>
        <v>1.2340722339466794</v>
      </c>
      <c r="N4">
        <f>'BCDTRtSY-state-adjusted'!N7</f>
        <v>1.2545027718097237</v>
      </c>
      <c r="O4">
        <f>'BCDTRtSY-state-adjusted'!O7</f>
        <v>1.2750186522035563</v>
      </c>
      <c r="P4">
        <f>'BCDTRtSY-state-adjusted'!P7</f>
        <v>1.2952874851638656</v>
      </c>
      <c r="Q4">
        <f>'BCDTRtSY-state-adjusted'!Q7</f>
        <v>1.3145458832290733</v>
      </c>
      <c r="R4">
        <f>'BCDTRtSY-state-adjusted'!R7</f>
        <v>1.3342762995640589</v>
      </c>
      <c r="S4">
        <f>'BCDTRtSY-state-adjusted'!S7</f>
        <v>1.3522078249267542</v>
      </c>
      <c r="T4">
        <f>'BCDTRtSY-state-adjusted'!T7</f>
        <v>1.3712542864525481</v>
      </c>
      <c r="U4">
        <f>'BCDTRtSY-state-adjusted'!U7</f>
        <v>1.391663531680994</v>
      </c>
      <c r="V4">
        <f>'BCDTRtSY-state-adjusted'!V7</f>
        <v>1.4119848013663248</v>
      </c>
      <c r="W4">
        <f>'BCDTRtSY-state-adjusted'!W7</f>
        <v>1.4324384652779352</v>
      </c>
      <c r="X4">
        <f>'BCDTRtSY-state-adjusted'!X7</f>
        <v>1.4518454720607628</v>
      </c>
      <c r="Y4">
        <f>'BCDTRtSY-state-adjusted'!Y7</f>
        <v>1.4692299982229824</v>
      </c>
      <c r="Z4">
        <f>'BCDTRtSY-state-adjusted'!Z7</f>
        <v>1.486798523463035</v>
      </c>
      <c r="AA4">
        <f>'BCDTRtSY-state-adjusted'!AA7</f>
        <v>1.5032741901213293</v>
      </c>
      <c r="AB4">
        <f>'BCDTRtSY-state-adjusted'!AB7</f>
        <v>1.5202524398952404</v>
      </c>
    </row>
    <row r="5" spans="1:28">
      <c r="A5" t="s">
        <v>121</v>
      </c>
      <c r="B5">
        <f>'BCDTRtSY-state-adjusted'!B8</f>
        <v>1</v>
      </c>
      <c r="C5">
        <f>'BCDTRtSY-state-adjusted'!C8</f>
        <v>1</v>
      </c>
      <c r="D5">
        <f>'BCDTRtSY-state-adjusted'!D8</f>
        <v>1.0705575422235609</v>
      </c>
      <c r="E5">
        <f>'BCDTRtSY-state-adjusted'!E8</f>
        <v>1.1253177039051894</v>
      </c>
      <c r="F5">
        <f>'BCDTRtSY-state-adjusted'!F8</f>
        <v>1.1689038857677265</v>
      </c>
      <c r="G5">
        <f>'BCDTRtSY-state-adjusted'!G8</f>
        <v>1.207974299466356</v>
      </c>
      <c r="H5">
        <f>'BCDTRtSY-state-adjusted'!H8</f>
        <v>1.2426259353095637</v>
      </c>
      <c r="I5">
        <f>'BCDTRtSY-state-adjusted'!I8</f>
        <v>1.2649054518694225</v>
      </c>
      <c r="J5">
        <f>'BCDTRtSY-state-adjusted'!J8</f>
        <v>1.284928535428226</v>
      </c>
      <c r="K5">
        <f>'BCDTRtSY-state-adjusted'!K8</f>
        <v>1.3058443932735124</v>
      </c>
      <c r="L5">
        <f>'BCDTRtSY-state-adjusted'!L8</f>
        <v>1.3215623970962869</v>
      </c>
      <c r="M5">
        <f>'BCDTRtSY-state-adjusted'!M8</f>
        <v>1.3372519525368833</v>
      </c>
      <c r="N5">
        <f>'BCDTRtSY-state-adjusted'!N8</f>
        <v>1.3491197133852928</v>
      </c>
      <c r="O5">
        <f>'BCDTRtSY-state-adjusted'!O8</f>
        <v>1.3618868444646519</v>
      </c>
      <c r="P5">
        <f>'BCDTRtSY-state-adjusted'!P8</f>
        <v>1.3733232695116131</v>
      </c>
      <c r="Q5">
        <f>'BCDTRtSY-state-adjusted'!Q8</f>
        <v>1.3819849033105771</v>
      </c>
      <c r="R5">
        <f>'BCDTRtSY-state-adjusted'!R8</f>
        <v>1.3910188034552984</v>
      </c>
      <c r="S5">
        <f>'BCDTRtSY-state-adjusted'!S8</f>
        <v>1.3980999279429407</v>
      </c>
      <c r="T5">
        <f>'BCDTRtSY-state-adjusted'!T8</f>
        <v>1.4052090017575825</v>
      </c>
      <c r="U5">
        <f>'BCDTRtSY-state-adjusted'!U8</f>
        <v>1.4107211576442487</v>
      </c>
      <c r="V5">
        <f>'BCDTRtSY-state-adjusted'!V8</f>
        <v>1.4170708487850128</v>
      </c>
      <c r="W5">
        <f>'BCDTRtSY-state-adjusted'!W8</f>
        <v>1.4240956164163878</v>
      </c>
      <c r="X5">
        <f>'BCDTRtSY-state-adjusted'!X8</f>
        <v>1.4294462349302812</v>
      </c>
      <c r="Y5">
        <f>'BCDTRtSY-state-adjusted'!Y8</f>
        <v>1.4355423109826335</v>
      </c>
      <c r="Z5">
        <f>'BCDTRtSY-state-adjusted'!Z8</f>
        <v>1.4392690432794311</v>
      </c>
      <c r="AA5">
        <f>'BCDTRtSY-state-adjusted'!AA8</f>
        <v>1.4425729407492283</v>
      </c>
      <c r="AB5">
        <f>'BCDTRtSY-state-adjusted'!AB8</f>
        <v>1.4455653544583627</v>
      </c>
    </row>
    <row r="6" spans="1:28">
      <c r="A6" t="s">
        <v>122</v>
      </c>
      <c r="B6">
        <f>'BCDTRtSY-state-adjusted'!B9</f>
        <v>1</v>
      </c>
      <c r="C6">
        <f>'BCDTRtSY-state-adjusted'!C9</f>
        <v>1</v>
      </c>
      <c r="D6">
        <f>'BCDTRtSY-state-adjusted'!D9</f>
        <v>1.0083929685525814</v>
      </c>
      <c r="E6">
        <f>'BCDTRtSY-state-adjusted'!E9</f>
        <v>1.0095946721712739</v>
      </c>
      <c r="F6">
        <f>'BCDTRtSY-state-adjusted'!F9</f>
        <v>1.0046126874195944</v>
      </c>
      <c r="G6">
        <f>'BCDTRtSY-state-adjusted'!G9</f>
        <v>1.0019474294390931</v>
      </c>
      <c r="H6">
        <f>'BCDTRtSY-state-adjusted'!H9</f>
        <v>1.0014913665932712</v>
      </c>
      <c r="I6">
        <f>'BCDTRtSY-state-adjusted'!I9</f>
        <v>0.99398500412716795</v>
      </c>
      <c r="J6">
        <f>'BCDTRtSY-state-adjusted'!J9</f>
        <v>0.98888556919402648</v>
      </c>
      <c r="K6">
        <f>'BCDTRtSY-state-adjusted'!K9</f>
        <v>0.98501886250276205</v>
      </c>
      <c r="L6">
        <f>'BCDTRtSY-state-adjusted'!L9</f>
        <v>0.98242968475949088</v>
      </c>
      <c r="M6">
        <f>'BCDTRtSY-state-adjusted'!M9</f>
        <v>0.98117522181702876</v>
      </c>
      <c r="N6">
        <f>'BCDTRtSY-state-adjusted'!N9</f>
        <v>0.97687047285877449</v>
      </c>
      <c r="O6">
        <f>'BCDTRtSY-state-adjusted'!O9</f>
        <v>0.97260710888283297</v>
      </c>
      <c r="P6">
        <f>'BCDTRtSY-state-adjusted'!P9</f>
        <v>0.96817793761615378</v>
      </c>
      <c r="Q6">
        <f>'BCDTRtSY-state-adjusted'!Q9</f>
        <v>0.96367901803029332</v>
      </c>
      <c r="R6">
        <f>'BCDTRtSY-state-adjusted'!R9</f>
        <v>0.95927789874473357</v>
      </c>
      <c r="S6">
        <f>'BCDTRtSY-state-adjusted'!S9</f>
        <v>0.95384182021644082</v>
      </c>
      <c r="T6">
        <f>'BCDTRtSY-state-adjusted'!T9</f>
        <v>0.94884611096571647</v>
      </c>
      <c r="U6">
        <f>'BCDTRtSY-state-adjusted'!U9</f>
        <v>0.94415798584552524</v>
      </c>
      <c r="V6">
        <f>'BCDTRtSY-state-adjusted'!V9</f>
        <v>0.93947546468690968</v>
      </c>
      <c r="W6">
        <f>'BCDTRtSY-state-adjusted'!W9</f>
        <v>0.93476504799038307</v>
      </c>
      <c r="X6">
        <f>'BCDTRtSY-state-adjusted'!X9</f>
        <v>0.92958107414052016</v>
      </c>
      <c r="Y6">
        <f>'BCDTRtSY-state-adjusted'!Y9</f>
        <v>0.92373983833815931</v>
      </c>
      <c r="Z6">
        <f>'BCDTRtSY-state-adjusted'!Z9</f>
        <v>0.91776090008003985</v>
      </c>
      <c r="AA6">
        <f>'BCDTRtSY-state-adjusted'!AA9</f>
        <v>0.91140551894204003</v>
      </c>
      <c r="AB6">
        <f>'BCDTRtSY-state-adjusted'!AB9</f>
        <v>0.90533400025705102</v>
      </c>
    </row>
    <row r="7" spans="1:28">
      <c r="A7" t="s">
        <v>123</v>
      </c>
      <c r="B7">
        <f>'BCDTRtSY-state-adjusted'!B10</f>
        <v>1</v>
      </c>
      <c r="C7">
        <f>'BCDTRtSY-state-adjusted'!C10</f>
        <v>1</v>
      </c>
      <c r="D7">
        <f>'BCDTRtSY-state-adjusted'!D10</f>
        <v>1.0123625477229043</v>
      </c>
      <c r="E7">
        <f>'BCDTRtSY-state-adjusted'!E10</f>
        <v>1.0269825663102603</v>
      </c>
      <c r="F7">
        <f>'BCDTRtSY-state-adjusted'!F10</f>
        <v>1.0386713832224512</v>
      </c>
      <c r="G7">
        <f>'BCDTRtSY-state-adjusted'!G10</f>
        <v>1.0501720421597123</v>
      </c>
      <c r="H7">
        <f>'BCDTRtSY-state-adjusted'!H10</f>
        <v>1.0606307354094711</v>
      </c>
      <c r="I7">
        <f>'BCDTRtSY-state-adjusted'!I10</f>
        <v>1.0642969688955133</v>
      </c>
      <c r="J7">
        <f>'BCDTRtSY-state-adjusted'!J10</f>
        <v>1.0680191074023149</v>
      </c>
      <c r="K7">
        <f>'BCDTRtSY-state-adjusted'!K10</f>
        <v>1.0701626103083572</v>
      </c>
      <c r="L7">
        <f>'BCDTRtSY-state-adjusted'!L10</f>
        <v>1.0726782626848528</v>
      </c>
      <c r="M7">
        <f>'BCDTRtSY-state-adjusted'!M10</f>
        <v>1.0742607539596847</v>
      </c>
      <c r="N7">
        <f>'BCDTRtSY-state-adjusted'!N10</f>
        <v>1.076677679059143</v>
      </c>
      <c r="O7">
        <f>'BCDTRtSY-state-adjusted'!O10</f>
        <v>1.0795634959858111</v>
      </c>
      <c r="P7">
        <f>'BCDTRtSY-state-adjusted'!P10</f>
        <v>1.0824236021711586</v>
      </c>
      <c r="Q7">
        <f>'BCDTRtSY-state-adjusted'!Q10</f>
        <v>1.0845410555385546</v>
      </c>
      <c r="R7">
        <f>'BCDTRtSY-state-adjusted'!R10</f>
        <v>1.086899822372094</v>
      </c>
      <c r="S7">
        <f>'BCDTRtSY-state-adjusted'!S10</f>
        <v>1.0883706787595602</v>
      </c>
      <c r="T7">
        <f>'BCDTRtSY-state-adjusted'!T10</f>
        <v>1.0895690447355233</v>
      </c>
      <c r="U7">
        <f>'BCDTRtSY-state-adjusted'!U10</f>
        <v>1.0905301440641191</v>
      </c>
      <c r="V7">
        <f>'BCDTRtSY-state-adjusted'!V10</f>
        <v>1.0918422851558838</v>
      </c>
      <c r="W7">
        <f>'BCDTRtSY-state-adjusted'!W10</f>
        <v>1.0930211732800896</v>
      </c>
      <c r="X7">
        <f>'BCDTRtSY-state-adjusted'!X10</f>
        <v>1.0937241760548515</v>
      </c>
      <c r="Y7">
        <f>'BCDTRtSY-state-adjusted'!Y10</f>
        <v>1.0936729439710677</v>
      </c>
      <c r="Z7">
        <f>'BCDTRtSY-state-adjusted'!Z10</f>
        <v>1.0935715522883407</v>
      </c>
      <c r="AA7">
        <f>'BCDTRtSY-state-adjusted'!AA10</f>
        <v>1.0933122868068725</v>
      </c>
      <c r="AB7">
        <f>'BCDTRtSY-state-adjusted'!AB10</f>
        <v>1.0934697298298974</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1.0024971488266505</v>
      </c>
      <c r="E2">
        <f>'BCDTRtSY-state-adjusted'!E13</f>
        <v>1.0104327433776374</v>
      </c>
      <c r="F2">
        <f>'BCDTRtSY-state-adjusted'!F13</f>
        <v>1.0179684013289181</v>
      </c>
      <c r="G2">
        <f>'BCDTRtSY-state-adjusted'!G13</f>
        <v>1.0266772490829661</v>
      </c>
      <c r="H2">
        <f>'BCDTRtSY-state-adjusted'!H13</f>
        <v>1.0403173776527763</v>
      </c>
      <c r="I2">
        <f>'BCDTRtSY-state-adjusted'!I13</f>
        <v>1.0457695215246385</v>
      </c>
      <c r="J2">
        <f>'BCDTRtSY-state-adjusted'!J13</f>
        <v>1.0530998487466043</v>
      </c>
      <c r="K2">
        <f>'BCDTRtSY-state-adjusted'!K13</f>
        <v>1.0591072409880395</v>
      </c>
      <c r="L2">
        <f>'BCDTRtSY-state-adjusted'!L13</f>
        <v>1.0671409055140137</v>
      </c>
      <c r="M2">
        <f>'BCDTRtSY-state-adjusted'!M13</f>
        <v>1.0759348807297928</v>
      </c>
      <c r="N2">
        <f>'BCDTRtSY-state-adjusted'!N13</f>
        <v>1.0851091700860054</v>
      </c>
      <c r="O2">
        <f>'BCDTRtSY-state-adjusted'!O13</f>
        <v>1.095629257953276</v>
      </c>
      <c r="P2">
        <f>'BCDTRtSY-state-adjusted'!P13</f>
        <v>1.1074683386769484</v>
      </c>
      <c r="Q2">
        <f>'BCDTRtSY-state-adjusted'!Q13</f>
        <v>1.1197250749222676</v>
      </c>
      <c r="R2">
        <f>'BCDTRtSY-state-adjusted'!R13</f>
        <v>1.1325558042530166</v>
      </c>
      <c r="S2">
        <f>'BCDTRtSY-state-adjusted'!S13</f>
        <v>1.1440610936766813</v>
      </c>
      <c r="T2">
        <f>'BCDTRtSY-state-adjusted'!T13</f>
        <v>1.1549495854908804</v>
      </c>
      <c r="U2">
        <f>'BCDTRtSY-state-adjusted'!U13</f>
        <v>1.1631692592283447</v>
      </c>
      <c r="V2">
        <f>'BCDTRtSY-state-adjusted'!V13</f>
        <v>1.171126771212986</v>
      </c>
      <c r="W2">
        <f>'BCDTRtSY-state-adjusted'!W13</f>
        <v>1.1805372531478808</v>
      </c>
      <c r="X2">
        <f>'BCDTRtSY-state-adjusted'!X13</f>
        <v>1.1904644714161434</v>
      </c>
      <c r="Y2">
        <f>'BCDTRtSY-state-adjusted'!Y13</f>
        <v>1.2011381756212502</v>
      </c>
      <c r="Z2">
        <f>'BCDTRtSY-state-adjusted'!Z13</f>
        <v>1.210491279565276</v>
      </c>
      <c r="AA2">
        <f>'BCDTRtSY-state-adjusted'!AA13</f>
        <v>1.2206912908186494</v>
      </c>
      <c r="AB2">
        <f>'BCDTRtSY-state-adjusted'!AB13</f>
        <v>1.2301156096471775</v>
      </c>
    </row>
    <row r="3" spans="1:28">
      <c r="A3" t="s">
        <v>118</v>
      </c>
      <c r="B3">
        <f>'BCDTRtSY-state-adjusted'!B14</f>
        <v>1</v>
      </c>
      <c r="C3">
        <f>'BCDTRtSY-state-adjusted'!C14</f>
        <v>1</v>
      </c>
      <c r="D3">
        <f>'BCDTRtSY-state-adjusted'!D14</f>
        <v>1.0172355543254477</v>
      </c>
      <c r="E3">
        <f>'BCDTRtSY-state-adjusted'!E14</f>
        <v>1.0388618203101558</v>
      </c>
      <c r="F3">
        <f>'BCDTRtSY-state-adjusted'!F14</f>
        <v>1.0597584741485877</v>
      </c>
      <c r="G3">
        <f>'BCDTRtSY-state-adjusted'!G14</f>
        <v>1.0781297865926256</v>
      </c>
      <c r="H3">
        <f>'BCDTRtSY-state-adjusted'!H14</f>
        <v>1.0990604854127246</v>
      </c>
      <c r="I3">
        <f>'BCDTRtSY-state-adjusted'!I14</f>
        <v>1.1083142022571382</v>
      </c>
      <c r="J3">
        <f>'BCDTRtSY-state-adjusted'!J14</f>
        <v>1.1185332133439787</v>
      </c>
      <c r="K3">
        <f>'BCDTRtSY-state-adjusted'!K14</f>
        <v>1.1265000164248704</v>
      </c>
      <c r="L3">
        <f>'BCDTRtSY-state-adjusted'!L14</f>
        <v>1.135788931190332</v>
      </c>
      <c r="M3">
        <f>'BCDTRtSY-state-adjusted'!M14</f>
        <v>1.1449557916834736</v>
      </c>
      <c r="N3">
        <f>'BCDTRtSY-state-adjusted'!N14</f>
        <v>1.1533059726815915</v>
      </c>
      <c r="O3">
        <f>'BCDTRtSY-state-adjusted'!O14</f>
        <v>1.1609447615908053</v>
      </c>
      <c r="P3">
        <f>'BCDTRtSY-state-adjusted'!P14</f>
        <v>1.1675423526342568</v>
      </c>
      <c r="Q3">
        <f>'BCDTRtSY-state-adjusted'!Q14</f>
        <v>1.1735573301232489</v>
      </c>
      <c r="R3">
        <f>'BCDTRtSY-state-adjusted'!R14</f>
        <v>1.1797705664990767</v>
      </c>
      <c r="S3">
        <f>'BCDTRtSY-state-adjusted'!S14</f>
        <v>1.1853888230948839</v>
      </c>
      <c r="T3">
        <f>'BCDTRtSY-state-adjusted'!T14</f>
        <v>1.190460054536786</v>
      </c>
      <c r="U3">
        <f>'BCDTRtSY-state-adjusted'!U14</f>
        <v>1.1944714267188612</v>
      </c>
      <c r="V3">
        <f>'BCDTRtSY-state-adjusted'!V14</f>
        <v>1.1988221102036929</v>
      </c>
      <c r="W3">
        <f>'BCDTRtSY-state-adjusted'!W14</f>
        <v>1.2051533393903406</v>
      </c>
      <c r="X3">
        <f>'BCDTRtSY-state-adjusted'!X14</f>
        <v>1.2117174639475254</v>
      </c>
      <c r="Y3">
        <f>'BCDTRtSY-state-adjusted'!Y14</f>
        <v>1.218192882958903</v>
      </c>
      <c r="Z3">
        <f>'BCDTRtSY-state-adjusted'!Z14</f>
        <v>1.2224369967423012</v>
      </c>
      <c r="AA3">
        <f>'BCDTRtSY-state-adjusted'!AA14</f>
        <v>1.2266077369759993</v>
      </c>
      <c r="AB3">
        <f>'BCDTRtSY-state-adjusted'!AB14</f>
        <v>1.2301891054380061</v>
      </c>
    </row>
    <row r="4" spans="1:28">
      <c r="A4" t="s">
        <v>116</v>
      </c>
      <c r="B4">
        <f>'BCDTRtSY-state-adjusted'!B15</f>
        <v>1</v>
      </c>
      <c r="C4">
        <f>'BCDTRtSY-state-adjusted'!C15</f>
        <v>1</v>
      </c>
      <c r="D4">
        <f>'BCDTRtSY-state-adjusted'!D15</f>
        <v>1.0334086679035688</v>
      </c>
      <c r="E4">
        <f>'BCDTRtSY-state-adjusted'!E15</f>
        <v>1.059255867597287</v>
      </c>
      <c r="F4">
        <f>'BCDTRtSY-state-adjusted'!F15</f>
        <v>1.0787175626191639</v>
      </c>
      <c r="G4">
        <f>'BCDTRtSY-state-adjusted'!G15</f>
        <v>1.1020933998453206</v>
      </c>
      <c r="H4">
        <f>'BCDTRtSY-state-adjusted'!H15</f>
        <v>1.1287146214055555</v>
      </c>
      <c r="I4">
        <f>'BCDTRtSY-state-adjusted'!I15</f>
        <v>1.1476906493505836</v>
      </c>
      <c r="J4">
        <f>'BCDTRtSY-state-adjusted'!J15</f>
        <v>1.1699119324545495</v>
      </c>
      <c r="K4">
        <f>'BCDTRtSY-state-adjusted'!K15</f>
        <v>1.1936814170496641</v>
      </c>
      <c r="L4">
        <f>'BCDTRtSY-state-adjusted'!L15</f>
        <v>1.2193209976851802</v>
      </c>
      <c r="M4">
        <f>'BCDTRtSY-state-adjusted'!M15</f>
        <v>1.2469551680805491</v>
      </c>
      <c r="N4">
        <f>'BCDTRtSY-state-adjusted'!N15</f>
        <v>1.269959691106495</v>
      </c>
      <c r="O4">
        <f>'BCDTRtSY-state-adjusted'!O15</f>
        <v>1.2931923288298026</v>
      </c>
      <c r="P4">
        <f>'BCDTRtSY-state-adjusted'!P15</f>
        <v>1.3164197703359746</v>
      </c>
      <c r="Q4">
        <f>'BCDTRtSY-state-adjusted'!Q15</f>
        <v>1.3391066088692656</v>
      </c>
      <c r="R4">
        <f>'BCDTRtSY-state-adjusted'!R15</f>
        <v>1.3622836840733759</v>
      </c>
      <c r="S4">
        <f>'BCDTRtSY-state-adjusted'!S15</f>
        <v>1.3842242779085741</v>
      </c>
      <c r="T4">
        <f>'BCDTRtSY-state-adjusted'!T15</f>
        <v>1.4070664444400858</v>
      </c>
      <c r="U4">
        <f>'BCDTRtSY-state-adjusted'!U15</f>
        <v>1.4309890183332823</v>
      </c>
      <c r="V4">
        <f>'BCDTRtSY-state-adjusted'!V15</f>
        <v>1.4549961961219344</v>
      </c>
      <c r="W4">
        <f>'BCDTRtSY-state-adjusted'!W15</f>
        <v>1.4792375210849624</v>
      </c>
      <c r="X4">
        <f>'BCDTRtSY-state-adjusted'!X15</f>
        <v>1.5028979132081186</v>
      </c>
      <c r="Y4">
        <f>'BCDTRtSY-state-adjusted'!Y15</f>
        <v>1.5252875321632007</v>
      </c>
      <c r="Z4">
        <f>'BCDTRtSY-state-adjusted'!Z15</f>
        <v>1.5479531483780664</v>
      </c>
      <c r="AA4">
        <f>'BCDTRtSY-state-adjusted'!AA15</f>
        <v>1.570002047944985</v>
      </c>
      <c r="AB4">
        <f>'BCDTRtSY-state-adjusted'!AB15</f>
        <v>1.59257340322234</v>
      </c>
    </row>
    <row r="5" spans="1:28">
      <c r="A5" t="s">
        <v>121</v>
      </c>
      <c r="B5">
        <f>'BCDTRtSY-state-adjusted'!B16</f>
        <v>1</v>
      </c>
      <c r="C5">
        <f>'BCDTRtSY-state-adjusted'!C16</f>
        <v>1</v>
      </c>
      <c r="D5">
        <f>'BCDTRtSY-state-adjusted'!D16</f>
        <v>0.98353183149065226</v>
      </c>
      <c r="E5">
        <f>'BCDTRtSY-state-adjusted'!E16</f>
        <v>1.0216464786637438</v>
      </c>
      <c r="F5">
        <f>'BCDTRtSY-state-adjusted'!F16</f>
        <v>1.006922811240909</v>
      </c>
      <c r="G5">
        <f>'BCDTRtSY-state-adjusted'!G16</f>
        <v>1.0051105532178304</v>
      </c>
      <c r="H5">
        <f>'BCDTRtSY-state-adjusted'!H16</f>
        <v>1.017937410937054</v>
      </c>
      <c r="I5">
        <f>'BCDTRtSY-state-adjusted'!I16</f>
        <v>0.99134731584645319</v>
      </c>
      <c r="J5">
        <f>'BCDTRtSY-state-adjusted'!J16</f>
        <v>0.99502741937810857</v>
      </c>
      <c r="K5">
        <f>'BCDTRtSY-state-adjusted'!K16</f>
        <v>0.99886382169347443</v>
      </c>
      <c r="L5">
        <f>'BCDTRtSY-state-adjusted'!L16</f>
        <v>0.99555965028413784</v>
      </c>
      <c r="M5">
        <f>'BCDTRtSY-state-adjusted'!M16</f>
        <v>0.99834594031914226</v>
      </c>
      <c r="N5">
        <f>'BCDTRtSY-state-adjusted'!N16</f>
        <v>1.0002499223194254</v>
      </c>
      <c r="O5">
        <f>'BCDTRtSY-state-adjusted'!O16</f>
        <v>1.0035782963504833</v>
      </c>
      <c r="P5">
        <f>'BCDTRtSY-state-adjusted'!P16</f>
        <v>1.0035325910614057</v>
      </c>
      <c r="Q5">
        <f>'BCDTRtSY-state-adjusted'!Q16</f>
        <v>1.005106738673287</v>
      </c>
      <c r="R5">
        <f>'BCDTRtSY-state-adjusted'!R16</f>
        <v>1.0056609863503925</v>
      </c>
      <c r="S5">
        <f>'BCDTRtSY-state-adjusted'!S16</f>
        <v>1.0040272351434045</v>
      </c>
      <c r="T5">
        <f>'BCDTRtSY-state-adjusted'!T16</f>
        <v>1.0002110337636401</v>
      </c>
      <c r="U5">
        <f>'BCDTRtSY-state-adjusted'!U16</f>
        <v>0.99705817749682979</v>
      </c>
      <c r="V5">
        <f>'BCDTRtSY-state-adjusted'!V16</f>
        <v>0.99645869968823586</v>
      </c>
      <c r="W5">
        <f>'BCDTRtSY-state-adjusted'!W16</f>
        <v>0.99524915946326631</v>
      </c>
      <c r="X5">
        <f>'BCDTRtSY-state-adjusted'!X16</f>
        <v>0.99663683659931801</v>
      </c>
      <c r="Y5">
        <f>'BCDTRtSY-state-adjusted'!Y16</f>
        <v>1.0018138854514855</v>
      </c>
      <c r="Z5">
        <f>'BCDTRtSY-state-adjusted'!Z16</f>
        <v>1.0042962266046671</v>
      </c>
      <c r="AA5">
        <f>'BCDTRtSY-state-adjusted'!AA16</f>
        <v>1.0007502956905239</v>
      </c>
      <c r="AB5">
        <f>'BCDTRtSY-state-adjusted'!AB16</f>
        <v>0.9978961064149886</v>
      </c>
    </row>
    <row r="6" spans="1:28">
      <c r="A6" t="s">
        <v>122</v>
      </c>
      <c r="B6">
        <f>'BCDTRtSY-state-adjusted'!B17</f>
        <v>1</v>
      </c>
      <c r="C6">
        <f>'BCDTRtSY-state-adjusted'!C17</f>
        <v>1</v>
      </c>
      <c r="D6">
        <f>'BCDTRtSY-state-adjusted'!D17</f>
        <v>0.99849844844071178</v>
      </c>
      <c r="E6">
        <f>'BCDTRtSY-state-adjusted'!E17</f>
        <v>1.024195213930438</v>
      </c>
      <c r="F6">
        <f>'BCDTRtSY-state-adjusted'!F17</f>
        <v>1.0521530187545332</v>
      </c>
      <c r="G6">
        <f>'BCDTRtSY-state-adjusted'!G17</f>
        <v>1.076877848479483</v>
      </c>
      <c r="H6">
        <f>'BCDTRtSY-state-adjusted'!H17</f>
        <v>1.1027325881476953</v>
      </c>
      <c r="I6">
        <f>'BCDTRtSY-state-adjusted'!I17</f>
        <v>1.1200098084735808</v>
      </c>
      <c r="J6">
        <f>'BCDTRtSY-state-adjusted'!J17</f>
        <v>1.1393978586897708</v>
      </c>
      <c r="K6">
        <f>'BCDTRtSY-state-adjusted'!K17</f>
        <v>1.1590830310889717</v>
      </c>
      <c r="L6">
        <f>'BCDTRtSY-state-adjusted'!L17</f>
        <v>1.179505673416047</v>
      </c>
      <c r="M6">
        <f>'BCDTRtSY-state-adjusted'!M17</f>
        <v>1.200964546117619</v>
      </c>
      <c r="N6">
        <f>'BCDTRtSY-state-adjusted'!N17</f>
        <v>1.2182669364551042</v>
      </c>
      <c r="O6">
        <f>'BCDTRtSY-state-adjusted'!O17</f>
        <v>1.2321035880370259</v>
      </c>
      <c r="P6">
        <f>'BCDTRtSY-state-adjusted'!P17</f>
        <v>1.2459256675708346</v>
      </c>
      <c r="Q6">
        <f>'BCDTRtSY-state-adjusted'!Q17</f>
        <v>1.2585190066998142</v>
      </c>
      <c r="R6">
        <f>'BCDTRtSY-state-adjusted'!R17</f>
        <v>1.2711921088706037</v>
      </c>
      <c r="S6">
        <f>'BCDTRtSY-state-adjusted'!S17</f>
        <v>1.2830935313970318</v>
      </c>
      <c r="T6">
        <f>'BCDTRtSY-state-adjusted'!T17</f>
        <v>1.2960888389192171</v>
      </c>
      <c r="U6">
        <f>'BCDTRtSY-state-adjusted'!U17</f>
        <v>1.3086385912360561</v>
      </c>
      <c r="V6">
        <f>'BCDTRtSY-state-adjusted'!V17</f>
        <v>1.3210248946039431</v>
      </c>
      <c r="W6">
        <f>'BCDTRtSY-state-adjusted'!W17</f>
        <v>1.3348024705481987</v>
      </c>
      <c r="X6">
        <f>'BCDTRtSY-state-adjusted'!X17</f>
        <v>1.3487320794800952</v>
      </c>
      <c r="Y6">
        <f>'BCDTRtSY-state-adjusted'!Y17</f>
        <v>1.3628500850685741</v>
      </c>
      <c r="Z6">
        <f>'BCDTRtSY-state-adjusted'!Z17</f>
        <v>1.3761615310843927</v>
      </c>
      <c r="AA6">
        <f>'BCDTRtSY-state-adjusted'!AA17</f>
        <v>1.3891449461078631</v>
      </c>
      <c r="AB6">
        <f>'BCDTRtSY-state-adjusted'!AB17</f>
        <v>1.4036082017406815</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2026-08-14T21:48:37Z</dcterms:modified>
</cp:coreProperties>
</file>