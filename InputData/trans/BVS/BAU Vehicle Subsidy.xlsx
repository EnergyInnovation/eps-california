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trans\BVS\"/>
    </mc:Choice>
  </mc:AlternateContent>
  <xr:revisionPtr revIDLastSave="0" documentId="8_{8A2E873B-4D2B-4E0F-A2CB-4D88AEA45ED5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W64" i="2" l="1"/>
  <c r="W69" i="2" s="1"/>
  <c r="V6" i="5" s="1"/>
  <c r="L63" i="2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B64" i="2"/>
  <c r="AB69" i="2" s="1"/>
  <c r="AA6" i="5" s="1"/>
  <c r="AC64" i="2"/>
  <c r="AC69" i="2" s="1"/>
  <c r="AB6" i="5" s="1"/>
  <c r="R63" i="2"/>
  <c r="R68" i="2" s="1"/>
  <c r="Q2" i="5" s="1"/>
  <c r="Q8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H64" i="2"/>
  <c r="H69" i="2" s="1"/>
  <c r="G6" i="5" s="1"/>
  <c r="I64" i="2"/>
  <c r="I69" i="2" s="1"/>
  <c r="H6" i="5" s="1"/>
  <c r="K63" i="2"/>
  <c r="K68" i="2" s="1"/>
  <c r="J2" i="5" s="1"/>
  <c r="J8" i="5" s="1"/>
  <c r="AA64" i="2"/>
  <c r="AA69" i="2" s="1"/>
  <c r="Z6" i="5" s="1"/>
  <c r="P63" i="2"/>
  <c r="P68" i="2" s="1"/>
  <c r="O2" i="5" s="1"/>
  <c r="O8" i="5" s="1"/>
  <c r="Q63" i="2"/>
  <c r="Q68" i="2" s="1"/>
  <c r="P2" i="5" s="1"/>
  <c r="P8" i="5" s="1"/>
  <c r="AD64" i="2"/>
  <c r="AD69" i="2" s="1"/>
  <c r="AC6" i="5" s="1"/>
  <c r="S63" i="2"/>
  <c r="S68" i="2" s="1"/>
  <c r="R2" i="5" s="1"/>
  <c r="R8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<sst xmlns="http://schemas.openxmlformats.org/spreadsheetml/2006/main" count="491" uniqueCount="240">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</sst>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43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CA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547.358384</v>
      </c>
      <c r="D63" s="5">
        <f>SUMIFS('State EV Rebates'!$D$5:$D$24,'State EV Rebates'!$A$5:$A$24,About!$B$2)*$M$79</f>
        <v>265.16809799999999</v>
      </c>
      <c r="E63" s="5">
        <f>SUMIFS('State EV Rebates'!$E$5:$E$24,'State EV Rebates'!$A$5:$A$24,About!$B$2)*$N$79</f>
        <v>624.65398700000003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160.98775999999998</v>
      </c>
      <c r="D64" s="5">
        <f>SUMIFS('State EV Rebates'!$D$28:$D$47,'State EV Rebates'!$A$28:$A$47,About!$B$2)*$M$79</f>
        <v>65.899764000000005</v>
      </c>
      <c r="E64" s="5">
        <f>SUMIFS('State EV Rebates'!$E$28:$E$47,'State EV Rebates'!$A$28:$A$47,About!$B$2)*$N$79</f>
        <v>103.98341400000001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2193.8564964797288</v>
      </c>
      <c r="D68" s="5">
        <f t="shared" si="0"/>
        <v>1633.7538550401332</v>
      </c>
      <c r="E68" s="5">
        <f t="shared" si="0"/>
        <v>5420.6176436176629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6813.7062768992282</v>
      </c>
      <c r="D69" s="5">
        <f t="shared" si="1"/>
        <v>3682.9504569789033</v>
      </c>
      <c r="E69" s="5">
        <f t="shared" si="1"/>
        <v>3585.1817362883339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2193.8564964797288</v>
      </c>
      <c r="C2" s="17">
        <f>'Passenger Vehicle Calculations'!D68</f>
        <v>1633.7538550401332</v>
      </c>
      <c r="D2" s="17">
        <f>'Passenger Vehicle Calculations'!E68</f>
        <v>5420.6176436176629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6813.7062768992282</v>
      </c>
      <c r="C6" s="17">
        <f>'Passenger Vehicle Calculations'!D69</f>
        <v>3682.9504569789033</v>
      </c>
      <c r="D6" s="17">
        <f>'Passenger Vehicle Calculations'!E69</f>
        <v>3585.1817362883339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5420.6176436176629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2026-09-09T22:14:04Z</dcterms:modified>
</cp:coreProperties>
</file>